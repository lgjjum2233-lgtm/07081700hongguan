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drawings/charts/chart21.xml" ContentType="application/vnd.openxmlformats-officedocument.drawingml.chart+xml"/>
  <Override PartName="/xl/drawings/charts/chart22.xml" ContentType="application/vnd.openxmlformats-officedocument.drawingml.chart+xml"/>
  <Override PartName="/xl/drawings/charts/chart23.xml" ContentType="application/vnd.openxmlformats-officedocument.drawingml.chart+xml"/>
  <Override PartName="/xl/drawings/charts/chart24.xml" ContentType="application/vnd.openxmlformats-officedocument.drawingml.chart+xml"/>
  <Override PartName="/xl/drawings/charts/chart25.xml" ContentType="application/vnd.openxmlformats-officedocument.drawingml.chart+xml"/>
  <Override PartName="/xl/drawings/charts/chart26.xml" ContentType="application/vnd.openxmlformats-officedocument.drawingml.chart+xml"/>
  <Override PartName="/xl/drawings/charts/chart27.xml" ContentType="application/vnd.openxmlformats-officedocument.drawingml.chart+xml"/>
  <Override PartName="/xl/drawings/charts/chart28.xml" ContentType="application/vnd.openxmlformats-officedocument.drawingml.chart+xml"/>
  <Override PartName="/xl/drawings/charts/chart29.xml" ContentType="application/vnd.openxmlformats-officedocument.drawingml.chart+xml"/>
  <Override PartName="/xl/drawings/charts/chart30.xml" ContentType="application/vnd.openxmlformats-officedocument.drawingml.chart+xml"/>
  <Override PartName="/xl/drawings/charts/chart31.xml" ContentType="application/vnd.openxmlformats-officedocument.drawingml.chart+xml"/>
  <Override PartName="/xl/drawings/charts/chart32.xml" ContentType="application/vnd.openxmlformats-officedocument.drawingml.chart+xml"/>
  <Override PartName="/xl/drawings/charts/chart33.xml" ContentType="application/vnd.openxmlformats-officedocument.drawingml.chart+xml"/>
  <Override PartName="/xl/drawings/charts/chart34.xml" ContentType="application/vnd.openxmlformats-officedocument.drawingml.chart+xml"/>
  <Override PartName="/xl/drawings/charts/chart35.xml" ContentType="application/vnd.openxmlformats-officedocument.drawingml.chart+xml"/>
  <Override PartName="/xl/drawings/charts/chart36.xml" ContentType="application/vnd.openxmlformats-officedocument.drawingml.chart+xml"/>
  <Override PartName="/xl/drawings/charts/chart37.xml" ContentType="application/vnd.openxmlformats-officedocument.drawingml.chart+xml"/>
  <Override PartName="/xl/drawings/charts/chart38.xml" ContentType="application/vnd.openxmlformats-officedocument.drawingml.chart+xml"/>
  <Override PartName="/xl/drawings/charts/chart39.xml" ContentType="application/vnd.openxmlformats-officedocument.drawingml.chart+xml"/>
  <Override PartName="/xl/drawings/charts/chart40.xml" ContentType="application/vnd.openxmlformats-officedocument.drawingml.chart+xml"/>
  <Override PartName="/xl/drawings/charts/chart41.xml" ContentType="application/vnd.openxmlformats-officedocument.drawingml.chart+xml"/>
  <Override PartName="/xl/drawings/charts/chart42.xml" ContentType="application/vnd.openxmlformats-officedocument.drawingml.chart+xml"/>
  <Override PartName="/xl/drawings/charts/chart43.xml" ContentType="application/vnd.openxmlformats-officedocument.drawingml.chart+xml"/>
  <Override PartName="/xl/drawings/charts/chart44.xml" ContentType="application/vnd.openxmlformats-officedocument.drawingml.chart+xml"/>
  <Override PartName="/xl/drawings/charts/chart45.xml" ContentType="application/vnd.openxmlformats-officedocument.drawingml.chart+xml"/>
  <Override PartName="/xl/drawings/charts/chart46.xml" ContentType="application/vnd.openxmlformats-officedocument.drawingml.chart+xml"/>
  <Override PartName="/xl/drawings/charts/chart47.xml" ContentType="application/vnd.openxmlformats-officedocument.drawingml.chart+xml"/>
  <Override PartName="/xl/drawings/charts/chart48.xml" ContentType="application/vnd.openxmlformats-officedocument.drawingml.chart+xml"/>
  <Override PartName="/xl/drawings/charts/chart49.xml" ContentType="application/vnd.openxmlformats-officedocument.drawingml.chart+xml"/>
  <Override PartName="/xl/drawings/charts/chart50.xml" ContentType="application/vnd.openxmlformats-officedocument.drawingml.chart+xml"/>
  <Override PartName="/xl/drawings/charts/chart51.xml" ContentType="application/vnd.openxmlformats-officedocument.drawingml.chart+xml"/>
  <Override PartName="/xl/drawings/charts/chart52.xml" ContentType="application/vnd.openxmlformats-officedocument.drawingml.chart+xml"/>
  <Override PartName="/xl/drawings/charts/chart53.xml" ContentType="application/vnd.openxmlformats-officedocument.drawingml.chart+xml"/>
  <Override PartName="/xl/drawings/charts/chart54.xml" ContentType="application/vnd.openxmlformats-officedocument.drawingml.chart+xml"/>
  <Override PartName="/xl/drawings/charts/chart55.xml" ContentType="application/vnd.openxmlformats-officedocument.drawingml.chart+xml"/>
  <Override PartName="/xl/drawings/charts/chart56.xml" ContentType="application/vnd.openxmlformats-officedocument.drawingml.chart+xml"/>
  <Override PartName="/xl/drawings/charts/chart57.xml" ContentType="application/vnd.openxmlformats-officedocument.drawingml.chart+xml"/>
  <Override PartName="/xl/drawings/charts/chart58.xml" ContentType="application/vnd.openxmlformats-officedocument.drawingml.chart+xml"/>
  <Override PartName="/xl/drawings/charts/chart59.xml" ContentType="application/vnd.openxmlformats-officedocument.drawingml.chart+xml"/>
  <Override PartName="/xl/drawings/charts/chart60.xml" ContentType="application/vnd.openxmlformats-officedocument.drawingml.chart+xml"/>
  <Override PartName="/xl/drawings/charts/chart61.xml" ContentType="application/vnd.openxmlformats-officedocument.drawingml.chart+xml"/>
  <Override PartName="/xl/drawings/charts/chart62.xml" ContentType="application/vnd.openxmlformats-officedocument.drawingml.chart+xml"/>
  <Override PartName="/xl/drawings/charts/chart63.xml" ContentType="application/vnd.openxmlformats-officedocument.drawingml.chart+xml"/>
  <Override PartName="/xl/drawings/charts/chart64.xml" ContentType="application/vnd.openxmlformats-officedocument.drawingml.chart+xml"/>
  <Override PartName="/xl/drawings/charts/chart65.xml" ContentType="application/vnd.openxmlformats-officedocument.drawingml.chart+xml"/>
  <Override PartName="/xl/drawings/charts/chart66.xml" ContentType="application/vnd.openxmlformats-officedocument.drawingml.chart+xml"/>
  <Override PartName="/xl/drawings/charts/chart67.xml" ContentType="application/vnd.openxmlformats-officedocument.drawingml.chart+xml"/>
  <Override PartName="/xl/drawings/charts/chart68.xml" ContentType="application/vnd.openxmlformats-officedocument.drawingml.chart+xml"/>
  <Override PartName="/xl/drawings/charts/chart69.xml" ContentType="application/vnd.openxmlformats-officedocument.drawingml.chart+xml"/>
  <Override PartName="/xl/drawings/charts/chart70.xml" ContentType="application/vnd.openxmlformats-officedocument.drawingml.chart+xml"/>
  <Override PartName="/xl/drawings/charts/chart71.xml" ContentType="application/vnd.openxmlformats-officedocument.drawingml.chart+xml"/>
  <Override PartName="/xl/drawings/charts/chart72.xml" ContentType="application/vnd.openxmlformats-officedocument.drawingml.chart+xml"/>
  <Override PartName="/xl/drawings/charts/chart73.xml" ContentType="application/vnd.openxmlformats-officedocument.drawingml.chart+xml"/>
  <Override PartName="/xl/drawings/charts/chart74.xml" ContentType="application/vnd.openxmlformats-officedocument.drawingml.chart+xml"/>
  <Override PartName="/xl/drawings/charts/chart75.xml" ContentType="application/vnd.openxmlformats-officedocument.drawingml.chart+xml"/>
  <Override PartName="/xl/drawings/charts/chart76.xml" ContentType="application/vnd.openxmlformats-officedocument.drawingml.chart+xml"/>
  <Override PartName="/xl/drawings/charts/chart77.xml" ContentType="application/vnd.openxmlformats-officedocument.drawingml.chart+xml"/>
  <Override PartName="/xl/drawings/charts/chart78.xml" ContentType="application/vnd.openxmlformats-officedocument.drawingml.chart+xml"/>
  <Override PartName="/xl/drawings/charts/chart79.xml" ContentType="application/vnd.openxmlformats-officedocument.drawingml.chart+xml"/>
  <Override PartName="/xl/drawings/charts/chart80.xml" ContentType="application/vnd.openxmlformats-officedocument.drawingml.chart+xml"/>
  <Override PartName="/xl/drawings/charts/chart81.xml" ContentType="application/vnd.openxmlformats-officedocument.drawingml.chart+xml"/>
  <Override PartName="/xl/drawings/charts/chart82.xml" ContentType="application/vnd.openxmlformats-officedocument.drawingml.chart+xml"/>
  <Override PartName="/xl/drawings/charts/chart83.xml" ContentType="application/vnd.openxmlformats-officedocument.drawingml.chart+xml"/>
  <Override PartName="/xl/drawings/charts/chart84.xml" ContentType="application/vnd.openxmlformats-officedocument.drawingml.chart+xml"/>
  <Override PartName="/xl/drawings/charts/chart85.xml" ContentType="application/vnd.openxmlformats-officedocument.drawingml.chart+xml"/>
  <Override PartName="/xl/drawings/charts/chart86.xml" ContentType="application/vnd.openxmlformats-officedocument.drawingml.chart+xml"/>
  <Override PartName="/xl/drawings/charts/chart87.xml" ContentType="application/vnd.openxmlformats-officedocument.drawingml.chart+xml"/>
  <Override PartName="/xl/drawings/charts/chart88.xml" ContentType="application/vnd.openxmlformats-officedocument.drawingml.chart+xml"/>
  <Override PartName="/xl/drawings/charts/chart89.xml" ContentType="application/vnd.openxmlformats-officedocument.drawingml.chart+xml"/>
  <Override PartName="/xl/drawings/charts/chart90.xml" ContentType="application/vnd.openxmlformats-officedocument.drawingml.chart+xml"/>
  <Override PartName="/xl/drawings/charts/chart91.xml" ContentType="application/vnd.openxmlformats-officedocument.drawingml.chart+xml"/>
  <Override PartName="/xl/drawings/charts/chart92.xml" ContentType="application/vnd.openxmlformats-officedocument.drawingml.chart+xml"/>
  <Override PartName="/xl/drawings/charts/chart93.xml" ContentType="application/vnd.openxmlformats-officedocument.drawingml.chart+xml"/>
  <Override PartName="/xl/drawings/charts/chart94.xml" ContentType="application/vnd.openxmlformats-officedocument.drawingml.chart+xml"/>
  <Override PartName="/xl/drawings/charts/chart95.xml" ContentType="application/vnd.openxmlformats-officedocument.drawingml.chart+xml"/>
  <Override PartName="/xl/drawings/charts/chart96.xml" ContentType="application/vnd.openxmlformats-officedocument.drawingml.chart+xml"/>
  <Override PartName="/xl/drawings/charts/chart97.xml" ContentType="application/vnd.openxmlformats-officedocument.drawingml.chart+xml"/>
  <Override PartName="/xl/drawings/charts/chart98.xml" ContentType="application/vnd.openxmlformats-officedocument.drawingml.chart+xml"/>
  <Override PartName="/xl/drawings/charts/chart99.xml" ContentType="application/vnd.openxmlformats-officedocument.drawingml.chart+xml"/>
  <Override PartName="/xl/drawings/charts/chart100.xml" ContentType="application/vnd.openxmlformats-officedocument.drawingml.chart+xml"/>
  <Override PartName="/xl/drawings/charts/chart101.xml" ContentType="application/vnd.openxmlformats-officedocument.drawingml.chart+xml"/>
  <Override PartName="/xl/drawings/charts/chart102.xml" ContentType="application/vnd.openxmlformats-officedocument.drawingml.chart+xml"/>
  <Override PartName="/xl/drawings/charts/chart103.xml" ContentType="application/vnd.openxmlformats-officedocument.drawingml.chart+xml"/>
  <Override PartName="/xl/drawings/charts/chart104.xml" ContentType="application/vnd.openxmlformats-officedocument.drawingml.chart+xml"/>
  <Override PartName="/xl/drawings/charts/chart105.xml" ContentType="application/vnd.openxmlformats-officedocument.drawingml.chart+xml"/>
  <Override PartName="/xl/drawings/charts/chart106.xml" ContentType="application/vnd.openxmlformats-officedocument.drawingml.chart+xml"/>
  <Override PartName="/xl/drawings/charts/chart107.xml" ContentType="application/vnd.openxmlformats-officedocument.drawingml.chart+xml"/>
  <Override PartName="/xl/drawings/charts/chart108.xml" ContentType="application/vnd.openxmlformats-officedocument.drawingml.chart+xml"/>
  <Override PartName="/xl/drawings/charts/chart109.xml" ContentType="application/vnd.openxmlformats-officedocument.drawingml.chart+xml"/>
  <Override PartName="/xl/drawings/charts/chart110.xml" ContentType="application/vnd.openxmlformats-officedocument.drawingml.chart+xml"/>
  <Override PartName="/xl/drawings/charts/chart111.xml" ContentType="application/vnd.openxmlformats-officedocument.drawingml.chart+xml"/>
  <Override PartName="/xl/drawings/charts/chart112.xml" ContentType="application/vnd.openxmlformats-officedocument.drawingml.chart+xml"/>
  <Override PartName="/xl/drawings/charts/chart113.xml" ContentType="application/vnd.openxmlformats-officedocument.drawingml.chart+xml"/>
  <Override PartName="/xl/drawings/charts/chart114.xml" ContentType="application/vnd.openxmlformats-officedocument.drawingml.chart+xml"/>
  <Override PartName="/xl/drawings/charts/chart115.xml" ContentType="application/vnd.openxmlformats-officedocument.drawingml.chart+xml"/>
  <Override PartName="/xl/drawings/charts/chart116.xml" ContentType="application/vnd.openxmlformats-officedocument.drawingml.chart+xml"/>
  <Override PartName="/xl/drawings/charts/chart117.xml" ContentType="application/vnd.openxmlformats-officedocument.drawingml.chart+xml"/>
  <Override PartName="/xl/drawings/charts/chart118.xml" ContentType="application/vnd.openxmlformats-officedocument.drawingml.chart+xml"/>
  <Override PartName="/xl/drawings/charts/chart119.xml" ContentType="application/vnd.openxmlformats-officedocument.drawingml.chart+xml"/>
  <Override PartName="/xl/drawings/charts/chart120.xml" ContentType="application/vnd.openxmlformats-officedocument.drawingml.chart+xml"/>
  <Override PartName="/xl/drawings/charts/chart121.xml" ContentType="application/vnd.openxmlformats-officedocument.drawingml.chart+xml"/>
  <Override PartName="/xl/drawings/charts/chart122.xml" ContentType="application/vnd.openxmlformats-officedocument.drawingml.chart+xml"/>
  <Override PartName="/xl/drawings/charts/chart123.xml" ContentType="application/vnd.openxmlformats-officedocument.drawingml.chart+xml"/>
  <Override PartName="/xl/drawings/charts/chart124.xml" ContentType="application/vnd.openxmlformats-officedocument.drawingml.chart+xml"/>
  <Override PartName="/xl/drawings/charts/chart125.xml" ContentType="application/vnd.openxmlformats-officedocument.drawingml.chart+xml"/>
  <Override PartName="/xl/drawings/charts/chart126.xml" ContentType="application/vnd.openxmlformats-officedocument.drawingml.chart+xml"/>
  <Override PartName="/xl/drawings/charts/chart127.xml" ContentType="application/vnd.openxmlformats-officedocument.drawingml.chart+xml"/>
  <Override PartName="/xl/drawings/charts/chart128.xml" ContentType="application/vnd.openxmlformats-officedocument.drawingml.chart+xml"/>
  <Override PartName="/xl/drawings/charts/chart129.xml" ContentType="application/vnd.openxmlformats-officedocument.drawingml.chart+xml"/>
  <Override PartName="/xl/drawings/charts/chart130.xml" ContentType="application/vnd.openxmlformats-officedocument.drawingml.chart+xml"/>
  <Override PartName="/xl/drawings/charts/chart131.xml" ContentType="application/vnd.openxmlformats-officedocument.drawingml.chart+xml"/>
  <Override PartName="/xl/drawings/charts/chart132.xml" ContentType="application/vnd.openxmlformats-officedocument.drawingml.chart+xml"/>
  <Override PartName="/xl/drawings/charts/chart133.xml" ContentType="application/vnd.openxmlformats-officedocument.drawingml.chart+xml"/>
  <Override PartName="/xl/drawings/charts/chart134.xml" ContentType="application/vnd.openxmlformats-officedocument.drawingml.chart+xml"/>
  <Override PartName="/xl/drawings/charts/chart135.xml" ContentType="application/vnd.openxmlformats-officedocument.drawingml.chart+xml"/>
  <Override PartName="/xl/drawings/charts/chart136.xml" ContentType="application/vnd.openxmlformats-officedocument.drawingml.chart+xml"/>
  <Override PartName="/xl/drawings/charts/chart137.xml" ContentType="application/vnd.openxmlformats-officedocument.drawingml.chart+xml"/>
  <Override PartName="/xl/drawings/charts/chart138.xml" ContentType="application/vnd.openxmlformats-officedocument.drawingml.chart+xml"/>
  <Override PartName="/xl/drawings/charts/chart139.xml" ContentType="application/vnd.openxmlformats-officedocument.drawingml.chart+xml"/>
  <Override PartName="/xl/drawings/charts/chart140.xml" ContentType="application/vnd.openxmlformats-officedocument.drawingml.chart+xml"/>
  <Override PartName="/xl/drawings/charts/chart141.xml" ContentType="application/vnd.openxmlformats-officedocument.drawingml.chart+xml"/>
  <Override PartName="/xl/drawings/charts/chart142.xml" ContentType="application/vnd.openxmlformats-officedocument.drawingml.chart+xml"/>
  <Override PartName="/xl/drawings/charts/chart143.xml" ContentType="application/vnd.openxmlformats-officedocument.drawingml.chart+xml"/>
  <Override PartName="/xl/drawings/charts/chart144.xml" ContentType="application/vnd.openxmlformats-officedocument.drawingml.chart+xml"/>
  <Override PartName="/xl/drawings/charts/chart145.xml" ContentType="application/vnd.openxmlformats-officedocument.drawingml.chart+xml"/>
  <Override PartName="/xl/drawings/charts/chart146.xml" ContentType="application/vnd.openxmlformats-officedocument.drawingml.chart+xml"/>
  <Override PartName="/xl/drawings/charts/chart147.xml" ContentType="application/vnd.openxmlformats-officedocument.drawingml.chart+xml"/>
  <Override PartName="/xl/drawings/charts/chart148.xml" ContentType="application/vnd.openxmlformats-officedocument.drawingml.chart+xml"/>
  <Override PartName="/xl/drawings/charts/chart149.xml" ContentType="application/vnd.openxmlformats-officedocument.drawingml.chart+xml"/>
  <Override PartName="/xl/drawings/charts/chart150.xml" ContentType="application/vnd.openxmlformats-officedocument.drawingml.chart+xml"/>
  <Override PartName="/xl/drawings/charts/chart151.xml" ContentType="application/vnd.openxmlformats-officedocument.drawingml.chart+xml"/>
  <Override PartName="/xl/drawings/charts/chart152.xml" ContentType="application/vnd.openxmlformats-officedocument.drawingml.chart+xml"/>
  <Override PartName="/xl/drawings/charts/chart153.xml" ContentType="application/vnd.openxmlformats-officedocument.drawingml.chart+xml"/>
  <Override PartName="/xl/drawings/charts/chart154.xml" ContentType="application/vnd.openxmlformats-officedocument.drawingml.chart+xml"/>
  <Override PartName="/xl/drawings/charts/chart155.xml" ContentType="application/vnd.openxmlformats-officedocument.drawingml.chart+xml"/>
  <Override PartName="/xl/drawings/charts/chart156.xml" ContentType="application/vnd.openxmlformats-officedocument.drawingml.chart+xml"/>
  <Override PartName="/xl/drawings/charts/chart157.xml" ContentType="application/vnd.openxmlformats-officedocument.drawingml.chart+xml"/>
  <Override PartName="/xl/drawings/charts/chart158.xml" ContentType="application/vnd.openxmlformats-officedocument.drawingml.chart+xml"/>
  <Override PartName="/xl/drawings/charts/chart159.xml" ContentType="application/vnd.openxmlformats-officedocument.drawingml.chart+xml"/>
  <Override PartName="/xl/drawings/charts/chart160.xml" ContentType="application/vnd.openxmlformats-officedocument.drawingml.chart+xml"/>
  <Override PartName="/xl/drawings/charts/chart161.xml" ContentType="application/vnd.openxmlformats-officedocument.drawingml.chart+xml"/>
  <Override PartName="/xl/drawings/charts/chart162.xml" ContentType="application/vnd.openxmlformats-officedocument.drawingml.chart+xml"/>
  <Override PartName="/xl/drawings/charts/chart163.xml" ContentType="application/vnd.openxmlformats-officedocument.drawingml.chart+xml"/>
  <Override PartName="/xl/drawings/charts/chart164.xml" ContentType="application/vnd.openxmlformats-officedocument.drawingml.chart+xml"/>
  <Override PartName="/xl/drawings/charts/chart165.xml" ContentType="application/vnd.openxmlformats-officedocument.drawingml.chart+xml"/>
  <Override PartName="/xl/drawings/charts/chart166.xml" ContentType="application/vnd.openxmlformats-officedocument.drawingml.chart+xml"/>
  <Override PartName="/xl/drawings/charts/chart167.xml" ContentType="application/vnd.openxmlformats-officedocument.drawingml.chart+xml"/>
  <Override PartName="/xl/drawings/charts/chart168.xml" ContentType="application/vnd.openxmlformats-officedocument.drawingml.chart+xml"/>
  <Override PartName="/xl/drawings/charts/chart169.xml" ContentType="application/vnd.openxmlformats-officedocument.drawingml.chart+xml"/>
  <Override PartName="/xl/drawings/charts/chart170.xml" ContentType="application/vnd.openxmlformats-officedocument.drawingml.chart+xml"/>
  <Override PartName="/xl/drawings/charts/chart171.xml" ContentType="application/vnd.openxmlformats-officedocument.drawingml.chart+xml"/>
  <Override PartName="/xl/drawings/charts/chart172.xml" ContentType="application/vnd.openxmlformats-officedocument.drawingml.chart+xml"/>
  <Override PartName="/xl/drawings/charts/chart173.xml" ContentType="application/vnd.openxmlformats-officedocument.drawingml.chart+xml"/>
  <Override PartName="/xl/drawings/charts/chart174.xml" ContentType="application/vnd.openxmlformats-officedocument.drawingml.chart+xml"/>
  <Override PartName="/xl/drawings/charts/chart175.xml" ContentType="application/vnd.openxmlformats-officedocument.drawingml.chart+xml"/>
  <Override PartName="/xl/drawings/charts/chart176.xml" ContentType="application/vnd.openxmlformats-officedocument.drawingml.chart+xml"/>
  <Override PartName="/xl/drawings/charts/chart177.xml" ContentType="application/vnd.openxmlformats-officedocument.drawingml.chart+xml"/>
  <Override PartName="/xl/drawings/charts/chart178.xml" ContentType="application/vnd.openxmlformats-officedocument.drawingml.chart+xml"/>
  <Override PartName="/xl/drawings/charts/chart179.xml" ContentType="application/vnd.openxmlformats-officedocument.drawingml.chart+xml"/>
  <Override PartName="/xl/drawings/charts/chart180.xml" ContentType="application/vnd.openxmlformats-officedocument.drawingml.chart+xml"/>
  <Override PartName="/xl/drawings/charts/chart181.xml" ContentType="application/vnd.openxmlformats-officedocument.drawingml.chart+xml"/>
  <Override PartName="/xl/drawings/charts/chart182.xml" ContentType="application/vnd.openxmlformats-officedocument.drawingml.chart+xml"/>
  <Override PartName="/xl/drawings/charts/chart183.xml" ContentType="application/vnd.openxmlformats-officedocument.drawingml.chart+xml"/>
  <Override PartName="/xl/drawings/charts/chart184.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dffd92d3674658" /></Relationships>
</file>

<file path=xl/workbook.xml><?xml version="1.0" encoding="utf-8"?>
<x:workbook xmlns:x="http://schemas.openxmlformats.org/spreadsheetml/2006/main">
  <x:sheets>
    <x:sheet xmlns:r="http://schemas.openxmlformats.org/officeDocument/2006/relationships" name="重点策略跟踪情况" sheetId="1" r:id="R1dabd27e9ade4e84"/>
    <x:sheet xmlns:r="http://schemas.openxmlformats.org/officeDocument/2006/relationships" name="指标筛选与结论复核表" sheetId="2" r:id="R86aef99a4cf442c9"/>
  </x:sheets>
</x:workbook>
</file>

<file path=xl/sharedStrings.xml><?xml version="1.0" encoding="utf-8"?>
<x:sst xmlns:x="http://schemas.openxmlformats.org/spreadsheetml/2006/main">
  <x:si>
    <x:t xml:space="preserve">跟踪指标（3个）</x:t>
  </x:si>
  <x:si>
    <x:t xml:space="preserve">结论</x:t>
  </x:si>
  <x:si>
    <x:t xml:space="preserve">框架</x:t>
  </x:si>
  <x:si>
    <x:t xml:space="preserve">指标判断</x:t>
  </x:si>
  <x:si>
    <x:t xml:space="preserve">监测指标</x:t>
  </x:si>
  <x:si>
    <x:t xml:space="preserve">权重占比</x:t>
  </x:si>
  <x:si>
    <x:t xml:space="preserve">权重理由</x:t>
  </x:si>
  <x:si>
    <x:t xml:space="preserve">定义</x:t>
  </x:si>
  <x:si>
    <x:t xml:space="preserve">怎么用的（重点）</x:t>
  </x:si>
  <x:si>
    <x:t xml:space="preserve">发布频率</x:t>
  </x:si>
  <x:si>
    <x:t xml:space="preserve">重点跟踪项</x:t>
  </x:si>
  <x:si>
    <x:t xml:space="preserve">指标代码</x:t>
  </x:si>
  <x:si>
    <x:t xml:space="preserve">当前数据</x:t>
  </x:si>
  <x:si>
    <x:t xml:space="preserve">数据日期</x:t>
  </x:si>
  <x:si>
    <x:t xml:space="preserve">环比</x:t>
  </x:si>
  <x:si>
    <x:t xml:space="preserve">同比</x:t>
  </x:si>
  <x:si>
    <x:t xml:space="preserve">同比增量</x:t>
  </x:si>
  <x:si>
    <x:t xml:space="preserve">数据折线图</x:t>
  </x:si>
  <x:si>
    <x:t xml:space="preserve">境内</x:t>
  </x:si>
  <x:si>
    <x:t xml:space="preserve">股市</x:t>
  </x:si>
  <x:si>
    <x:t xml:space="preserve">基本面</x:t>
  </x:si>
  <x:si>
    <x:t xml:space="preserve">中性：内需和地产仍是主要拖累，外需与利润修复提供结构性支撑：消费继续偏弱（社零同比-0.6%、较上月回落0.8个百分点）；投资和地产偏弱（固投同比-4.1%、地产投资累计同比-16.2%）；外需和盈利改善（出口较上月提升5.3个百分点、工业企业利润率较上月提升0.32个百分点）。
</x:t>
  </x:si>
  <x:si>
    <x:t xml:space="preserve">增长</x:t>
  </x:si>
  <x:si>
    <x:t xml:space="preserve">社零当月值同比近零且环比回落，消费交易规模偏弱。</x:t>
  </x:si>
  <x:si>
    <x:t xml:space="preserve">中国:社会消费品零售总额:当月值</x:t>
  </x:si>
  <x:si>
    <x:t xml:space="preserve">社零当月值反映消费市场的实际名义销售规模，是验证内需修复的重要金额口径；但当月值有春节、假期和价格因素扰动，方向判断仍应以社零同比和居民收入等指标为主。</x:t>
  </x:si>
  <x:si>
    <x:t xml:space="preserve">社会消费品零售总额当月值是企业和个体经营者当月向个人、社会集团销售消费品以及提供餐饮服务取得的名义金额总和。它反映一个月内国内消费市场的实际销售规模。</x:t>
  </x:si>
  <x:si>
    <x:t xml:space="preserve">当月值扩大说明消费交易规模上升，通常有利于消费链和服务业景气；若同比改善但金额仍偏弱，说明修复质量仍需验证。使用时要重点结合社零同比、CPI、居民收入和节假日错位影响。</x:t>
  </x:si>
  <x:si>
    <x:t xml:space="preserve">月度</x:t>
  </x:si>
  <x:si>
    <x:t xml:space="preserve">M0001427</x:t>
  </x:si>
  <x:si>
    <x:t xml:space="preserve">社零同比仅0.2%且较上月降1.5pct，消费动能明显降温。</x:t>
  </x:si>
  <x:si>
    <x:t xml:space="preserve">社会消费品零售总额（同比）</x:t>
  </x:si>
  <x:si>
    <x:t xml:space="preserve">社零是消费需求的核心月度代理，直接反映内需修复，在本项中更能代表方向。</x:t>
  </x:si>
  <x:si>
    <x:t xml:space="preserve">企业通过交易直接售给个人和社会集团的非生产、非经营用的实物商品金额，以及提供餐饮服务所取得的收入总额。它是反映国内消费需求最直接、最核心的指标。</x:t>
  </x:si>
  <x:si>
    <x:t xml:space="preserve">增速变化可直接反映消费市场的冷热，是判断经济景气状况、评估促消费政策效果的关键依据，也是分析GDP构成中消费贡献的重要基础数据。</x:t>
  </x:si>
  <x:si>
    <x:t xml:space="preserve">M0001428</x:t>
  </x:si>
  <x:si>
    <x:t xml:space="preserve">名义GDP同比约4.94%，经济规模仍扩张但季度数据偏滞后。</x:t>
  </x:si>
  <x:si>
    <x:t xml:space="preserve">GDP总量：中国</x:t>
  </x:si>
  <x:si>
    <x:t xml:space="preserve">中国GDP总量是经济规模和产出水平的总口径，能校准增长判断的基础盘；但季度发布且偏滞后，方向判断仍需依赖社零、投资、出口、PMI等更高频指标。</x:t>
  </x:si>
  <x:si>
    <x:t xml:space="preserve">衡量中国境内所有常住单位的生产总值，反映经济总体规模</x:t>
  </x:si>
  <x:si>
    <x:t xml:space="preserve">增长超预期→利好权益资产；低于预期→增加避险资产配置</x:t>
  </x:si>
  <x:si>
    <x:t xml:space="preserve">季度</x:t>
  </x:si>
  <x:si>
    <x:t xml:space="preserve">M5567876</x:t>
  </x:si>
  <x:si>
    <x:t xml:space="preserve">实际GDP同比5.0%、环比改善0.5pct，增长总体平稳。</x:t>
  </x:si>
  <x:si>
    <x:t xml:space="preserve">GDP同比：中国</x:t>
  </x:si>
  <x:si>
    <x:t xml:space="preserve">中国GDP不变价当季同比是宏观增长最核心的真实增长指标，能直接验证经济周期方向和政策成效；但季度发布且相对滞后，更适合作为增长模块的锚，而不是高频边际信号。</x:t>
  </x:si>
  <x:si>
    <x:t xml:space="preserve">中国GDP不变价当季同比是剔除价格因素后，本季度国内生产总值相对上年同期的实际增长率。它衡量真实产出的同比变化，比现价GDP更能反映经济活动本身的增长速度。</x:t>
  </x:si>
  <x:si>
    <x:t xml:space="preserve">读数回升通常说明真实经济动能改善，权益和顺周期资产的基本面支撑增强；读数下行说明增长压力加大，政策托底预期可能上升。需要和社零、固定资产投资、出口、PMI等高频指标交叉验证。</x:t>
  </x:si>
  <x:si>
    <x:t xml:space="preserve">M0039354</x:t>
  </x:si>
  <x:si>
    <x:t xml:space="preserve">消费贡献率46.7%且环比回落，内需主动力减弱。</x:t>
  </x:si>
  <x:si>
    <x:t xml:space="preserve">中国:GDP累计同比贡献率:最终消费支出:支出法</x:t>
  </x:si>
  <x:si>
    <x:t xml:space="preserve">最终消费支出贡献率用于拆解GDP增长来源，能判断增长是否由内需和居民消费驱动；它是结构验证指标，重要性低于消费零售等更高频数据。</x:t>
  </x:si>
  <x:si>
    <x:t xml:space="preserve">GDP中消费占比，反映经济结构转型</x:t>
  </x:si>
  <x:si>
    <x:t xml:space="preserve">提升→消费板块受益，关注消费升级主题</x:t>
  </x:si>
  <x:si>
    <x:t xml:space="preserve">M6001128</x:t>
  </x:si>
  <x:si>
    <x:t xml:space="preserve">资本形成贡献率38.0%且大幅上升，增长更依赖投资拉动。</x:t>
  </x:si>
  <x:si>
    <x:t xml:space="preserve">中国:GDP累计同比贡献率:资本形成总额:支出法</x:t>
  </x:si>
  <x:si>
    <x:t xml:space="preserve">资本形成总额贡献率用于观察投资对GDP增长的拉动，是判断基建、制造业和地产投资合力的结构指标；由于季度更新，主要用于验证投资链条结论。</x:t>
  </x:si>
  <x:si>
    <x:t xml:space="preserve">GDP中投资占比，反映资本积累速度</x:t>
  </x:si>
  <x:si>
    <x:t xml:space="preserve">结构优化→制造业升级、新基建领域受益</x:t>
  </x:si>
  <x:si>
    <x:t xml:space="preserve">M6001129</x:t>
  </x:si>
  <x:si>
    <x:t xml:space="preserve">净出口贡献率15.3%但明显回落，外需拉动边际减弱。</x:t>
  </x:si>
  <x:si>
    <x:t xml:space="preserve">中国:GDP累计同比贡献率:货物和服务净出口:支出法</x:t>
  </x:si>
  <x:si>
    <x:t xml:space="preserve">货物和服务净出口贡献率衡量外需对GDP增长的贡献，能补充出口链条判断；但贡献率受进口、价格和汇率共同影响，权重低于直接出口同比和贸易差额。</x:t>
  </x:si>
  <x:si>
    <x:t xml:space="preserve">净出口对GDP的贡献，反映外需拉动</x:t>
  </x:si>
  <x:si>
    <x:t xml:space="preserve">贡献提升→出口导向型行业配置价值上升</x:t>
  </x:si>
  <x:si>
    <x:t xml:space="preserve">M6001130</x:t>
  </x:si>
  <x:si>
    <x:t xml:space="preserve">固投累计值同比下降3.9%，投资总量偏弱。</x:t>
  </x:si>
  <x:si>
    <x:t xml:space="preserve">中国:固定资产投资累计值
①固投分项：制造业
②固投分项：基建
③固投分项：地产
④民间固定投资</x:t>
  </x:si>
  <x:si>
    <x:t xml:space="preserve">固定资产投资累计值反映年内投资完成规模，是观察稳增长落地和实体资本开支的重要金额口径；但累计值受年度进度影响，边际判断应结合累计同比和制造业、基建、地产分项。</x:t>
  </x:si>
  <x:si>
    <x:t xml:space="preserve">固定资产投资累计值是从年初到当前月份，全社会在建筑安装工程、设备购置及其他固定资产建设活动中已经完成的名义投资总额。它覆盖基建、制造业、房地产等长期资产投入。</x:t>
  </x:si>
  <x:si>
    <x:t xml:space="preserve">累计值上行代表投资规模继续扩张，对总需求和未来供给能力都有支撑；如果累计值增长但同比走弱，说明投资节奏可能低于去年同期。分析时要拆分制造业、基建、地产和民间投资，避免只看总量。</x:t>
  </x:si>
  <x:si>
    <x:t xml:space="preserve">M0000272</x:t>
  </x:si>
  <x:si>
    <x:t xml:space="preserve">固投同比-1.6%且环比回落3.3pct，投资动能走弱。</x:t>
  </x:si>
  <x:si>
    <x:t xml:space="preserve">固定资产投资
①固投分项：制造业
②固投分项：基建
③固投分项：地产
④民间固定投资</x:t>
  </x:si>
  <x:si>
    <x:t xml:space="preserve">固定资产投资连接制造业、基建和地产，是稳增长落脚点，在本项中更能代表方向。</x:t>
  </x:si>
  <x:si>
    <x:t xml:space="preserve">指建造和购置固定资产的经济活动，是反映全社会在基础设施、房地产、机械设备等长期资产上投入规模的核心指标。</x:t>
  </x:si>
  <x:si>
    <x:t xml:space="preserve">增速变化直接拉动当期GDP，并预示未来产能和经济发展潜力。分析时常关注其结构，如民间投资活力、高技术产业投资占比，以判断经济增长的可持续性和质量。</x:t>
  </x:si>
  <x:si>
    <x:t xml:space="preserve">M0000273</x:t>
  </x:si>
  <x:si>
    <x:t xml:space="preserve">地产投资同比-13.7%且降幅扩大，地产仍是主要拖累。</x:t>
  </x:si>
  <x:si>
    <x:t xml:space="preserve">中国:房地产开发投资完成额:累计同比</x:t>
  </x:si>
  <x:si>
    <x:t xml:space="preserve">房地产开发投资累计同比是地产链景气和固定资产投资的重要分项，对信用需求、地方财政和周期行业影响较大；在增长模块中属于地产方向的核心拆解指标。</x:t>
  </x:si>
  <x:si>
    <x:t xml:space="preserve">房地产开发投资完成额</x:t>
  </x:si>
  <x:si>
    <x:t xml:space="preserve">回暖→地产链(金融、建材、家电)受益</x:t>
  </x:si>
  <x:si>
    <x:t xml:space="preserve">S0029657</x:t>
  </x:si>
  <x:si>
    <x:t xml:space="preserve">制造业投资同比1.2%但回落2.9pct，扩张动能放缓。</x:t>
  </x:si>
  <x:si>
    <x:t xml:space="preserve">中国:固定资产投资完成额:制造业:累计同比</x:t>
  </x:si>
  <x:si>
    <x:t xml:space="preserve">制造业投资累计同比反映企业资本开支意愿和产业升级动能，是固定资产投资中更市场化的分项；用于补充判断实体投资扩张是否具备内生动力。</x:t>
  </x:si>
  <x:si>
    <x:t xml:space="preserve">制造业固定资产投资</x:t>
  </x:si>
  <x:si>
    <x:t xml:space="preserve">强劲→制造业升级主题受益，高端制造看好</x:t>
  </x:si>
  <x:si>
    <x:t xml:space="preserve">M0000357</x:t>
  </x:si>
  <x:si>
    <x:t xml:space="preserve">基建投资同比4.3%但回落4.6pct，财政托底边际减弱。</x:t>
  </x:si>
  <x:si>
    <x:t xml:space="preserve">中国:固定资产投资完成额:基础设施建设投资:累计同比</x:t>
  </x:si>
  <x:si>
    <x:t xml:space="preserve">基础设施建设投资累计同比反映政策性投资和稳增长发力强度，是财政政策向实体需求传导的重要观察口径；但需结合政府债、财政支出和项目落地验证。</x:t>
  </x:si>
  <x:si>
    <x:t xml:space="preserve">基础设施固定资产投资</x:t>
  </x:si>
  <x:si>
    <x:t xml:space="preserve">增速加快→稳增长发力，基建链受益</x:t>
  </x:si>
  <x:si>
    <x:t xml:space="preserve">M5440435</x:t>
  </x:si>
  <x:si>
    <x:t xml:space="preserve">房屋销售同比-10.2%，边际微修复但地产需求仍弱。</x:t>
  </x:si>
  <x:si>
    <x:t xml:space="preserve">房屋销售（累计同比）</x:t>
  </x:si>
  <x:si>
    <x:t xml:space="preserve">房屋销售领先地产投资和居民预期，对地产链有指示性，用于补充确认核心信号。</x:t>
  </x:si>
  <x:si>
    <x:t xml:space="preserve">房屋销售代表中国增长动能的一部分，和需求、生产、地产或外需相关；权重按其对周期拐点和资产定价的领先性配置。</x:t>
  </x:si>
  <x:si>
    <x:t xml:space="preserve">上升说明购房需求改善，利好地产链和信用风险缓和；下降说明地产需求疲弱，可能拖累投资、消费和地方财政。</x:t>
  </x:si>
  <x:si>
    <x:t xml:space="preserve">S0073300</x:t>
  </x:si>
  <x:si>
    <x:t xml:space="preserve">70城二手房价同比-6.2%，仍在下跌但降幅略收窄。</x:t>
  </x:si>
  <x:si>
    <x:t xml:space="preserve">70城二手住宅价格指数同比</x:t>
  </x:si>
  <x:si>
    <x:t xml:space="preserve">二手房价格用于验证地产真实供需，但影响范围窄于销售和投资，用于补充确认核心信号。</x:t>
  </x:si>
  <x:si>
    <x:t xml:space="preserve">国家统计局发布的70个大中城市二手住宅价格指数同比变化。</x:t>
  </x:si>
  <x:si>
    <x:t xml:space="preserve">二手房不受限价影响。量（销售面积）+价（二手房价格）配合：量升价稳=健康回暖，量升价跌=以价换量。</x:t>
  </x:si>
  <x:si>
    <x:t xml:space="preserve">S2707425</x:t>
  </x:si>
  <x:si>
    <x:t xml:space="preserve">出口同比19.4%且继续改善，外需和抢出口支撑较强。</x:t>
  </x:si>
  <x:si>
    <x:t xml:space="preserve">中国:出口金额:当月同比</x:t>
  </x:si>
  <x:si>
    <x:t xml:space="preserve">出口反映外需和制造业竞争力，是增长的重要边际变量，在本项中更能代表方向。</x:t>
  </x:si>
  <x:si>
    <x:t xml:space="preserve">一个国家或地区生产的商品和服务销售到国外市场的行为总额。</x:t>
  </x:si>
  <x:si>
    <x:t xml:space="preserve">衡量外需强弱和本国产业国际竞争力的关键指标，是拉动经济增长的“三驾马车”之一。出口数据（如同比增速、贸易顺差）的变化直接反映全球市场景气度，影响汇率、就业和国内相关产业链</x:t>
  </x:si>
  <x:si>
    <x:t xml:space="preserve">M0000607</x:t>
  </x:si>
  <x:si>
    <x:t xml:space="preserve">对美出口累计同比-2.7%，仍负增长但边际明显修复。</x:t>
  </x:si>
  <x:si>
    <x:t xml:space="preserve">中国:出口金额:美国:累计同比</x:t>
  </x:si>
  <x:si>
    <x:t xml:space="preserve">对美国出口累计同比反映外需中美国方向的景气变化，对制造业订单和外需结构有参考价值；但单一地区口径窄于总出口，因此作为出口总指标的辅助拆解。</x:t>
  </x:si>
  <x:si>
    <x:t xml:space="preserve">对美国出口金额及占比</x:t>
  </x:si>
  <x:si>
    <x:t xml:space="preserve">变化反映贸易关系和产业链重构趋势</x:t>
  </x:si>
  <x:si>
    <x:t xml:space="preserve">M0008499</x:t>
  </x:si>
  <x:si>
    <x:t xml:space="preserve">对东盟出口累计同比20.3%，区域外需支撑较强。</x:t>
  </x:si>
  <x:si>
    <x:t xml:space="preserve">中国:出口金额:东南亚国家联盟:累计同比</x:t>
  </x:si>
  <x:si>
    <x:t xml:space="preserve">对东盟出口累计同比反映区域贸易和产业链转移背景下的外需韧性，是出口结构的重要补充；但仍属于分地区指标，权重低于出口总额和贸易差额。</x:t>
  </x:si>
  <x:si>
    <x:t xml:space="preserve">对东南亚出口金额及占比</x:t>
  </x:si>
  <x:si>
    <x:t xml:space="preserve">占比提升→产业链转移确认，东南亚布局企业受益</x:t>
  </x:si>
  <x:si>
    <x:t xml:space="preserve">M0007911</x:t>
  </x:si>
  <x:si>
    <x:t xml:space="preserve">贸易顺差1054.3亿美元且环比扩大，净出口仍有支撑。</x:t>
  </x:si>
  <x:si>
    <x:t xml:space="preserve">进出口：中国:贸易差额</x:t>
  </x:si>
  <x:si>
    <x:t xml:space="preserve">贸易差额直接反映净出口对外汇收入和总需求的影响，能辅助判断外需贡献和汇率基本面；但它同时受进口收缩、价格和汇率影响，需与出口、进口分项一起看。</x:t>
  </x:si>
  <x:si>
    <x:t xml:space="preserve">贸易差额（出口减进口）直接贡献于GDP中的“净出口”项，是衡量外需对经济净拉动作用的最直接指标。
进出口总额本身则反映了中国经济的对外开放度和全球需求总盘。</x:t>
  </x:si>
  <x:si>
    <x:t xml:space="preserve">顺差扩大：一般利好本国货币汇率，并显示外需相对强劲或内需偏弱。利好出口导向型行业（如电子、家电、纺织、光伏、锂电池）。
逆差扩大：可能带来货币贬值压力，或反映内需强劲（拉动进口），需结合具体商品结构判断。</x:t>
  </x:si>
  <x:si>
    <x:t xml:space="preserve">M0000610</x:t>
  </x:si>
  <x:si>
    <x:t xml:space="preserve">制造业PMI回落至50.0，扩张动能转为临界状态。</x:t>
  </x:si>
  <x:si>
    <x:t xml:space="preserve">制造业PMI综合</x:t>
  </x:si>
  <x:si>
    <x:t xml:space="preserve">制造业PMI综合指数发布早，是景气拐点的先行信号，用于补充确认核心信号。</x:t>
  </x:si>
  <x:si>
    <x:t xml:space="preserve">通过对制造业企业采购经理的月度调查汇总而成的指数，反映制造业经济活动的扩张或收缩情况。</x:t>
  </x:si>
  <x:si>
    <x:t xml:space="preserve">通常以50作为荣枯线，高于50表示行业处于扩张状态，低于50则表示收缩。其变化趋势可用于预判经济周期拐点。</x:t>
  </x:si>
  <x:si>
    <x:t xml:space="preserve">M0017126</x:t>
  </x:si>
  <x:si>
    <x:t xml:space="preserve">PMI新订单49.9且回落，需求前瞻信号偏弱。</x:t>
  </x:si>
  <x:si>
    <x:t xml:space="preserve">PMI新订单</x:t>
  </x:si>
  <x:si>
    <x:t xml:space="preserve">PMI新订单领先生产和库存，是需求转折的关键分项，在本项中更能代表方向。</x:t>
  </x:si>
  <x:si>
    <x:t xml:space="preserve">制造业PMI调查中新订单分项，衡量当月新增订单数量环比变化。</x:t>
  </x:si>
  <x:si>
    <x:t xml:space="preserve">高于50=需求回暖；低于50=需求收缩。领先生产1-2个月，是经济拐点最早信号。</x:t>
  </x:si>
  <x:si>
    <x:t xml:space="preserve">M0017128</x:t>
  </x:si>
  <x:si>
    <x:t xml:space="preserve">PMI生产51.2仍扩张但回落，供给强于需求。</x:t>
  </x:si>
  <x:si>
    <x:t xml:space="preserve">PMI生产</x:t>
  </x:si>
  <x:si>
    <x:t xml:space="preserve">PMI生产偏同步确认，重要性低于新订单，用于补充确认核心信号。</x:t>
  </x:si>
  <x:si>
    <x:t xml:space="preserve">制造业PMI调查中生产分项，衡量当月实际产出环比变化。</x:t>
  </x:si>
  <x:si>
    <x:t xml:space="preserve">与新订单配合：订单↑生产↓=产能跟不上；订单↓生产↑=库存积压风险。</x:t>
  </x:si>
  <x:si>
    <x:t xml:space="preserve">M0017127</x:t>
  </x:si>
  <x:si>
    <x:t xml:space="preserve">非制造业PMI升至50.1，服务景气弱修复。</x:t>
  </x:si>
  <x:si>
    <x:t xml:space="preserve">非制造业PMI</x:t>
  </x:si>
  <x:si>
    <x:t xml:space="preserve">非制造业PMI补充服务业和建筑业景气，用于补充确认核心信号。</x:t>
  </x:si>
  <x:si>
    <x:t xml:space="preserve">非制造业PMI是反映服务业、建筑业等非制造业经济活动状况的月度综合指数。</x:t>
  </x:si>
  <x:si>
    <x:t xml:space="preserve">高于50表示行业扩张，低于50表示收缩。该指数是观察服务业景气度、消费活力以及经济结构转型的重要先行指标，常与制造业PMI结合分析以判断整体经济走势。</x:t>
  </x:si>
  <x:si>
    <x:t xml:space="preserve">M0048236</x:t>
  </x:si>
  <x:si>
    <x:t xml:space="preserve">工业增加值同比4.1%但回落1.6pct，生产端放缓。</x:t>
  </x:si>
  <x:si>
    <x:t xml:space="preserve">工业增加值</x:t>
  </x:si>
  <x:si>
    <x:t xml:space="preserve">工业增加值是生产侧硬数据，但公布滞后于PMI，用于补充确认核心信号。</x:t>
  </x:si>
  <x:si>
    <x:t xml:space="preserve">工业企业在报告期内以货币形式表现的工业生产活动的最终成果，它扣除了生产过程中的中间投入，反映了工业生产的实际增长。</x:t>
  </x:si>
  <x:si>
    <x:t xml:space="preserve">衡量工业经济规模和增长速度的核心指标，直接反映工业生产的活跃度和实体经济状况。通常关注其同比增速，用以判断工业部门是处于扩张还是收缩区间，是分析宏观经济走势、评估产业政策效果的关键数据。</x:t>
  </x:si>
  <x:si>
    <x:t xml:space="preserve">M0000545</x:t>
  </x:si>
  <x:si>
    <x:t xml:space="preserve">价格利润</x:t>
  </x:si>
  <x:si>
    <x:t xml:space="preserve">PPI同比3.9%且上行，上游价格和收入端改善，但不等于终端需求全面恢复。</x:t>
  </x:si>
  <x:si>
    <x:t xml:space="preserve">PPI</x:t>
  </x:si>
  <x:si>
    <x:t xml:space="preserve">PPI与工业盈利周期高度相关，是价格利润链条核心，在本项中更能代表方向。</x:t>
  </x:si>
  <x:si>
    <x:t xml:space="preserve">生产者价格指数，衡量工业产品出厂价格的平均变动情况，反映生产环节的价格水平。</x:t>
  </x:si>
  <x:si>
    <x:t xml:space="preserve">PPI持续上涨常伴随经济扩张，持续下跌则可能预示需求疲软和通缩风险。</x:t>
  </x:si>
  <x:si>
    <x:t xml:space="preserve">M0001227</x:t>
  </x:si>
  <x:si>
    <x:t xml:space="preserve">CPI同比1.2%且持平，居民端通胀温和，需求拉动仍不强。</x:t>
  </x:si>
  <x:si>
    <x:t xml:space="preserve">CPI</x:t>
  </x:si>
  <x:si>
    <x:t xml:space="preserve">CPI影响政策约束，但对工业利润和权益盈利传导较间接，用于补充确认核心信号。</x:t>
  </x:si>
  <x:si>
    <x:t xml:space="preserve">消费者价格指数，衡量居民购买的一篮子商品和服务的价格水平变动，是反映通货膨胀或紧缩程度的核心指标。</x:t>
  </x:si>
  <x:si>
    <x:t xml:space="preserve">CPI同比涨幅是判断通货膨胀水平的主要依据，直接影响货币政策</x:t>
  </x:si>
  <x:si>
    <x:t xml:space="preserve">M0000612</x:t>
  </x:si>
  <x:si>
    <x:t xml:space="preserve">猪肉价格指数同比仍弱，食品端对CPI支撑有限。</x:t>
  </x:si>
  <x:si>
    <x:t xml:space="preserve">中国:农产品批发价格指数:猪肉</x:t>
  </x:si>
  <x:si>
    <x:t xml:space="preserve">猪肉批发价格指数是中国CPI食品项的重要高频线索，能提前观察居民通胀压力；但它只覆盖单一品类，不能代表整体价格周期，因此作为CPI的辅助观察。</x:t>
  </x:si>
  <x:si>
    <x:t xml:space="preserve">猪肉CPI重要分项，食品通胀核心</x:t>
  </x:si>
  <x:si>
    <x:t xml:space="preserve">上涨→通胀预期升温→货币政策受限</x:t>
  </x:si>
  <x:si>
    <x:t xml:space="preserve">日度</x:t>
  </x:si>
  <x:si>
    <x:t xml:space="preserve">V6842305</x:t>
  </x:si>
  <x:si>
    <x:t xml:space="preserve">布伦特油价93.1且环比上涨，输入性因素对PPI和通胀预期形成支撑。</x:t>
  </x:si>
  <x:si>
    <x:t xml:space="preserve">期货结算价(活跃合约):布伦特原油</x:t>
  </x:si>
  <x:si>
    <x:t xml:space="preserve">布伦特原油价格是全球能源成本和输入性通胀的重要来源，会影响PPI、CPI、企业利润和风险偏好；但短期受地缘和供给扰动较大，需与国内价格指标一起判断。</x:t>
  </x:si>
  <x:si>
    <x:t xml:space="preserve">原油、煤炭等价格，影响输入性通胀</x:t>
  </x:si>
  <x:si>
    <x:t xml:space="preserve">上涨→能源股受益；下跌→成本下降利好制造业</x:t>
  </x:si>
  <x:si>
    <x:t xml:space="preserve">S0031525</x:t>
  </x:si>
  <x:si>
    <x:t xml:space="preserve">原材料购价指数60.5仍高，但环比回落，成本压力边际缓和。</x:t>
  </x:si>
  <x:si>
    <x:t xml:space="preserve">原材料购价</x:t>
  </x:si>
  <x:si>
    <x:t xml:space="preserve">原材料购价领先PPI和成本压力，是利润率的前瞻信号，用于补充确认核心信号。</x:t>
  </x:si>
  <x:si>
    <x:t xml:space="preserve">PMI中的“原材料购进价格”是衡量制造业企业采购主要原材料时支付价格环比变化的扩散指数，反映上游成本端通胀压力。</x:t>
  </x:si>
  <x:si>
    <x:t xml:space="preserve">该指数高于50%表示价格上涨、成本压力加大，通常预示PPI走高或企业利润受挤压；低于50%则表示价格下跌，利于中下游行业降低成本但可能暗示需求疲软。</x:t>
  </x:si>
  <x:si>
    <x:t xml:space="preserve">M0017134</x:t>
  </x:si>
  <x:si>
    <x:t xml:space="preserve">工业企业利润同比18.2%且继续改善，盈利修复较强，但需和终端需求分开看。</x:t>
  </x:si>
  <x:si>
    <x:t xml:space="preserve">工业企业利润总额累计同比</x:t>
  </x:si>
  <x:si>
    <x:t xml:space="preserve">工业企业利润直接连接宏观景气与企业盈利，在本项中更能代表方向。</x:t>
  </x:si>
  <x:si>
    <x:t xml:space="preserve">全国规模以上工业企业利润总额累计同比增速。</x:t>
  </x:si>
  <x:si>
    <x:t xml:space="preserve">转正=盈利周期上行，利好A股。与PPI配合：PPI↑利润↑=需求改善型，PPI↑利润↓=成本挤压型。</x:t>
  </x:si>
  <x:si>
    <x:t xml:space="preserve">M0000557</x:t>
  </x:si>
  <x:si>
    <x:t xml:space="preserve">工业企业利润率5.43%且同比提升，盈利质量改善，更多体现价格和成本结构修复。</x:t>
  </x:si>
  <x:si>
    <x:t xml:space="preserve">工业企业营业收入利润率</x:t>
  </x:si>
  <x:si>
    <x:t xml:space="preserve">利润率衡量盈利质量，可区分增收与真实增利，在本项中更能代表方向。</x:t>
  </x:si>
  <x:si>
    <x:t xml:space="preserve">全国规模以上工业企业营业利润与营业收入之比。</x:t>
  </x:si>
  <x:si>
    <x:t xml:space="preserve">利润率↑=增收又增利；利润率↓+增速↑=以量换价，增收不增利。</x:t>
  </x:si>
  <x:si>
    <x:t xml:space="preserve">M5207655</x:t>
  </x:si>
  <x:si>
    <x:t xml:space="preserve">政策面</x:t>
  </x:si>
  <x:si>
    <x:t xml:space="preserve">中性偏积极：货币政策维持稳定，财政加杠杆释放稳增长信号：货币政策保持稳定；财政方面，中央财政加杠杆仍在推进（中央政府债务同比+19.3%），财政支出偏温和（一般公共预算支出累计同比1.31%）。
</x:t>
  </x:si>
  <x:si>
    <x:t xml:space="preserve">货币政策</x:t>
  </x:si>
  <x:si>
    <x:t xml:space="preserve">定性跟踪项，需结合最新货币政策报告和会议措辞确认，暂不量化。</x:t>
  </x:si>
  <x:si>
    <x:t xml:space="preserve">关注货币政策报告</x:t>
  </x:si>
  <x:si>
    <x:t xml:space="preserve">货币政策方向决定流动性框架边界，虽不定期但信号权威，在本项中更能代表方向。</x:t>
  </x:si>
  <x:si>
    <x:t xml:space="preserve">关注货币政策的走向是对央行政策表述、不是单一可量化经济指标。</x:t>
  </x:si>
  <x:si>
    <x:t xml:space="preserve">偏宽松表述升温通常意味着政策托底增强，资金面和风险偏好改善；偏收紧或防风险表述升温，通常意味着杠杆和估值受约束。</x:t>
  </x:si>
  <x:si>
    <x:t xml:space="preserve">不定期</x:t>
  </x:si>
  <x:si>
    <x:t xml:space="preserve">定性跟踪</x:t>
  </x:si>
  <x:si>
    <x:t xml:space="preserve">—</x:t>
  </x:si>
  <x:si>
    <x:t xml:space="preserve">-</x:t>
  </x:si>
  <x:si>
    <x:t xml:space="preserve">财政政策</x:t>
  </x:si>
  <x:si>
    <x:t xml:space="preserve">财政收入累计同比3.46%，收入端小幅修复但不等同于政策发力。</x:t>
  </x:si>
  <x:si>
    <x:t xml:space="preserve">中国:一般公共预算收入:累计值</x:t>
  </x:si>
  <x:si>
    <x:t xml:space="preserve">公共财政收入累计值反映财政收入端的资源基础，能观察经济活动和税收恢复情况；但收入本身不等于政策发力，需结合支出、赤字和财政存款一起判断，因此权重低于财政支出和财政脉冲。</x:t>
  </x:si>
  <x:si>
    <x:t xml:space="preserve">税收与非税收入，反映财政健康度</x:t>
  </x:si>
  <x:si>
    <x:t xml:space="preserve">增长→财政空间充足；下滑→财政压力增大</x:t>
  </x:si>
  <x:si>
    <x:t xml:space="preserve">M0046168</x:t>
  </x:si>
  <x:si>
    <x:t xml:space="preserve">财政支出累计同比1.31%，支出扩张偏温和，托底力度不强。</x:t>
  </x:si>
  <x:si>
    <x:t xml:space="preserve">中国:一般公共预算支出:累计值</x:t>
  </x:si>
  <x:si>
    <x:t xml:space="preserve">一般公共预算支出累计值直接反映财政资金实际投放规模，是观察财政托底力度的重要金额口径；但单看累计值受年度进度和季节性影响较大，需要结合支出同比、财政收入和赤字脉冲判断。</x:t>
  </x:si>
  <x:si>
    <x:t xml:space="preserve">一般公共预算支出累计值是政府一般公共预算从年初到当前月份已经发生的支出总额，覆盖教育、社保、卫生、城乡社区、农林水、债务付息等公共财政支出。它反映的是财政资金已经投向经济和公共服务领域的累计规模。</x:t>
  </x:si>
  <x:si>
    <x:t xml:space="preserve">支出累计值加快上行，通常说明财政资金投放节奏更快，对基建、公共服务和总需求形成托底；若收入偏弱但支出仍扩张，财政逆周期力度更强。使用时要和公共财政收入、支出同比、政府债发行及财政存款一起看。</x:t>
  </x:si>
  <x:si>
    <x:t xml:space="preserve">M0046166</x:t>
  </x:si>
  <x:si>
    <x:t xml:space="preserve">土地出让收入同比-27.2%且降幅扩大，地方财政和地产链压力偏大。</x:t>
  </x:si>
  <x:si>
    <x:t xml:space="preserve">中国:地方政府性基金收入:国有土地使用权出让收入:累计同比</x:t>
  </x:si>
  <x:si>
    <x:t xml:space="preserve">土地出让收入累计同比反映地方政府性基金收入和地产链景气，对地方财政、基建配套和地产政策空间有辅助意义；但受土地成交节奏扰动较大，因此权重低于一般公共财政支出。</x:t>
  </x:si>
  <x:si>
    <x:t xml:space="preserve">地方政府土地出让收入，地方财政重要来源</x:t>
  </x:si>
  <x:si>
    <x:t xml:space="preserve">下降→地方财政压力上升，城投风险暴露</x:t>
  </x:si>
  <x:si>
    <x:t xml:space="preserve">M0096886</x:t>
  </x:si>
  <x:si>
    <x:t xml:space="preserve">中央政府债务余额同比增19.3%，中央财政加杠杆信号明显。</x:t>
  </x:si>
  <x:si>
    <x:t xml:space="preserve">中国:中央政府债务余额</x:t>
  </x:si>
  <x:si>
    <x:t xml:space="preserve">中央政府债务余额用于观察中央财政加杠杆程度和债务扩张空间，但它是余额型指标，边际政策信号弱于赤字率、政府债发行和财政支出，因此作为背景约束指标。</x:t>
  </x:si>
  <x:si>
    <x:t xml:space="preserve">政府债务余额，反映财政可持续性</x:t>
  </x:si>
  <x:si>
    <x:t xml:space="preserve">快速增长→长期财政压力，通胀风险积累</x:t>
  </x:si>
  <x:si>
    <x:t xml:space="preserve">M5567950</x:t>
  </x:si>
  <x:si>
    <x:t xml:space="preserve">财政赤字脉冲仍为负但环比改善，财政边际由收缩向修复。</x:t>
  </x:si>
  <x:si>
    <x:t xml:space="preserve">财政赤字脉冲</x:t>
  </x:si>
  <x:si>
    <x:t xml:space="preserve">财政赤字脉冲反映财政边际方向，但季度频率较低，用于补充确认核心信号。</x:t>
  </x:si>
  <x:si>
    <x:t xml:space="preserve">财政赤字率（赤字/GDP）的同比变化值。正值=边际扩张，负值=边际收缩。
（每月的一般公共预算收入-一般公共预算支出）/去年GDP   滚动12个月计算</x:t>
  </x:si>
  <x:si>
    <x:t xml:space="preserve">正值=财政边际发力，利好经济预期；负值=财政边际收缩。关注两会后赤字率目标与实际执行差异。</x:t>
  </x:si>
  <x:si>
    <x:t xml:space="preserve">M0046168-M0046166/M0001395</x:t>
  </x:si>
  <x:si>
    <x:t xml:space="preserve">财政存款累计增加1.2万亿且环比大增，资金仍有沉淀，财政落地节奏偏慢。</x:t>
  </x:si>
  <x:si>
    <x:t xml:space="preserve">财政存款（累计值）</x:t>
  </x:si>
  <x:si>
    <x:t xml:space="preserve">财政存款累计值反映财政资金在银行体系中的沉淀和变化，是判断财政资金投放节奏的辅助指标；但累计口径不如财政存款当月变化直接，因此权重低于财政存款边际变化和财政赤字脉冲。</x:t>
  </x:si>
  <x:si>
    <x:t xml:space="preserve">财政存款累计值是金融机构人民币存款统计中，财政部门存款从年初以来的累计新增规模。它衡量的是财政资金在银行体系中形成存款的累计变化，不等同于单月财政支出，也不是美国TGA余额这类国库现金余额。</x:t>
  </x:si>
  <x:si>
    <x:t xml:space="preserve">累计增加较快，通常说明财政资金更多沉淀在存款端，对实体投放和银行体系流动性的即时支持偏弱；累计增速放缓或减少，通常说明财政资金加快拨付和使用。更适合与财政存款当月值、财政支出和政府债发行配合判断。</x:t>
  </x:si>
  <x:si>
    <x:t xml:space="preserve">M0048264</x:t>
  </x:si>
  <x:si>
    <x:t xml:space="preserve">资金面</x:t>
  </x:si>
  <x:si>
    <x:t xml:space="preserve">中性偏宽松但边际收敛：流动性维持偏宽松状态，但实体信用偏弱：央行流动性方面，公开市场仍有短端呵护（单日净投放1885亿元）；银行间流动性收敛，DR007回升，上穿政策利率（1.48%、高于7天逆回购），实体流动性方面，社融扩张偏弱（社融6245亿元、同比少增5354亿元）。
</x:t>
  </x:si>
  <x:si>
    <x:t xml:space="preserve">央行流动性
（30%）</x:t>
  </x:si>
  <x:si>
    <x:t xml:space="preserve">7天逆回购1.40%持平，政策利率锚稳定，短端基调中性偏宽。</x:t>
  </x:si>
  <x:si>
    <x:t xml:space="preserve">7天逆回购利率</x:t>
  </x:si>
  <x:si>
    <x:t xml:space="preserve">7天逆回购利率是政策利率锚，直接决定短端资金成本，在本项中更能代表方向。</x:t>
  </x:si>
  <x:si>
    <x:t xml:space="preserve">中国人民银行向一级交易商(一般包括具有较强资金实力的银行和证券公司)购买有价证券，并约定在未来7个自然日后卖回的短期流动性调节工具。</x:t>
  </x:si>
  <x:si>
    <x:t xml:space="preserve">
利率上调或持续偏紧，通常意味着政策边际收紧；利率下调通常是宽货币信号；与DR001协调使用，七天逆回购利率-20bp为政策利率隐形下限，DR001低于下限说明非常宽松。</x:t>
  </x:si>
  <x:si>
    <x:t xml:space="preserve">M0041371</x:t>
  </x:si>
  <x:si>
    <x:t xml:space="preserve">大型银行准备金率9.0%未变，长期基础货币未新增宽松。</x:t>
  </x:si>
  <x:si>
    <x:t xml:space="preserve">法定存款准备金率-大型国有银行</x:t>
  </x:si>
  <x:si>
    <x:t xml:space="preserve">法定存款准备金率影响长期基础货币供给，但调整频率低，主要作为辅助验证，避免与核心指标重复计数。</x:t>
  </x:si>
  <x:si>
    <x:t xml:space="preserve">指金融机构按规定向中央银行缴纳的存款准备金占其存款总额的比例，其中存款准备金是金融机构为保证客户提取存款和资金清算需要而准备的资金。</x:t>
  </x:si>
  <x:si>
    <x:t xml:space="preserve">看调整方向，降低准备金率（降准）能一次性释放大量长期资金，增加银行的放贷能力，对市场预期影响较大。</x:t>
  </x:si>
  <x:si>
    <x:t xml:space="preserve">M0061518</x:t>
  </x:si>
  <x:si>
    <x:t xml:space="preserve">单日公开市场净投放2065亿元、环比多285亿元，央行短端呵护仍在。</x:t>
  </x:si>
  <x:si>
    <x:t xml:space="preserve">公开市场操作:货币净投放</x:t>
  </x:si>
  <x:si>
    <x:t xml:space="preserve">日度公开市场净投放能观察央行短期态度，但单日噪音较大，用于补充确认核心信号。</x:t>
  </x:si>
  <x:si>
    <x:t xml:space="preserve">公开市场净投放可按日度或周度统计，是央行通过逆回购、正回购、央票等公开市场操作投放与到期回笼轧差后的净额。</x:t>
  </x:si>
  <x:si>
    <x:t xml:space="preserve">日度口径看即时投放态度，周度口径用于平滑单日噪音。连续净投放通常说明央行呵护短端流动性，连续净回笼说明投放边际收敛；但必须结合DR007相对7天逆回购利率的位置判断，不能单独推导资金面松紧。</x:t>
  </x:si>
  <x:si>
    <x:t xml:space="preserve">A4087688</x:t>
  </x:si>
  <x:si>
    <x:t xml:space="preserve">周度公开市场净回笼6827亿且环比少12871亿，短期投放边际收敛；但该项权重低，需结合DR007判断。</x:t>
  </x:si>
  <x:si>
    <x:t xml:space="preserve">周度口径主要用于平滑日度公开市场操作波动，主要作为辅助验证，避免与核心指标重复计数。</x:t>
  </x:si>
  <x:si>
    <x:t xml:space="preserve">周度</x:t>
  </x:si>
  <x:si>
    <x:t xml:space="preserve">M0061614</x:t>
  </x:si>
  <x:si>
    <x:t xml:space="preserve">央行贷款总投放10593亿、环比多933亿，结构性流动性改善。</x:t>
  </x:si>
  <x:si>
    <x:t xml:space="preserve">中央银行贷款-总投放</x:t>
  </x:si>
  <x:si>
    <x:t xml:space="preserve">央行贷款总投放能提示结构性工具总量方向，但频率偏低，主要作为辅助验证，避免与核心指标重复计数。</x:t>
  </x:si>
  <x:si>
    <x:t xml:space="preserve">月度的SLF、MLF、PSL、其他政策工具净投放的相加</x:t>
  </x:si>
  <x:si>
    <x:t xml:space="preserve">流动性观察，看投放量。
如果＞0，即为释放流动性；
如果＜0，即为回笼流动性；</x:t>
  </x:si>
  <x:si>
    <x:t xml:space="preserve">N7822723+Z0569230+Z7194825+P5747228+C8808133</x:t>
  </x:si>
  <x:si>
    <x:t xml:space="preserve">SLF仅净投放9亿，虽环比转正但规模很小，应急压力有限。</x:t>
  </x:si>
  <x:si>
    <x:t xml:space="preserve">中央银行贷款-常备借贷便利（SLF）净投放</x:t>
  </x:si>
  <x:si>
    <x:t xml:space="preserve">SLF偏应急工具，只有压力阶段才显著改变判断，主要作为辅助验证，避免与核心指标重复计数。</x:t>
  </x:si>
  <x:si>
    <x:t xml:space="preserve">主要通过抵押高信用评级债券等资产为金融机构提供1-3个月的大额流动性支持，对象以政策性银行和全国性商业银行为主。（约1-5%- 应急流动性工具）</x:t>
  </x:si>
  <x:si>
    <x:t xml:space="preserve">SLF属于应急流动性工具。净投放明显放大通常说明个别机构临时流动性压力上升或央行提供应急支持；规模很小时只作压力验证，不作为总量流动性核心判断。</x:t>
  </x:si>
  <x:si>
    <x:t xml:space="preserve">N7822723</x:t>
  </x:si>
  <x:si>
    <x:t xml:space="preserve">MLF净投放1000亿、环比多3000亿，边际宽松但同比仍少投放。</x:t>
  </x:si>
  <x:si>
    <x:t xml:space="preserve">中央银行贷款-中期借贷便利（MLF）净投放</x:t>
  </x:si>
  <x:si>
    <x:t xml:space="preserve">MLF影响中期银行负债成本，但当前边际信号弱于政策利率和信用数据，主要作为辅助验证，避免与核心指标重复计数。</x:t>
  </x:si>
  <x:si>
    <x:t xml:space="preserve">期限主要为3个月、6个月和1年，采用质押方式发放，质押品包括国债、央行票据、政策性金融债、高等级信用债等优质债券。（约20-30%- 中期流动性调节工具）</x:t>
  </x:si>
  <x:si>
    <x:t xml:space="preserve">MLF影响银行中期负债成本和中期基础货币供给。净投放增加偏宽松、缩量或净回笼偏收敛，但需结合MLF利率、LPR和到期量判断，单月续作有到期扰动。</x:t>
  </x:si>
  <x:si>
    <x:t xml:space="preserve">Z0569230</x:t>
  </x:si>
  <x:si>
    <x:t xml:space="preserve">PSL仍净回笼1545亿，回笼幅度收窄但结构支持仍偏弱。</x:t>
  </x:si>
  <x:si>
    <x:t xml:space="preserve">中央银行贷款-抵押补充贷款（PSL）净投放</x:t>
  </x:si>
  <x:si>
    <x:t xml:space="preserve">PSL偏结构性支持，主要影响特定领域而非总量周期，主要作为辅助验证，避免与核心指标重复计数。</x:t>
  </x:si>
  <x:si>
    <x:t xml:space="preserve">通过质押方式向国家开发银行、农业发展银行和进出口银行发放中长期贷款，PSL通常面向政策性银行，带有定向支持棚改、基建等领域的中长期资金属性。</x:t>
  </x:si>
  <x:si>
    <x:t xml:space="preserve">PSL是定向结构性工具，主要影响政策性金融、地产链和基建相关信用投放。净投放改善说明结构性宽信用增强，但对银行间短端资金价格的直接影响弱于DR007和公开市场操作。</x:t>
  </x:si>
  <x:si>
    <x:t xml:space="preserve">Z7194825</x:t>
  </x:si>
  <x:si>
    <x:t xml:space="preserve">其他工具净投放1129亿但环比少2538亿，结构支持边际放缓。</x:t>
  </x:si>
  <x:si>
    <x:t xml:space="preserve">中央银行贷款-其他政策工具净投放</x:t>
  </x:si>
  <x:si>
    <x:t xml:space="preserve">其他政策工具透明度和连续性较弱，只做结构补充，主要作为辅助验证，避免与核心指标重复计数。</x:t>
  </x:si>
  <x:si>
    <x:t xml:space="preserve">其他结构性货币政策工具是指中国人民银行除常规货币政策工具外，为引导金融机构信贷投向特定经济领域或部门而创设的、具有定向调控特征的货币政策工具。</x:t>
  </x:si>
  <x:si>
    <x:t xml:space="preserve">其他结构性工具用于补充观察定向政策支持。由于透明度和连续性弱，适合解释结构性信用变化，不能单独判断总量宽松或收紧。</x:t>
  </x:si>
  <x:si>
    <x:t xml:space="preserve">P5747228</x:t>
  </x:si>
  <x:si>
    <x:t xml:space="preserve">银行间流动性
（20%）</x:t>
  </x:si>
  <x:si>
    <x:t xml:space="preserve">DR001为1.3939%，低于7天逆回购1.40%，隔夜资金偏宽松。</x:t>
  </x:si>
  <x:si>
    <x:t xml:space="preserve">①DR001</x:t>
  </x:si>
  <x:si>
    <x:t xml:space="preserve">DR001是隔夜资金温度计，但期限过短、波动更大，主要作为辅助验证，避免与核心指标重复计数。</x:t>
  </x:si>
  <x:si>
    <x:t xml:space="preserve">银行间以利率债为质押的隔夜回购加权平均利率</x:t>
  </x:si>
  <x:si>
    <x:t xml:space="preserve">衡量短期银行体系内的流动性松紧程度，DR001低于7天逆回购-20BP，说明货币极度宽松</x:t>
  </x:si>
  <x:si>
    <x:t xml:space="preserve">M1006336</x:t>
  </x:si>
  <x:si>
    <x:t xml:space="preserve">DR007为1.4671%，较7天逆回购高约6.7bp，资金价格继续高于政策利率，边际收敛延续。</x:t>
  </x:si>
  <x:si>
    <x:t xml:space="preserve">②DR007</x:t>
  </x:si>
  <x:si>
    <x:t xml:space="preserve">DR007是银行间资金面的核心观察利率，贴近政策传导，用于补充确认核心信号。</x:t>
  </x:si>
  <x:si>
    <x:t xml:space="preserve">银行间以利率债为质押的7天期回购利率</x:t>
  </x:si>
  <x:si>
    <x:t xml:space="preserve">反映银行体系内7天期流动性松紧程度，DR007低于7天逆回购利率，说明资金宽松；接近7天逆回购利率，说明资金面平稳；持续高于7天逆回购利率，说明资金面偏紧</x:t>
  </x:si>
  <x:si>
    <x:t xml:space="preserve">M1006337</x:t>
  </x:si>
  <x:si>
    <x:t xml:space="preserve">R001与DR001利差约2.7bp，非银隔夜融资分层不明显。</x:t>
  </x:si>
  <x:si>
    <x:t xml:space="preserve">③R001</x:t>
  </x:si>
  <x:si>
    <x:t xml:space="preserve">R001主要识别非银隔夜压力，是DR利率的辅助验证，主要作为辅助验证，避免与核心指标重复计数。</x:t>
  </x:si>
  <x:si>
    <x:t xml:space="preserve">银行间市场全机构（包括非银）参与的以利率债为质押的隔夜回购加权平均利率</x:t>
  </x:si>
  <x:si>
    <x:t xml:space="preserve">与DR001/DR007差小于5BP，表明表明资金传导顺畅，流动性宽松，银行与非银机构融资成本差异不大。</x:t>
  </x:si>
  <x:si>
    <x:t xml:space="preserve">M1001794</x:t>
  </x:si>
  <x:si>
    <x:t xml:space="preserve">R007与DR007几乎持平，非银7天资金传导顺畅。</x:t>
  </x:si>
  <x:si>
    <x:t xml:space="preserve">④R007</x:t>
  </x:si>
  <x:si>
    <x:t xml:space="preserve">R007补充非银7天融资压力，但不如DR007稳定，主要作为辅助验证，避免与核心指标重复计数。</x:t>
  </x:si>
  <x:si>
    <x:t xml:space="preserve">银行间市场全机构（包括非银）参与的以利率债为质押的7天期回购利率</x:t>
  </x:si>
  <x:si>
    <x:t xml:space="preserve">R007反映全机构7天质押式回购成本，需与DR007比较。R007明显高于DR007说明非银融资压力上升；二者同步上行并上穿政策利率，才更能说明资金面边际收紧。</x:t>
  </x:si>
  <x:si>
    <x:t xml:space="preserve">M1001795</x:t>
  </x:si>
  <x:si>
    <x:t xml:space="preserve">3M Shibor低位微升0.6bp，中期资金价格边际收敛但整体不紧。</x:t>
  </x:si>
  <x:si>
    <x:t xml:space="preserve">SHIBOR:3个月</x:t>
  </x:si>
  <x:si>
    <x:t xml:space="preserve">3个月SHIBOR反映银行中期同业负债成本，比隔夜和7天利率更能观察资金面压力向银行负债端的传导；但它仍是报价型利率，受同业结构和期限溢价影响，因此作为DR007、R007后的辅助期限指标。</x:t>
  </x:si>
  <x:si>
    <x:t xml:space="preserve">上海银行间同业拆放利率，反映短期资金成本</x:t>
  </x:si>
  <x:si>
    <x:t xml:space="preserve">上升→流动性紧张；下降→宽松</x:t>
  </x:si>
  <x:si>
    <x:t xml:space="preserve">M0017142</x:t>
  </x:si>
  <x:si>
    <x:t xml:space="preserve">实体流动性</x:t>
  </x:si>
  <x:si>
    <x:t xml:space="preserve">社融2.03万亿元且同比少增2636亿元，较上月明显修复但仍低于去年同期。</x:t>
  </x:si>
  <x:si>
    <x:t xml:space="preserve">社会融资规模</x:t>
  </x:si>
  <x:si>
    <x:t xml:space="preserve">社融是实体融资最宽口径，是中国信用周期的核心代表，在本项中更能代表方向。</x:t>
  </x:si>
  <x:si>
    <x:t xml:space="preserve">社会融资规模，是指一定时期内实体经济从金融体系获得的全部资金总额。它反映了金融对实体经济的支持力度。</x:t>
  </x:si>
  <x:si>
    <x:t xml:space="preserve">增长加快通常意味着经济活力增强或政策宽松；
增长放缓则可能预示经济动能不足，常作为预判政策调整的依据。</x:t>
  </x:si>
  <x:si>
    <x:t xml:space="preserve">M5206730</x:t>
  </x:si>
  <x:si>
    <x:t xml:space="preserve">新增人民币贷款4965亿元且同比少增958亿元，信贷较上月修复但仍低于去年同期。</x:t>
  </x:si>
  <x:si>
    <x:t xml:space="preserve">新增人民币贷款</x:t>
  </x:si>
  <x:si>
    <x:t xml:space="preserve">新增人民币贷款是社融中最重要的实体信用来源，在本项中更能代表方向。</x:t>
  </x:si>
  <x:si>
    <x:t xml:space="preserve">当月金融机构新发放的人民币贷款增量。</x:t>
  </x:si>
  <x:si>
    <x:t xml:space="preserve">新增贷款比若持续提升，说明资金流向实体投资</x:t>
  </x:si>
  <x:si>
    <x:t xml:space="preserve">M5206731</x:t>
  </x:si>
  <x:si>
    <x:t xml:space="preserve">政府债融资1.22万亿元、较上月增加3195亿元，政府债供给边际增加。</x:t>
  </x:si>
  <x:si>
    <x:t xml:space="preserve">政府债券</x:t>
  </x:si>
  <x:si>
    <x:t xml:space="preserve">政府债融资直接对应财政发力和稳增长节奏，在本项中更能代表方向。</x:t>
  </x:si>
  <x:si>
    <x:t xml:space="preserve">政府债券融资是政府部门通过发行国债、地方政府债等债券获得的融资，在社融口径中反映财政融资对实体经济资金来源的贡献。</x:t>
  </x:si>
  <x:si>
    <x:t xml:space="preserve">财政力度。跟踪政府债净融资节奏，其放量会直接推升社融。</x:t>
  </x:si>
  <x:si>
    <x:t xml:space="preserve">M6179492</x:t>
  </x:si>
  <x:si>
    <x:t xml:space="preserve">票据融资-5284亿且同比少增2490亿，银行冲量因素减弱。</x:t>
  </x:si>
  <x:si>
    <x:t xml:space="preserve">票据融资</x:t>
  </x:si>
  <x:si>
    <x:t xml:space="preserve">票据融资用于判断银行冲量和真实贷款需求质量，主要作为辅助验证，避免与核心指标重复计数。</x:t>
  </x:si>
  <x:si>
    <x:t xml:space="preserve">票据融资是企业通过商业汇票承兑、贴现等票据方式获得的短期融资，属于银行信贷和企业短期周转融资的重要口径。</x:t>
  </x:si>
  <x:si>
    <x:t xml:space="preserve">上升可能说明短期融资需求增加；下降若伴随中长期贷款上升，反而可能说明信贷结构改善。</x:t>
  </x:si>
  <x:si>
    <x:t xml:space="preserve">M5206735</x:t>
  </x:si>
  <x:si>
    <x:t xml:space="preserve">企业债融资1680亿元、较上月减少2840亿元，信用债供给边际回落。</x:t>
  </x:si>
  <x:si>
    <x:t xml:space="preserve">企业债券融资</x:t>
  </x:si>
  <x:si>
    <x:t xml:space="preserve">企业债融资反映直接融资环境和信用风险偏好，主要作为辅助验证，避免与核心指标重复计数。</x:t>
  </x:si>
  <x:si>
    <x:t xml:space="preserve">企业债券融资是非金融企业通过债券市场发行债券获得的直接融资，反映企业除银行贷款之外的市场化融资渠道。</x:t>
  </x:si>
  <x:si>
    <x:t xml:space="preserve">多增=直接融资通道活跃；少增=信用环境偏紧或发债意愿下降。</x:t>
  </x:si>
  <x:si>
    <x:t xml:space="preserve">M5206736</x:t>
  </x:si>
  <x:si>
    <x:t xml:space="preserve">M1为5.0%且同比改善，但仍低于M2的8.6%，资金活化修复不充分。</x:t>
  </x:si>
  <x:si>
    <x:t xml:space="preserve">M1</x:t>
  </x:si>
  <x:si>
    <x:t xml:space="preserve">M1反映资金活化程度，对企业经营和风险偏好更领先，在本项中更能代表方向。</x:t>
  </x:si>
  <x:si>
    <x:t xml:space="preserve">M1是狭义货币供应量。M1包括流通中货币M0、单位活期存款、个人活期存款，代表流动性最强、可直接用于支付和交易的一层货币。</x:t>
  </x:si>
  <x:si>
    <x:t xml:space="preserve">M1增速变化是观察经济活跃度和消费投资意愿的“晴雨表”。其增速加快常预示企业投资和居民消费活跃，经济趋向活跃；
反之则可能反映经济活力不足</x:t>
  </x:si>
  <x:si>
    <x:t xml:space="preserve">M0001383</x:t>
  </x:si>
  <x:si>
    <x:t xml:space="preserve">M2为8.6%、环比小升0.1pct，总量流动性平稳偏宽。</x:t>
  </x:si>
  <x:si>
    <x:t xml:space="preserve">M2</x:t>
  </x:si>
  <x:si>
    <x:t xml:space="preserve">M2代表广义货币总水位，但对增长拐点的领先性弱于社融和M1，用于补充确认核心信号。</x:t>
  </x:si>
  <x:si>
    <x:t xml:space="preserve">M2是广义货币供应量，在M1的基础上增加了企业定期存款、居民定期储蓄存款等，代表了社会总购买力和潜在购买力，是衡量货币供应总量的关键指标。</x:t>
  </x:si>
  <x:si>
    <x:t xml:space="preserve">M2增速是观察中长期流动性、通货膨胀压力以及货币政策“总闸门”松紧的核心指标。
其稳定增长通常对应经济平稳运行，过快增长可能预示通胀风险，增长过慢则可能反映需求不足。分析时常与M1结合，若M1增速持续高于M2，表明资金活化程度高，经济活力增强。</x:t>
  </x:si>
  <x:si>
    <x:t xml:space="preserve">M0001385</x:t>
  </x:si>
  <x:si>
    <x:t xml:space="preserve">居民杠杆率59.0%、同比降2.5pct，居民信用扩张仍谨慎。</x:t>
  </x:si>
  <x:si>
    <x:t xml:space="preserve">中国:居民部门杠杆率</x:t>
  </x:si>
  <x:si>
    <x:t xml:space="preserve">居民部门杠杆率反映居民资产负债表扩张空间和消费、地产信用约束，对中期需求有指示意义；但季度更新且属于慢变量，权重低于社融、居民贷款和M1等更敏感的信用指标。</x:t>
  </x:si>
  <x:si>
    <x:t xml:space="preserve">居民部门债务占GDP比重</x:t>
  </x:si>
  <x:si>
    <x:t xml:space="preserve">快速上升→金融风险积累，消费受压制</x:t>
  </x:si>
  <x:si>
    <x:t xml:space="preserve">M6404533</x:t>
  </x:si>
  <x:si>
    <x:t xml:space="preserve">政府杠杆率70.3%、同比升7.1pct，财政加杠杆明显。</x:t>
  </x:si>
  <x:si>
    <x:t xml:space="preserve">中国:政府部门杠杆率</x:t>
  </x:si>
  <x:si>
    <x:t xml:space="preserve">政府部门杠杆率衡量财政加杠杆空间和稳增长约束，能辅助判断基建、财政支出和政府债融资的持续性；但更新频率低，更多用于确认财政周期背景。</x:t>
  </x:si>
  <x:si>
    <x:t xml:space="preserve">政府部门债务占GDP比重</x:t>
  </x:si>
  <x:si>
    <x:t xml:space="preserve">上升→财政空间收窄，政策约束增加</x:t>
  </x:si>
  <x:si>
    <x:t xml:space="preserve">M6404535</x:t>
  </x:si>
  <x:si>
    <x:t xml:space="preserve">企业杠杆率180.0%、同比升6.3pct，融资扩张伴随债务压力。</x:t>
  </x:si>
  <x:si>
    <x:t xml:space="preserve">中国:非金融企业部门杠杆率</x:t>
  </x:si>
  <x:si>
    <x:t xml:space="preserve">非金融企业部门杠杆率反映企业资产负债表压力和再融资空间，对投资扩张、信用风险和盈利修复都有中期影响，因此重要性高于居民杠杆率；但它仍是季度慢变量，不能替代月度信用数据。</x:t>
  </x:si>
  <x:si>
    <x:t xml:space="preserve">非金融企业债务占GDP比重</x:t>
  </x:si>
  <x:si>
    <x:t xml:space="preserve">过高→债务偿还压力大，投资能力受限</x:t>
  </x:si>
  <x:si>
    <x:t xml:space="preserve">M6404534</x:t>
  </x:si>
  <x:si>
    <x:t xml:space="preserve">1年LPR为3.00%且持平，贷款定价未进一步宽松。</x:t>
  </x:si>
  <x:si>
    <x:t xml:space="preserve">中国:贷款市场报价利率(LPR):1年</x:t>
  </x:si>
  <x:si>
    <x:t xml:space="preserve">1年LPR是企业和居民贷款定价的重要基准，直接影响实体融资成本和信用扩张意愿；但调整频率不高，更多用于判断政策利率向贷款端的传导效果。</x:t>
  </x:si>
  <x:si>
    <x:t xml:space="preserve">中国银行贷款定价基准，实体经济融资成本风向标</x:t>
  </x:si>
  <x:si>
    <x:t xml:space="preserve">下调→信贷宽松→利好股市/房地产</x:t>
  </x:si>
  <x:si>
    <x:t xml:space="preserve">M0096870</x:t>
  </x:si>
  <x:si>
    <x:t xml:space="preserve">海外流动性</x:t>
  </x:si>
  <x:si>
    <x:t xml:space="preserve">结售汇顺差400.8亿美元且同比多443.4亿，人民币流动性支撑增强。</x:t>
  </x:si>
  <x:si>
    <x:t xml:space="preserve">中国:银行结售汇差额:当月值</x:t>
  </x:si>
  <x:si>
    <x:t xml:space="preserve">银行结售汇差额直接反映境内外汇供求和跨境资金结汇/购汇意愿，对人民币流动性和汇率预期有辅助判断价值；但数据为月度且受企业季节性结算和政策因素影响，因此权重低于社融、M1/M2等核心信用指标。</x:t>
  </x:si>
  <x:si>
    <x:t xml:space="preserve">银行结售汇差额是银行结汇金额与售汇金额的差额，通常口径为银行代客及自身办理的结汇额减去售汇额。结汇是市场主体把外汇卖给银行、换成人民币；售汇是市场主体向银行买入外汇。差额为正，表示结汇大于售汇，外汇供给相对强；差额为负，表示购汇需求更强，外汇供求偏紧。</x:t>
  </x:si>
  <x:si>
    <x:t xml:space="preserve">持续为正或边际改善，通常说明企业和居民更愿意把外汇换成人民币，人民币汇率和境内流动性环境更有支撑；持续为负或快速恶化，通常提示购汇需求上升、资本流出或人民币贬值压力加大。使用时要结合美元指数、人民币汇率和季节性结算因素一起看。</x:t>
  </x:si>
  <x:si>
    <x:t xml:space="preserve">M5207849</x:t>
  </x:si>
  <x:si>
    <x:t xml:space="preserve">中债10Y升至1.7743%、环比上行1.29bp，长端资金边际收敛。</x:t>
  </x:si>
  <x:si>
    <x:t xml:space="preserve">中国:国债收益率:10年</x:t>
  </x:si>
  <x:si>
    <x:t xml:space="preserve">中国10年期国债收益率是国内长期无风险利率锚，能反映增长预期、通胀预期和配置需求变化；在本模块中主要用于补充观察中长期利率环境。</x:t>
  </x:si>
  <x:si>
    <x:t xml:space="preserve">中国长期无风险利率的代表，资产定价的锚</x:t>
  </x:si>
  <x:si>
    <x:t xml:space="preserve">上升→债券价格下跌；下降→债券价格上涨</x:t>
  </x:si>
  <x:si>
    <x:t xml:space="preserve">M0325687</x:t>
  </x:si>
  <x:si>
    <x:t xml:space="preserve">美债10Y升至4.55%、环比上行2bp，外部折现率压力上升。</x:t>
  </x:si>
  <x:si>
    <x:t xml:space="preserve">美国:国债收益率:10年</x:t>
  </x:si>
  <x:si>
    <x:t xml:space="preserve">美国10年期国债收益率代表全球美元长期利率锚，会影响人民币资产估值、汇率压力和跨境资金偏好；但它不是中国本土流动性变量，因此作为外部约束指标给予中低权重。</x:t>
  </x:si>
  <x:si>
    <x:t xml:space="preserve">全球资产定价锚，反映美国经济与通胀预期</x:t>
  </x:si>
  <x:si>
    <x:t xml:space="preserve">上升→全球流动性收紧；下降→宽松预期</x:t>
  </x:si>
  <x:si>
    <x:t xml:space="preserve">G0000891</x:t>
  </x:si>
  <x:si>
    <x:t xml:space="preserve">中美10Y利差-2.7757%、倒挂小幅扩大，汇率和外资压力仍在。</x:t>
  </x:si>
  <x:si>
    <x:t xml:space="preserve">中美10年期国债利差 (中-美)</x:t>
  </x:si>
  <x:si>
    <x:t xml:space="preserve">中美10年期国债利差直接衡量中美长期利率相对吸引力，对汇率、外资配置和跨境资金流向有较强解释力；相比单独看两国利率，利差更适合做外部流动性约束判断。</x:t>
  </x:si>
  <x:si>
    <x:t xml:space="preserve">中美国债收益率差值，影响跨境资金流动</x:t>
  </x:si>
  <x:si>
    <x:t xml:space="preserve">利差收窄→资金外流压力；利差扩大→资金流入</x:t>
  </x:si>
  <x:si>
    <x:t xml:space="preserve">M0325687-G0000891</x:t>
  </x:si>
  <x:si>
    <x:t xml:space="preserve">情绪面</x:t>
  </x:si>
  <x:si>
    <x:t xml:space="preserve">中性偏强但边际降温：成交仍维持高活跃，情绪延续，但外资参与边际回落：交易活跃（A股成交额3.09万亿元、较上日增加356亿元）；被动资金流转弱（ETF净流出201亿元、较上日扩大39亿元）；外资参与边际回落（北向资金成交额3829.9亿元、较上日减少267.3亿元）。
</x:t>
  </x:si>
  <x:si>
    <x:t xml:space="preserve">资金流指标</x:t>
  </x:si>
  <x:si>
    <x:t xml:space="preserve">北向成交额3498.7亿，接近3500亿活跃阈值但环比回落，外资参与度高位略降；该指标为成交额而非净流入，需与ETF和指数表现交叉。</x:t>
  </x:si>
  <x:si>
    <x:t xml:space="preserve">北向资金成交额（亿港元）：</x:t>
  </x:si>
  <x:si>
    <x:t xml:space="preserve">北向成交额反映外资参与度和跨境资金活跃度，但成交额不是净流入，方向判断需结合净买入、ETF净流入和指数表现。</x:t>
  </x:si>
  <x:si>
    <x:t xml:space="preserve">北向资金成交额是沪深股通买入与卖出成交金额的合计，主要衡量境外资金参与A股交易的活跃度。</x:t>
  </x:si>
  <x:si>
    <x:t xml:space="preserve">高于3500亿通常说明外资参与活跃，低于2500亿说明参与度偏弱；但成交活跃不等于资金净流入，判断市场支撑时应优先结合北向净买入或ETF净流入。</x:t>
  </x:si>
  <x:si>
    <x:t xml:space="preserve">当前值+环比；若可得优先补净流入</x:t>
  </x:si>
  <x:si>
    <x:t xml:space="preserve">ETF净流出162亿元，较前日扩大91亿元，被动资金流转弱。</x:t>
  </x:si>
  <x:si>
    <x:t xml:space="preserve">ETF净流入</x:t>
  </x:si>
  <x:si>
    <x:t xml:space="preserve">ETF净流入是股票市场增量资金的高频直接观察口径，能较快反映资金通过ETF入市或赎回的方向；但单日数据波动较大，且会受套利和调仓影响，因此权重低于成交额、融资余额等核心活跃度指标，高于月度公募募集。</x:t>
  </x:si>
  <x:si>
    <x:t xml:space="preserve">ETF净流入衡量ETF市场申购资金与赎回资金的差额，通常为当日ETF申购流入减去赎回流出后的净额。净流入为正，表示资金通过ETF份额净申购进入市场；净流入为负，表示ETF份额净赎回，资金从ETF产品中流出。</x:t>
  </x:si>
  <x:si>
    <x:t xml:space="preserve">连续净流入或负值明显收窄，通常说明被动资金和配置资金的入场意愿增强，对指数和风险偏好有支撑；连续大额净流出，通常说明资金在撤离或降低权益仓位。单日异常值要结合指数涨跌、成交额和行业ETF结构判断。</x:t>
  </x:si>
  <x:si>
    <x:t xml:space="preserve">5日/20日累计净流入</x:t>
  </x:si>
  <x:si>
    <x:t xml:space="preserve">ETF市场申赎净流入</x:t>
  </x:si>
  <x:si>
    <x:t xml:space="preserve">公募基金募集当前数据缺失，暂不判断长期增量资金。</x:t>
  </x:si>
  <x:si>
    <x:t xml:space="preserve">公募基金募集：</x:t>
  </x:si>
  <x:si>
    <x:t xml:space="preserve">公募募集反映长期资金供给，但月度数据有滞后，主要作为辅助验证，避免与核心指标重复计数。</x:t>
  </x:si>
  <x:si>
    <x:t xml:space="preserve">境内机构投资，时效性稍弱</x:t>
  </x:si>
  <x:si>
    <x:t xml:space="preserve">募集金额＞1500亿，说明机构资金入市意愿强，市场整体交投活跃，增量资金充足；＜500亿时，机构资金观望情绪浓，市场缺乏长期增量资金支撑。</x:t>
  </x:si>
  <x:si>
    <x:t xml:space="preserve">月度募集额</x:t>
  </x:si>
  <x:si>
    <x:t xml:space="preserve">交易额</x:t>
  </x:si>
  <x:si>
    <x:t xml:space="preserve">A股成交额3.05万亿元，高于活跃阈值但较上一交易日减少1854亿元，交易热度边际降温。</x:t>
  </x:si>
  <x:si>
    <x:t xml:space="preserve">A股日度成交额（亿元）：</x:t>
  </x:si>
  <x:si>
    <x:t xml:space="preserve">成交额最直接反映参与度和赚钱效应，在本项中更能代表方向。</x:t>
  </x:si>
  <x:si>
    <x:t xml:space="preserve">基础性指标，体现市场整体参与度</x:t>
  </x:si>
  <x:si>
    <x:t xml:space="preserve">成交额＞2.5万亿，说明居民和机构参与度都很高，市场交投活跃；＜1.5 万亿时，市场参与度低迷，资金观望情绪浓。</x:t>
  </x:si>
  <x:si>
    <x:t xml:space="preserve">当前值+5日均值</x:t>
  </x:si>
  <x:si>
    <x:t xml:space="preserve">杠杆资金</x:t>
  </x:si>
  <x:si>
    <x:t xml:space="preserve">两融余额2.879万亿元，仍处偏高位置但较前日减少0.008万亿元，杠杆资金小幅回落。</x:t>
  </x:si>
  <x:si>
    <x:t xml:space="preserve">融资融券余额（亿元）：</x:t>
  </x:si>
  <x:si>
    <x:t xml:space="preserve">融资融券余额代表杠杆资金风险偏好，在本项中更能代表方向。</x:t>
  </x:si>
  <x:si>
    <x:t xml:space="preserve">代表杠杆资金情绪，短期敏感度高</x:t>
  </x:si>
  <x:si>
    <x:t xml:space="preserve">＜2.4万亿，说明杠杆资金大幅离场，市场风险偏好极低，情绪整体低迷；＞2.7万亿时，杠杆资金积极入场，市场情绪活跃。</x:t>
  </x:si>
  <x:si>
    <x:t xml:space="preserve">当前值+环比</x:t>
  </x:si>
  <x:si>
    <x:t xml:space="preserve">换手率</x:t>
  </x:si>
  <x:si>
    <x:t xml:space="preserve">换手率3.54%，处于中高活跃区间但未到5%过热阈值，交易活跃但尚非极端亢奋。</x:t>
  </x:si>
  <x:si>
    <x:t xml:space="preserve">市场换手率：</x:t>
  </x:si>
  <x:si>
    <x:t xml:space="preserve">换手率用于确认交易活跃是否扩散到全市场，用于补充确认核心信号。</x:t>
  </x:si>
  <x:si>
    <x:t xml:space="preserve">反映交易活跃度</x:t>
  </x:si>
  <x:si>
    <x:t xml:space="preserve">换手率＜1%，说明市场交易极度低迷；＞5% 时，交易活跃度大幅提升，资金换手频繁，市场情绪高涨。</x:t>
  </x:si>
  <x:si>
    <x:t xml:space="preserve">当前值+历史分位</x:t>
  </x:si>
  <x:si>
    <x:t xml:space="preserve">滞后指标</x:t>
  </x:si>
  <x:si>
    <x:t xml:space="preserve">新开户275.6万户，较上月增加27.4万，居民入市意愿改善但未到350万强热度阈值。</x:t>
  </x:si>
  <x:si>
    <x:t xml:space="preserve">新开户数（个人/万户）：</x:t>
  </x:si>
  <x:si>
    <x:t xml:space="preserve">新开户数反映居民入市意愿，但通常滞后于行情，主要作为辅助验证，避免与核心指标重复计数。</x:t>
  </x:si>
  <x:si>
    <x:t xml:space="preserve">反映居民入市意愿</x:t>
  </x:si>
  <x:si>
    <x:t xml:space="preserve">新开户人数＞350万户，说明居民入市意愿强烈，吸引场外资金入场，情绪整体活跃；＜100万户时，居民入市意愿低迷，市场缺乏新增资金，情绪整体失落。</x:t>
  </x:si>
  <x:si>
    <x:t xml:space="preserve">月度环比</x:t>
  </x:si>
  <x:si>
    <x:t xml:space="preserve">F5536637</x:t>
  </x:si>
  <x:si>
    <x:t xml:space="preserve">估值面</x:t>
  </x:si>
  <x:si>
    <x:t xml:space="preserve">中性偏谨慎：A股主要指数估值已处近三年高位，估值性价比下降：A股估值偏高（沪深300PE 14.69倍、近三年分位98.4%；创业板指PE 51.81倍、近三年分位99.9%）
</x:t>
  </x:si>
  <x:si>
    <x:t xml:space="preserve">指数</x:t>
  </x:si>
  <x:si>
    <x:t xml:space="preserve">A股和港股估值数据已补齐：沪深300PE为14.69倍、近三年分位98.4%，创业板指PE为51.81倍、近三年分位99.9%；恒生指数PE为11.99倍、近三年分位83.9%，恒生科技PE为22.50倍、近三年分位57.1%。整体看，A股核心和成长估值仍处近三年高位，港股传统指数估值偏高但边际回落，港股科技成长估值处于中位偏上。</x:t>
  </x:si>
  <x:si>
    <x:t xml:space="preserve">上证指数：</x:t>
  </x:si>
  <x:si>
    <x:t xml:space="preserve">上证指数只反映价格位置和市场状态，不等同于估值，主要作为宽基行情的辅助确认。</x:t>
  </x:si>
  <x:si>
    <x:t xml:space="preserve">最广泛关注的基准指数</x:t>
  </x:si>
  <x:si>
    <x:t xml:space="preserve">指数点位上行说明价格修复或风险偏好改善，下行说明价格承压；但点位本身不能判断便宜或昂贵，需结合PE/PB、历史分位和盈利趋势。</x:t>
  </x:si>
  <x:si>
    <x:t xml:space="preserve">环比/价格位置</x:t>
  </x:si>
  <x:si>
    <x:t xml:space="preserve">000001.SH</x:t>
  </x:si>
  <x:si>
    <x:t xml:space="preserve">深成指14954点接近15000乐观阈值但环比回落2.06%，深市价格压力边际上升，需结合PE判断估值。</x:t>
  </x:si>
  <x:si>
    <x:t xml:space="preserve">深成指数：</x:t>
  </x:si>
  <x:si>
    <x:t xml:space="preserve">深成指数用于补充深市和成长板块价格表现，但不是估值指标，主要作为辅助确认。</x:t>
  </x:si>
  <x:si>
    <x:t xml:space="preserve">代表深市整体表现，与上证形成互补</x:t>
  </x:si>
  <x:si>
    <x:t xml:space="preserve">399001.SZ</x:t>
  </x:si>
  <x:si>
    <x:t xml:space="preserve">沪深300为4748.6点，低于5000乐观阈值但处较高区域，环比回落1.11%，价格降温但不能单独判断便宜。</x:t>
  </x:si>
  <x:si>
    <x:t xml:space="preserve">沪深300：</x:t>
  </x:si>
  <x:si>
    <x:t xml:space="preserve">沪深300代表核心资产价格位置，可辅助判断估值压力是否已由价格上行体现，但估值判断应以PE/PB/ERP为主。</x:t>
  </x:si>
  <x:si>
    <x:t xml:space="preserve">A股市场最具影响力的龙头企业沪深两市市值最大、流动性最好的300只股票</x:t>
  </x:si>
  <x:si>
    <x:t xml:space="preserve">000300.SH</x:t>
  </x:si>
  <x:si>
    <x:t xml:space="preserve">创业板指3854.8点仍高于3500风险偏好阈值，但环比回落2.70%，成长风格风险偏好边际降温。</x:t>
  </x:si>
  <x:si>
    <x:t xml:space="preserve">创业板指：</x:t>
  </x:si>
  <x:si>
    <x:t xml:space="preserve">创业板指反映成长风格价格弹性和风险偏好，波动较大，只作为估值面辅助观察。</x:t>
  </x:si>
  <x:si>
    <x:t xml:space="preserve">代表成长股和风险偏好情绪，对市场敏感</x:t>
  </x:si>
  <x:si>
    <x:t xml:space="preserve">399006.SZ</x:t>
  </x:si>
  <x:si>
    <x:t xml:space="preserve">恒生指数24408点处于23000-27500区间，价格位置中性且环比回落，需结合PE和南向资金判断估值修复空间。</x:t>
  </x:si>
  <x:si>
    <x:t xml:space="preserve">恒生指数：</x:t>
  </x:si>
  <x:si>
    <x:t xml:space="preserve">恒生指数用于观察港股价格位置和风险偏好，不直接代表估值，需与PE和南向资金共同判断。</x:t>
  </x:si>
  <x:si>
    <x:t xml:space="preserve">传统板块，对整体指数的情绪带动作用有限</x:t>
  </x:si>
  <x:si>
    <x:t xml:space="preserve">HSI.HI</x:t>
  </x:si>
  <x:si>
    <x:t xml:space="preserve">恒生科技4724.8点低于5000且环比回落，成长情绪未明显转强，估值判断仍需PE和盈利预期支持。</x:t>
  </x:si>
  <x:si>
    <x:t xml:space="preserve">恒生科技指数：</x:t>
  </x:si>
  <x:si>
    <x:t xml:space="preserve">恒生科技指数价格波动较大，更多反映成长风险偏好，估值结论应结合PE和盈利预期。</x:t>
  </x:si>
  <x:si>
    <x:t xml:space="preserve">对少数龙头股波动高度敏感</x:t>
  </x:si>
  <x:si>
    <x:t xml:space="preserve">HSTECH.HI</x:t>
  </x:si>
  <x:si>
    <x:t xml:space="preserve">指数估值</x:t>
  </x:si>
  <x:si>
    <x:t xml:space="preserve">上证指数：PE为17.18倍，近三年分位约94.4%，环比下行0.06倍，估值处于高位。</x:t>
  </x:si>
  <x:si>
    <x:t xml:space="preserve">上证指数：PE</x:t>
  </x:si>
  <x:si>
    <x:t xml:space="preserve">上证指数PE覆盖面广，能观察A股整体估值水平，但成分行业结构较杂，权重低于沪深300PE。</x:t>
  </x:si>
  <x:si>
    <x:t xml:space="preserve">上证指数PE是上证指数成分股总市值与对应盈利的比值，反映上海市场整体市盈率水平。</x:t>
  </x:si>
  <x:si>
    <x:t xml:space="preserve">PE上行且处于历史高分位，通常说明估值偏贵、后续收益率空间受约束；PE下行或处于历史低分位，通常说明估值更有吸引力。判断时必须结合盈利增速、利率水平和风险溢价，不能只看绝对PE。</x:t>
  </x:si>
  <x:si>
    <x:t xml:space="preserve">当前PE+近三年分位</x:t>
  </x:si>
  <x:si>
    <x:t xml:space="preserve">000001.SH|pe_ttm</x:t>
  </x:si>
  <x:si>
    <x:t xml:space="preserve">深成指数：PE为37.36倍，近三年分位约99.7%，环比上行0.28倍，估值处于高位。</x:t>
  </x:si>
  <x:si>
    <x:t xml:space="preserve">深成指数：PE</x:t>
  </x:si>
  <x:si>
    <x:t xml:space="preserve">深成指数PE补充深市和成长板块估值，但波动较大，主要作为结构性辅助。</x:t>
  </x:si>
  <x:si>
    <x:t xml:space="preserve">深成指数PE是深成指数成分股总市值与对应盈利的比值，反映深市代表性股票的估值水平。</x:t>
  </x:si>
  <x:si>
    <x:t xml:space="preserve">399001.SZ|pe_ttm</x:t>
  </x:si>
  <x:si>
    <x:t xml:space="preserve">沪深300：PE为14.69倍，近三年分位约98.4%，环比下行0.10倍，估值处于高位。</x:t>
  </x:si>
  <x:si>
    <x:t xml:space="preserve">沪深300：PE</x:t>
  </x:si>
  <x:si>
    <x:t xml:space="preserve">沪深300PE代表核心资产和机构定价中枢，是A股估值面最核心指标之一，在本项中权重最高。</x:t>
  </x:si>
  <x:si>
    <x:t xml:space="preserve">沪深300PE是沪深300成分股总市值与对应盈利的比值，反映A股核心资产的市盈率水平。</x:t>
  </x:si>
  <x:si>
    <x:t xml:space="preserve">000300.SH|pe_ttm</x:t>
  </x:si>
  <x:si>
    <x:t xml:space="preserve">创业板指：PE为51.81倍，近三年分位约99.9%，环比上行0.90倍，估值处于高位。</x:t>
  </x:si>
  <x:si>
    <x:t xml:space="preserve">创业板指：PE</x:t>
  </x:si>
  <x:si>
    <x:t xml:space="preserve">创业板PE体现成长股估值弹性和风险偏好，但受盈利波动影响大，需要结合盈利增速和利率环境。</x:t>
  </x:si>
  <x:si>
    <x:t xml:space="preserve">创业板指PE是创业板指成分股总市值与对应盈利的比值，反映成长风格股票估值水平。</x:t>
  </x:si>
  <x:si>
    <x:t xml:space="preserve">399006.SZ|pe_ttm</x:t>
  </x:si>
  <x:si>
    <x:t xml:space="preserve">恒生指数：PE为11.99倍，近三年分位约83.9%，环比下行0.14倍，估值处于偏高位置。</x:t>
  </x:si>
  <x:si>
    <x:t xml:space="preserve">恒生指数：PE</x:t>
  </x:si>
  <x:si>
    <x:t xml:space="preserve">恒生指数PE代表港股传统权重资产估值，是判断港股是否具备修复空间的重要指标。</x:t>
  </x:si>
  <x:si>
    <x:t xml:space="preserve">恒生指数PE是恒生指数成分股总市值与对应盈利的比值，反映港股传统权重板块估值水平。</x:t>
  </x:si>
  <x:si>
    <x:t xml:space="preserve">HSI.HI|pe_ttm</x:t>
  </x:si>
  <x:si>
    <x:t xml:space="preserve">恒生科技：PE为22.50倍，近三年分位约57.1%，环比下行0.49倍，估值处于中性略偏高位置。</x:t>
  </x:si>
  <x:si>
    <x:t xml:space="preserve">恒生科技：PE</x:t>
  </x:si>
  <x:si>
    <x:t xml:space="preserve">恒生科技PE代表港股成长板块估值，弹性高但盈利波动大，需结合盈利预期和美元利率环境。</x:t>
  </x:si>
  <x:si>
    <x:t xml:space="preserve">恒生科技PE是恒生科技指数成分股总市值与对应盈利的比值，反映港股科技成长板块估值水平。</x:t>
  </x:si>
  <x:si>
    <x:t xml:space="preserve">HSTECH.HI|pe_ttm</x:t>
  </x:si>
  <x:si>
    <x:t xml:space="preserve">债市</x:t>
  </x:si>
  <x:si>
    <x:t xml:space="preserve">中性：内需和地产偏弱对债市形成支撑，但生产和盈利修复制利率下行空间：增长方面，地产投资拖累延续（累计同比-13.7%），通胀方面，居民端价格压力温和，暂未构成利率上行约束（CPI同比1.2%），价格利润端有所上行（工业企业利润同比18.2%、PPI同比3.9%）。
</x:t>
  </x:si>
  <x:si>
    <x:t xml:space="preserve">中性：货币政策维持稳定，政府债供给增加，对债券收益率形成一定上行压力：货币政策利率保持稳定；财政融资方面，政府债供给环比增加带来利率利率上行压力（中央政府债务同比+19.3%；政府债融资1.22万亿元、较上月增加3195亿元）。
</x:t>
  </x:si>
  <x:si>
    <x:t xml:space="preserve">中性偏宽松但边际收敛：流动性维持偏宽松状态：央行仍有短端呵护（单日公开市场净投放2065亿元），定价方面债券定价分化，短端利率上行，中长端利率小幅回落（1年国债收益率1.1754%、上行约1bp；10年国债收益率1.7324%、下行约1.2bp）。
</x:t>
  </x:si>
  <x:si>
    <x:t xml:space="preserve">供需面</x:t>
  </x:si>
  <x:si>
    <x:t xml:space="preserve">中性偏谨慎：政府债供给边际增加是主要压力，实体融资需求偏弱：利率债供给方面，政府债融资边际增加（政府债融资1.22万亿元、较上月增加3195亿元）；实体融资需求仍偏弱，
，企业债融资回落（1680亿元、较上月减少2840亿元）。
</x:t>
  </x:si>
  <x:si>
    <x:t xml:space="preserve">融资需求</x:t>
  </x:si>
  <x:si>
    <x:t xml:space="preserve">社融6245亿且同比少增5354亿，实体融资需求偏弱，对债市配置需求形成支撑。</x:t>
  </x:si>
  <x:si>
    <x:t xml:space="preserve">社融反映实体融资需求强弱，是债市需求端的重要宏观代理；但不是债券市场直接供需指标，需要与发行、托管和成交数据配合。</x:t>
  </x:si>
  <x:si>
    <x:t xml:space="preserve">社会融资规模是实体经济从金融体系获得的资金总额，可用于观察信用扩张和实体融资需求。</x:t>
  </x:si>
  <x:si>
    <x:t xml:space="preserve">社融走弱通常说明实体融资需求不足，银行和非银资金更可能转向债券配置，利多债市；社融走强则说明资金更多流向实体和风险资产，可能压制债市。</x:t>
  </x:si>
  <x:si>
    <x:t xml:space="preserve">新增人民币贷款为-4006亿且同比少增4890亿，信贷需求偏弱，利多利率债配置需求。</x:t>
  </x:si>
  <x:si>
    <x:t xml:space="preserve">新增人民币贷款最能体现银行向实体投放信用的强弱，是判断债市配置需求的核心代理。</x:t>
  </x:si>
  <x:si>
    <x:t xml:space="preserve">新增人民币贷款是金融机构当月新发放人民币贷款的净增量，反映企业和居民信贷需求。</x:t>
  </x:si>
  <x:si>
    <x:t xml:space="preserve">贷款偏弱说明实体信用吸收资金能力下降，通常有利于债券配置；贷款明显改善则代表实体需求回升，可能抬升利率债收益率。</x:t>
  </x:si>
  <x:si>
    <x:t xml:space="preserve">债券供给</x:t>
  </x:si>
  <x:si>
    <x:t xml:space="preserve">政府债融资1.22万亿元、较上月增加3195亿元，利率债供给边际增加。</x:t>
  </x:si>
  <x:si>
    <x:t xml:space="preserve">政府债净融资直接代表利率债供给压力，是债市供需面最核心的供给指标。</x:t>
  </x:si>
  <x:si>
    <x:t xml:space="preserve">政府债券融资是国债和地方政府债等政府部门债券净融资规模，反映财政融资和利率债供给。</x:t>
  </x:si>
  <x:si>
    <x:t xml:space="preserve">政府债发行放量或集中供给通常推升供给压力、对收益率形成上行扰动；供给放缓或发行平稳则压力减轻。需结合发行计划、缴款节奏和央行投放判断。</x:t>
  </x:si>
  <x:si>
    <x:t xml:space="preserve">融资需求质量</x:t>
  </x:si>
  <x:si>
    <x:t xml:space="preserve">票据融资-685亿元、较上月增加4599亿元，真实融资需求仍未明显转强但边际改善。</x:t>
  </x:si>
  <x:si>
    <x:t xml:space="preserve">票据融资用于验证信贷需求质量和银行冲量行为，在债市供需中属于辅助代理。</x:t>
  </x:si>
  <x:si>
    <x:t xml:space="preserve">票据融资是企业通过承兑汇票、贴现等票据方式获得的短期融资。</x:t>
  </x:si>
  <x:si>
    <x:t xml:space="preserve">票据融资大幅上升而中长期贷款偏弱，常说明银行冲量多、真实需求弱；票据下降且中长期贷款改善，说明信用需求质量提升，对债市偏不利。</x:t>
  </x:si>
  <x:si>
    <x:t xml:space="preserve">信用债供需</x:t>
  </x:si>
  <x:si>
    <x:t xml:space="preserve">企业债券融资反映信用债供给和直接融资环境，是信用债供需面的核心补充。</x:t>
  </x:si>
  <x:si>
    <x:t xml:space="preserve">企业债券融资是非金融企业通过债券市场发行债券获得的直接融资规模。</x:t>
  </x:si>
  <x:si>
    <x:t xml:space="preserve">企业债融资多增说明直接融资通道改善、信用债供给增加，同时也可能代表风险偏好修复；对债市方向需结合信用利差和认购需求综合判断。</x:t>
  </x:si>
  <x:si>
    <x:t xml:space="preserve">境外</x:t>
  </x:si>
  <x:si>
    <x:t xml:space="preserve">经济基本面</x:t>
  </x:si>
  <x:si>
    <x:t xml:space="preserve">中性偏强：经济增长仍有韧性、通胀继续升温：非农就业数据超预期（17.2万人，远超市场预期8.8万人），景气仍在扩张（制造业ISM 54.0、非制造业ISM 54.5），通胀压力抬升（CPI同比4.2%、PPI同比6.5%）
</x:t>
  </x:si>
  <x:si>
    <x:t xml:space="preserve">供给
（20%）</x:t>
  </x:si>
  <x:si>
    <x:t xml:space="preserve">制造业ISM为54.0且上行，制造业扩张增强，但美国经济需求判断更需结合服务业、零售和就业。</x:t>
  </x:si>
  <x:si>
    <x:t xml:space="preserve">制造业ISM</x:t>
  </x:si>
  <x:si>
    <x:t xml:space="preserve">制造业ISM是美国制造业景气核心先行指标，用于补充确认核心信号。</x:t>
  </x:si>
  <x:si>
    <x:t xml:space="preserve">美国供应管理协会通过对全国超300家制造企业的采购经理进行月度调查后编制的扩散指数</x:t>
  </x:si>
  <x:si>
    <x:t xml:space="preserve">G0002323</x:t>
  </x:si>
  <x:si>
    <x:t xml:space="preserve">非制造业ISM为54.5且上行，服务业需求韧性较强，是判断美国实际需求的重要证据。</x:t>
  </x:si>
  <x:si>
    <x:t xml:space="preserve">非制造业ISM</x:t>
  </x:si>
  <x:si>
    <x:t xml:space="preserve">非制造业ISM覆盖服务业，美国经济服务业占比高，对实际需求韧性的解释力强，权重小幅上调。</x:t>
  </x:si>
  <x:si>
    <x:t xml:space="preserve">同样由ISM发布，调查对象为全国近400家非制造业（如农业、建筑、交通、零售等）企业的采购经理。</x:t>
  </x:si>
  <x:si>
    <x:t xml:space="preserve">高于50表示行业扩张，低于50表示收缩。该指数是观察服务业景气度、消费活力以及经济结构转型的重要先行指标，常与制造业ISM结合分析以判断整体经济走势。</x:t>
  </x:si>
  <x:si>
    <x:t xml:space="preserve">G0002324</x:t>
  </x:si>
  <x:si>
    <x:t xml:space="preserve">缺少ISM新订单当前数据，暂不下结论。</x:t>
  </x:si>
  <x:si>
    <x:t xml:space="preserve">ISM制造业指数-新订单</x:t>
  </x:si>
  <x:si>
    <x:t xml:space="preserve">ISM新订单领先生产，是制造业转折分项，用于补充确认核心信号。</x:t>
  </x:si>
  <x:si>
    <x:t xml:space="preserve">制造业调查中的一个分项指标，专门衡量当月新增订单数量环比是增加还是减少</x:t>
  </x:si>
  <x:si>
    <x:t xml:space="preserve">作为极强的领先指标。订单通常领先于生产，若该指数持续高于50，暗示未来几个月工厂将提高产量、增加雇佣，预示着经济可能加速增长</x:t>
  </x:si>
  <x:si>
    <x:t xml:space="preserve">非农新增17.2万人且环比多5.7万，就业仍具韧性，是美国需求和收入支撑的重要硬数据。</x:t>
  </x:si>
  <x:si>
    <x:t xml:space="preserve">非农数据：</x:t>
  </x:si>
  <x:si>
    <x:t xml:space="preserve">非农就业是美国经济面核心硬数据，同时影响收入、消费韧性、通胀和美联储政策预期，权重应高于消费者信心等软指标，本版上调。</x:t>
  </x:si>
  <x:si>
    <x:t xml:space="preserve">统计除农业、私人家庭、非营利组织及自雇人员以外的就业岗位净变化数</x:t>
  </x:si>
  <x:si>
    <x:t xml:space="preserve">数据好（新增就业多），说明经济健康。但它是一把“双刃剑”：在通胀高企时，会加剧加息预期，可能打压股市；在经济衰退担忧时，则是强心针，能提振信心。</x:t>
  </x:si>
  <x:si>
    <x:t xml:space="preserve">G1137704</x:t>
  </x:si>
  <x:si>
    <x:t xml:space="preserve">中小企业乐观指数95.3且回落，经营预期偏弱，但属于软数据，需与ISM、非农、零售交叉验证。</x:t>
  </x:si>
  <x:si>
    <x:t xml:space="preserve">美国中小企业乐观指数</x:t>
  </x:si>
  <x:si>
    <x:t xml:space="preserve">NFIB反映企业预期和扩张意愿，但属于软数据，不能单独决定实际需求，权重下调为辅助验证。</x:t>
  </x:si>
  <x:si>
    <x:t xml:space="preserve">美国中小企业乐观指数由美国全国独立企业联盟(NFIB)按月调查中小企业主形成，综合反映企业主对销售、盈利、招聘、资本开支、库存、信贷条件和经济前景等方面的看法。它衡量的是美国小企业部门的经营信心和扩张意愿。</x:t>
  </x:si>
  <x:si>
    <x:t xml:space="preserve">指数上行通常说明小企业对需求、招聘和投资更有信心，支持美国经济韧性；指数下行通常说明小企业经营预期转弱，可能领先反映招聘放缓、资本开支收缩和信用压力。需要和ISM、非农、失业率及信贷条件一起验证。</x:t>
  </x:si>
  <x:si>
    <x:t xml:space="preserve">G1131647</x:t>
  </x:si>
  <x:si>
    <x:t xml:space="preserve">失业率4.3%持平，劳动力市场稳定但已不算过热。</x:t>
  </x:si>
  <x:si>
    <x:t xml:space="preserve">失业率：</x:t>
  </x:si>
  <x:si>
    <x:t xml:space="preserve">失业率是劳动力市场状态的核心验证指标，与非农共同判断就业韧性，权重小幅上调。</x:t>
  </x:si>
  <x:si>
    <x:t xml:space="preserve">失业并积极求职者占劳动力人口（就业+失业觅职）的百分比。</x:t>
  </x:si>
  <x:si>
    <x:t xml:space="preserve">失业率下降，通常意味着经济向好。但如果降得太低，会引发工资-通胀螺旋上升的压力。
失业率上升，是经济放缓的滞后信号，通常会引发市场对衰退的担忧。</x:t>
  </x:si>
  <x:si>
    <x:t xml:space="preserve">G0000067</x:t>
  </x:si>
  <x:si>
    <x:t xml:space="preserve">工业生产同比1.15%且改善，供给端温和修复。</x:t>
  </x:si>
  <x:si>
    <x:t xml:space="preserve">工业生产总值同比</x:t>
  </x:si>
  <x:si>
    <x:t xml:space="preserve">工业生产是供给侧硬数据，但代表性弱于服务业和ISM，主要作为辅助验证，避免与核心指标重复计数。</x:t>
  </x:si>
  <x:si>
    <x:t xml:space="preserve">在一定时期内，工业部门所生产的全部工业产品的价值总和。</x:t>
  </x:si>
  <x:si>
    <x:t xml:space="preserve">制造业、矿业、公用事业的实物产出。反映实体经济生产端的景气度。</x:t>
  </x:si>
  <x:si>
    <x:t xml:space="preserve">G1120852</x:t>
  </x:si>
  <x:si>
    <x:t xml:space="preserve">需求
（30%）</x:t>
  </x:si>
  <x:si>
    <x:t xml:space="preserve">密歇根消费者信心44.8且大幅回落，说明消费预期降温，但不能单独证明实际需求明显转弱。</x:t>
  </x:si>
  <x:si>
    <x:t xml:space="preserve">密歇根大学消费者信心指数</x:t>
  </x:si>
  <x:si>
    <x:t xml:space="preserve">消费者信心是居民预期指标，边际变化重要但不能单独代表实际需求，权重下调并作为预期约束指标。</x:t>
  </x:si>
  <x:si>
    <x:t xml:space="preserve">每月通过对约500名美国消费者电话调查，衡量其对经济、个人财政、就业、物价及消费意愿的主观态度。</x:t>
  </x:si>
  <x:si>
    <x:t xml:space="preserve">指数越高，代表消费者对经济和个人财务越乐观，愿意花钱，利好经济和美元。
指数越低，代表市场悲观，可能减少开支，预示经济放缓或衰退，利空美元。</x:t>
  </x:si>
  <x:si>
    <x:t xml:space="preserve">G0002325</x:t>
  </x:si>
  <x:si>
    <x:t xml:space="preserve">名义GDP同比5.9%且增加，需求和价格合计仍扩张。</x:t>
  </x:si>
  <x:si>
    <x:t xml:space="preserve">GDP总量：美国</x:t>
  </x:si>
  <x:si>
    <x:t xml:space="preserve">名义GDP为季度滞后总量，且同时受价格影响，主要作背景验证，权重下调。</x:t>
  </x:si>
  <x:si>
    <x:t xml:space="preserve">美国GDP现价季调折年数是以当前价格计算、经过季节调整并折算成年率的美国国内生产总值。它反映美国经济在名义金额上的年度化规模，包含真实产出变化和价格变化两部分。</x:t>
  </x:si>
  <x:si>
    <x:t xml:space="preserve">名义GDP上行说明经济规模和名义需求扩张，但需要拆分真实增长和通胀贡献；如果名义GDP强而实际GDP弱，可能更多来自价格因素。它更适合做规模和分母校准，而不是单独判断经济动能。</x:t>
  </x:si>
  <x:si>
    <x:t xml:space="preserve">G0000003</x:t>
  </x:si>
  <x:si>
    <x:t xml:space="preserve">实际GDP同比约2.57%且改善，美国经济韧性较强。</x:t>
  </x:si>
  <x:si>
    <x:t xml:space="preserve">GDP同比：美国</x:t>
  </x:si>
  <x:si>
    <x:t xml:space="preserve">GDP同比为季度滞后数据，和GDP年化、ISM、零售等信息重复，主要用于背景验证，权重下调。</x:t>
  </x:si>
  <x:si>
    <x:t xml:space="preserve">美国经济增长动能的核心指标</x:t>
  </x:si>
  <x:si>
    <x:t xml:space="preserve">影响全球资金流向和风险偏好</x:t>
  </x:si>
  <x:si>
    <x:t xml:space="preserve">G1112986</x:t>
  </x:si>
  <x:si>
    <x:t xml:space="preserve">按表内口径GDP增速约2.57%，仍高于2%健康区间。</x:t>
  </x:si>
  <x:si>
    <x:t xml:space="preserve">GDP年化增速：</x:t>
  </x:si>
  <x:si>
    <x:t xml:space="preserve">GDP年化增速仍可验证增长韧性，但更新频率低于月度硬数据，权重下调。</x:t>
  </x:si>
  <x:si>
    <x:t xml:space="preserve">将本季度GDP环比增速按复利推算一整年的增长率。</x:t>
  </x:si>
  <x:si>
    <x:t xml:space="preserve">衡量经济总产出最全面的指标。1%-2%（若增速持续低于1%，衰退担忧将加剧；高于2%则被视为健康增长。）</x:t>
  </x:si>
  <x:si>
    <x:t xml:space="preserve">零售环比仍为正但较前期明显回落，消费实际需求仍有韧性但边际降温。</x:t>
  </x:si>
  <x:si>
    <x:t xml:space="preserve">零售销售环比</x:t>
  </x:si>
  <x:si>
    <x:t xml:space="preserve">零售销售是美国消费的高频核心代理，在本项中更能代表方向。</x:t>
  </x:si>
  <x:si>
    <x:t xml:space="preserve">零售和食品服务销售额是指包括零售商店和食品服务在内的所有相关企业，在一定时期内向消费者销售商品和服务的总收入。</x:t>
  </x:si>
  <x:si>
    <x:t xml:space="preserve">剔除服务的商品消费（汽车、汽油、建材、线上等）。反映消费支出的实物部分。反映消费者支出意愿和能力，过高可能通胀压力大，过低预示需求萎缩。</x:t>
  </x:si>
  <x:si>
    <x:t xml:space="preserve">G1109265</x:t>
  </x:si>
  <x:si>
    <x:t xml:space="preserve">零售和食品服务同比4.87%且环比改善，消费仍有韧性。</x:t>
  </x:si>
  <x:si>
    <x:t xml:space="preserve">美国:零售和食品服务销售额:季调:当月同比</x:t>
  </x:si>
  <x:si>
    <x:t xml:space="preserve">美国零售和食品服务销售额同比是美国消费需求的核心月度指标，能补充环比数据判断消费趋势；但它仍受价格和基数影响，需结合实际收入、消费者信心和通胀数据验证。</x:t>
  </x:si>
  <x:si>
    <x:t xml:space="preserve">美国零售和食品服务销售额季调当月同比是经季节调整后的零售商和食品服务企业销售额，相比上年同月的增长率。它覆盖商品零售和餐饮消费，是观察美国居民消费需求的重要月度指标。</x:t>
  </x:si>
  <x:si>
    <x:t xml:space="preserve">同比上行通常说明消费需求韧性增强，支持美国经济和企业盈利；同比下行说明消费动能减弱，可能强化降息或衰退预期。分析时要和零售环比、核心CPI、工资增速和消费者信心一起看。</x:t>
  </x:si>
  <x:si>
    <x:t xml:space="preserve">G1109245</x:t>
  </x:si>
  <x:si>
    <x:t xml:space="preserve">房屋销售指标环比下降5，地产需求边际走弱，单位口径需复核。</x:t>
  </x:si>
  <x:si>
    <x:t xml:space="preserve">房屋销售同比</x:t>
  </x:si>
  <x:si>
    <x:t xml:space="preserve">房屋销售是利率传导至实体经济的领先窗口，主要作为辅助验证，避免与核心指标重复计数。</x:t>
  </x:si>
  <x:si>
    <x:t xml:space="preserve">衡量已建成房屋（通常指二手房）的成交过户数量 </x:t>
  </x:si>
  <x:si>
    <x:t xml:space="preserve">成屋与新屋销售套数同比。房地产是利率敏感型领先指标。房屋销售领先住宅投资和耐用品消费。持续大幅负增长预示经济走弱。</x:t>
  </x:si>
  <x:si>
    <x:t xml:space="preserve">G0003645</x:t>
  </x:si>
  <x:si>
    <x:t xml:space="preserve">时薪同比3.4%且回落，工资收入支撑边际减弱，同时也缓和工资通胀压力。</x:t>
  </x:si>
  <x:si>
    <x:t xml:space="preserve">时薪同比</x:t>
  </x:si>
  <x:si>
    <x:t xml:space="preserve">时薪增速影响消费能力和服务通胀压力，主要作为辅助验证，避免与核心指标重复计数。</x:t>
  </x:si>
  <x:si>
    <x:t xml:space="preserve">衡量劳动力平均每小时工资的年增长率</x:t>
  </x:si>
  <x:si>
    <x:t xml:space="preserve">非农报告中私人部门员工平均时薪增长。反映劳动力成本增速。时薪过高且持续会传导至服务通胀，过低则抑制消费能力。</x:t>
  </x:si>
  <x:si>
    <x:t xml:space="preserve">L5830501</x:t>
  </x:si>
  <x:si>
    <x:t xml:space="preserve">个人可支配收入同比0.7%且回落，消费能力边际承压，作为收入端背景验证。</x:t>
  </x:si>
  <x:si>
    <x:t xml:space="preserve">个人可支配收入同比</x:t>
  </x:si>
  <x:si>
    <x:t xml:space="preserve">可支配收入是消费能力的根本来源，用于补充确认核心信号。</x:t>
  </x:si>
  <x:si>
    <x:t xml:space="preserve">衡量居民扣除税费并剔除价格因素后的收入变化。</x:t>
  </x:si>
  <x:si>
    <x:t xml:space="preserve">作为衡量居民实际购买力的核心指标，DPI反映了在履行完对政府的纳税义务后，居民手中真正能够自由支配的资源。它是分析家庭支出模式、预测零售增长以及评估消费者信心的重要依据。</x:t>
  </x:si>
  <x:si>
    <x:t xml:space="preserve">D7259310</x:t>
  </x:si>
  <x:si>
    <x:t xml:space="preserve">价格
(50%)</x:t>
  </x:si>
  <x:si>
    <x:t xml:space="preserve">CPI同比4.2%且上行，标题通胀偏高，主要约束降息预期。</x:t>
  </x:si>
  <x:si>
    <x:t xml:space="preserve">CPI同比：</x:t>
  </x:si>
  <x:si>
    <x:t xml:space="preserve">CPI是终端通胀核心指标，直接影响政策和估值，在本项中更能代表方向。</x:t>
  </x:si>
  <x:si>
    <x:t xml:space="preserve">居民消费价格指数相对去年同期的变化</x:t>
  </x:si>
  <x:si>
    <x:t xml:space="preserve">G0000027</x:t>
  </x:si>
  <x:si>
    <x:t xml:space="preserve">核心CPI同比2.8%且小幅回升，核心通胀有粘性但未出现失控式上行。</x:t>
  </x:si>
  <x:si>
    <x:t xml:space="preserve">美国:核心CPI:季调:同比</x:t>
  </x:si>
  <x:si>
    <x:t xml:space="preserve">核心CPI剔除了食品和能源的短期扰动，更能反映美国内生通胀粘性，是判断美联储政策路径和利率预期的核心指标之一；与CPI、PCE共同构成通胀模块，因此给予较高权重。</x:t>
  </x:si>
  <x:si>
    <x:t xml:space="preserve">美国核心CPI季调同比是美国消费者价格指数中剔除食品和能源后的价格水平相对去年同期的变化率，并经过季节调整处理。它衡量居民消费篮子中更稳定项目的通胀趋势，比整体CPI更能反映服务、住房等粘性通胀压力。</x:t>
  </x:si>
  <x:si>
    <x:t xml:space="preserve">核心CPI高于预期或回落缓慢，通常意味着通胀粘性强，美联储降息空间受限，美债收益率和美元可能承压风险资产；核心CPI持续回落，通常强化通胀降温和货币政策转松预期，利好久期资产和风险偏好。需和PCE、工资增速、租金分项一起看。</x:t>
  </x:si>
  <x:si>
    <x:t xml:space="preserve">G0000030</x:t>
  </x:si>
  <x:si>
    <x:t xml:space="preserve">PPI同比6.0%且明显上行，上游通胀压力增强，需观察向终端传导。</x:t>
  </x:si>
  <x:si>
    <x:t xml:space="preserve">PPI同比：</x:t>
  </x:si>
  <x:si>
    <x:t xml:space="preserve">PPI反映上游价格和成本传导，在本项中更能代表方向。</x:t>
  </x:si>
  <x:si>
    <x:t xml:space="preserve">生产者价格指数相对去年同期的变化，衡量生产端最终需求商品和服务价格的同比涨跌幅。</x:t>
  </x:si>
  <x:si>
    <x:t xml:space="preserve">G1138811</x:t>
  </x:si>
  <x:si>
    <x:t xml:space="preserve">核心PCE同比3.29%且小幅上行，仍高于舒适区间，降息空间受限但并非失控。</x:t>
  </x:si>
  <x:si>
    <x:t xml:space="preserve">P核心CE同比:</x:t>
  </x:si>
  <x:si>
    <x:t xml:space="preserve">PCE通胀是美联储更关注的通胀口径，在本项中更能代表方向。</x:t>
  </x:si>
  <x:si>
    <x:t xml:space="preserve">衡量个人消费支出价格中剔除食品和能源后的同比变化</x:t>
  </x:si>
  <x:si>
    <x:t xml:space="preserve">预期上升，美联储倾向紧缩，利空成长股（如科技股）和债券。
预期下降，给美联储降息空间，利好成长股和长久期资产。</x:t>
  </x:si>
  <x:si>
    <x:t xml:space="preserve">G1100005</x:t>
  </x:si>
  <x:si>
    <x:t xml:space="preserve">中性：政策利率稳定，流动性仍较平稳：政策利率方面，美元政策利率锚维持稳定（联邦基金利率3.62%）。短端利率略有扰动，资金小幅高于准备金利率（SOFR 3.69%、高于IORB约2bp）；财政账户回落（TGA余额801084、较上期减少44638）。
</x:t>
  </x:si>
  <x:si>
    <x:t xml:space="preserve">联邦流动性
（40%）</x:t>
  </x:si>
  <x:si>
    <x:t xml:space="preserve">联邦基金利率3.62%持平但同比下行，政策限制性较去年下降。</x:t>
  </x:si>
  <x:si>
    <x:t xml:space="preserve">联邦基金利率</x:t>
  </x:si>
  <x:si>
    <x:t xml:space="preserve">联邦基金利率是美元政策立场和资金成本核心锚，在本项中更能代表方向。</x:t>
  </x:si>
  <x:si>
    <x:t xml:space="preserve">有效联邦基金利率（EFFR）是美国存款机构在联邦基金市场隔夜相互拆借准备金形成的加权平均成交利率。它是美联储联邦基金目标利率区间在银行体系中的市场落地结果，不是美联储直接设定的单一利率。</x:t>
  </x:si>
  <x:si>
    <x:t xml:space="preserve">利率上升，加息预期升温，资金成本提高，抑制借贷和投资，利空经济；
利率下降，降息预期上升，刺激经济活动，利好经济</x:t>
  </x:si>
  <x:si>
    <x:t xml:space="preserve">G0001699</x:t>
  </x:si>
  <x:si>
    <x:t xml:space="preserve">美联储资产负债表环比增加13902（原表口径），流动性供给边际改善。</x:t>
  </x:si>
  <x:si>
    <x:t xml:space="preserve">美联储资产负债表（缩表 / 扩表规模）</x:t>
  </x:si>
  <x:si>
    <x:t xml:space="preserve">美联储资产负债表体现QE/QT总量影响，在本项中更能代表方向。</x:t>
  </x:si>
  <x:si>
    <x:t xml:space="preserve">美联储资产负债表总资产是所有联储银行持有国债、MBS、贷款和其他资产的账面规模；扩表或缩表描述的是美联储资产端规模的增加或减少。</x:t>
  </x:si>
  <x:si>
    <x:t xml:space="preserve">扩表（规模增加）释放流动性，刺激经济；
缩表（规模减少）收紧流动性，利空经济。</x:t>
  </x:si>
  <x:si>
    <x:t xml:space="preserve">G1100075</x:t>
  </x:si>
  <x:si>
    <x:t xml:space="preserve">IORB为3.65%持平但同比下调，准备金机会成本较去年降低。</x:t>
  </x:si>
  <x:si>
    <x:t xml:space="preserve">准备余额利率（IORB）</x:t>
  </x:si>
  <x:si>
    <x:t xml:space="preserve">IORB约束银行准备金收益，是利率走廊重要变量，用于补充确认核心信号。</x:t>
  </x:si>
  <x:si>
    <x:t xml:space="preserve">准备金余额利率（IORB）是美联储支付给合格存款机构在联储账户中准备金余额的利率，属于美联储设定的管理利率。它可以理解为银行把钱存在美联储能拿到的无风险收益，是银行体系短端利率的重要锚。</x:t>
  </x:si>
  <x:si>
    <x:t xml:space="preserve">上调，银行更倾向于将资金存放在美联储，减少对外放贷，流动性收紧；
下调，鼓励银行动用准备金放贷或购买资产，流动性宽松</x:t>
  </x:si>
  <x:si>
    <x:t xml:space="preserve">N9689792</x:t>
  </x:si>
  <x:si>
    <x:t xml:space="preserve">缺少隔夜逆回购利率当前数据，暂不下结论。</x:t>
  </x:si>
  <x:si>
    <x:t xml:space="preserve">隔夜逆回购利率</x:t>
  </x:si>
  <x:si>
    <x:t xml:space="preserve">隔夜逆回购利率影响现金停放收益，但变化频率低，主要作为辅助验证，避免与核心指标重复计数。</x:t>
  </x:si>
  <x:si>
    <x:t xml:space="preserve">隔夜逆回购利率（ON RRP Rate）是美联储对货币市场基金、政府支持机构等合格非银交易对手提供的隔夜投资利率。交易对手把现金隔夜放到美联储并取得国债抵押品，次日美联储回购证券并归还现金；它是美联储设定的管理利率，主要影响非银现金的停放收益。</x:t>
  </x:si>
  <x:si>
    <x:t xml:space="preserve">上调，吸引货币基金等存入现金，从市场抽走流动性；
下调则释放流动性。</x:t>
  </x:si>
  <x:si>
    <x:t xml:space="preserve">TGA余额环比减少44638（原表口径），对准备金形成边际释放。</x:t>
  </x:si>
  <x:si>
    <x:t xml:space="preserve">TGA余额</x:t>
  </x:si>
  <x:si>
    <x:t xml:space="preserve">TGA余额会直接抽离或释放银行体系准备金，用于补充确认核心信号。</x:t>
  </x:si>
  <x:si>
    <x:t xml:space="preserve">美国政府放在美联储的一个“活期存款账户”用于处理政府付款和收款。</x:t>
  </x:si>
  <x:si>
    <x:t xml:space="preserve">上涨，财政部从银行体系抽走资金，流动性收紧，利空经济
下跌，财政部向市场注入资金，流动性放松，利好经济</x:t>
  </x:si>
  <x:si>
    <x:t xml:space="preserve">G1100038</x:t>
  </x:si>
  <x:si>
    <x:t xml:space="preserve">隔夜逆回购规模下降，释放现金形成对冲，但继续释放空间已较此前收窄。</x:t>
  </x:si>
  <x:si>
    <x:t xml:space="preserve">隔夜逆回购规模</x:t>
  </x:si>
  <x:si>
    <x:t xml:space="preserve">隔夜逆回购规模反映过剩流动性吸收和释放空间，用于补充确认核心信号。</x:t>
  </x:si>
  <x:si>
    <x:t xml:space="preserve">隔夜逆回购规模是合格交易对手通过美联储ON RRP工具隔夜借给美联储的现金余额，主要来自货币市场基金等非银机构；在美联储负债端表现为逆回购负债，而不是美联储主动购买或出售证券的规模。</x:t>
  </x:si>
  <x:si>
    <x:t xml:space="preserve">规模上升说明现金停在美联储，市场可用流动性相对收紧；规模下降说明现金流出逆回购池，流动性宽松</x:t>
  </x:si>
  <x:si>
    <x:t xml:space="preserve">G1168931</x:t>
  </x:si>
  <x:si>
    <x:t xml:space="preserve">银行间流动性
（30%）</x:t>
  </x:si>
  <x:si>
    <x:t xml:space="preserve">SOFR为3.65%，与IORB基本持平，美元回购融资成本未明显抬升。</x:t>
  </x:si>
  <x:si>
    <x:t xml:space="preserve">SOFR利率（担保隔夜融资利率）</x:t>
  </x:si>
  <x:si>
    <x:t xml:space="preserve">SOFR是美元回购融资成本的高频核心指标，在本项中更能代表方向。</x:t>
  </x:si>
  <x:si>
    <x:t xml:space="preserve">SOFR（担保隔夜融资利率）是纽约联储发布的美元隔夜基准利率，基于美国国债回购市场真实交易计算。它反映机构以美国国债作抵押，在市场上隔夜借入美元现金的融资成本，是市场成交利率，不是美联储直接设定的管理利率。</x:t>
  </x:si>
  <x:si>
    <x:t xml:space="preserve">上升说明回购融资变贵，美元短端流动性趋紧；下降说明担保融资成本回落，资金面改善。</x:t>
  </x:si>
  <x:si>
    <x:t xml:space="preserve">M0341926</x:t>
  </x:si>
  <x:si>
    <x:t xml:space="preserve">SOFR与IORB基本持平，回购市场未出现明显溢价，短端流动性未明显紧张。</x:t>
  </x:si>
  <x:si>
    <x:t xml:space="preserve">SOFR-IORB 利差</x:t>
  </x:si>
  <x:si>
    <x:t xml:space="preserve">SOFR-IORB利差最直接衡量回购市场紧张程度，在本项中更能代表方向。</x:t>
  </x:si>
  <x:si>
    <x:t xml:space="preserve">SOFR-IORB利差是SOFR减去IORB后的差值，用来比较市场上用美国国债抵押借隔夜美元的成本，和银行把准备金存在美联储获得的无风险收益。它不是一个单独政策利率，而是判断美元短端资金压力的利差指标。</x:t>
  </x:si>
  <x:si>
    <x:t xml:space="preserve">利差为正（SOFR &gt; IORB）：意味着银行即使在提供了优质国债作为抵押的情况下，从市场上借钱的成本（SOFR）高于把钱存在美联储获得的收益（IORB）。这清晰表明，市场上的美元资金变得稀缺、流动性收紧。利差＜0，则意味着市场流动性充裕。</x:t>
  </x:si>
  <x:si>
    <x:t xml:space="preserve">X4477229</x:t>
  </x:si>
  <x:si>
    <x:t xml:space="preserve">实体流动性
（30%）</x:t>
  </x:si>
  <x:si>
    <x:t xml:space="preserve">AAA信用利差收窄，信用风险溢价下降、实体融资环境改善。</x:t>
  </x:si>
  <x:si>
    <x:t xml:space="preserve">信用利差（AAA企业债与国债利差）</x:t>
  </x:si>
  <x:si>
    <x:t xml:space="preserve">信用利差反映企业融资环境和风险偏好，用于补充确认核心信号。</x:t>
  </x:si>
  <x:si>
    <x:t xml:space="preserve">穆迪Aaa级企业债收益率减美国国债收益率后的差值，代表高等级企业信用风险、期限和流动性相对无风险利率的补偿。</x:t>
  </x:si>
  <x:si>
    <x:t xml:space="preserve">上升说明信用风险溢价走高，金融条件收紧；下降说明信用环境改善，企业融资更顺畅。</x:t>
  </x:si>
  <x:si>
    <x:t xml:space="preserve">G0005431-G0000891</x:t>
  </x:si>
  <x:si>
    <x:t xml:space="preserve">商业银行信贷同比6.4%且继续增长，信用扩张稳健。</x:t>
  </x:si>
  <x:si>
    <x:t xml:space="preserve">美国:所有商业银行:资产:银行信贷:季调</x:t>
  </x:si>
  <x:si>
    <x:t xml:space="preserve">美国商业银行银行信贷反映银行资产端信用供给和资产负债表扩张情况，是美元实体流动性的核心余额指标之一；但它是存量指标，边际信号需结合周度变化和贷款分项。</x:t>
  </x:si>
  <x:si>
    <x:t xml:space="preserve">美国所有商业银行银行信贷是美联储H.8统计中的银行资产端口径，通常包括商业银行持有的证券以及贷款和租赁等信用资产，并经过季节调整。它衡量商业银行体系向经济和金融市场提供信用的总体规模。</x:t>
  </x:si>
  <x:si>
    <x:t xml:space="preserve">银行信贷扩张通常说明银行资产负债表扩张、信用供给改善，有利于实体融资和风险偏好；信贷收缩或增长放缓通常提示金融条件收紧。使用时应结合工商业贷款、房地产贷款、消费贷款和信用利差一起判断。</x:t>
  </x:si>
  <x:si>
    <x:t xml:space="preserve">G1109077</x:t>
  </x:si>
  <x:si>
    <x:t xml:space="preserve">银行贷款同比7.5%且较前期回升，信用动能改善。</x:t>
  </x:si>
  <x:si>
    <x:t xml:space="preserve">银行贷款同比</x:t>
  </x:si>
  <x:si>
    <x:t xml:space="preserve">存款机构贷款资产增速反映银行信用供给，主要作为辅助验证，避免与核心指标重复计数。</x:t>
  </x:si>
  <x:si>
    <x:t xml:space="preserve">商业银行信贷资产的同比或环比增速，涵盖工商贷款、消费贷款、房地产贷款等。</x:t>
  </x:si>
  <x:si>
    <x:t xml:space="preserve">贷款、消费贷款、房地产贷款等。	贷款增速加快→信贷扩张，经济活力增强，但也可能预示通胀压力上升；贷款增速放缓→企业投资意愿下降，经济动能减弱。</x:t>
  </x:si>
  <x:si>
    <x:t xml:space="preserve">K9194659</x:t>
  </x:si>
  <x:si>
    <x:t xml:space="preserve">工商业贷款同比8.2%且增加，企业融资需求改善。</x:t>
  </x:si>
  <x:si>
    <x:t xml:space="preserve">企业部门工商业贷款</x:t>
  </x:si>
  <x:si>
    <x:t xml:space="preserve">工商业贷款增速观察企业投资和经营融资需求，用于补充确认核心信号。</x:t>
  </x:si>
  <x:si>
    <x:t xml:space="preserve">美国商业银行发放给企业经营用途的工商业贷款余额。</x:t>
  </x:si>
  <x:si>
    <x:t xml:space="preserve">增速上升→企业投资意愿增强，扩张信心足，预示经济前景乐观；增速下降→企业收缩借贷，投资谨慎，经济可能放缓。银行财报显示美国大型银行商业贷款增速达双位数，企业在利率进一步上升前提前锁定融资。</x:t>
  </x:si>
  <x:si>
    <x:t xml:space="preserve">G1109086</x:t>
  </x:si>
  <x:si>
    <x:t xml:space="preserve">消费贷款同比4.5%且小幅增长，居民信用温和扩张。</x:t>
  </x:si>
  <x:si>
    <x:t xml:space="preserve">居民消费贷款增速</x:t>
  </x:si>
  <x:si>
    <x:t xml:space="preserve">居民消费贷款增速反映家庭消费信用需求，主要作为辅助验证，避免与核心指标重复计数。</x:t>
  </x:si>
  <x:si>
    <x:t xml:space="preserve">银行向个人发放的消费贷款（含信用卡、汽车贷、个人贷等）的增速。</x:t>
  </x:si>
  <x:si>
    <x:t xml:space="preserve">增速加快，居民消费意愿强，经济有支撑；增速放缓，消费趋于谨慎，经济可能承压。</x:t>
  </x:si>
  <x:si>
    <x:t xml:space="preserve">G1109091</x:t>
  </x:si>
  <x:si>
    <x:t xml:space="preserve">房地产贷款同比仅2.2%且环比收缩，地产信用偏弱。</x:t>
  </x:si>
  <x:si>
    <x:t xml:space="preserve">居民房地产贷款</x:t>
  </x:si>
  <x:si>
    <x:t xml:space="preserve">居民房地产贷款对住房信用有代表性，但变化较慢，主要作为辅助验证，避免与核心指标重复计数。</x:t>
  </x:si>
  <x:si>
    <x:t xml:space="preserve">美国商业银行发放的住房抵押贷款和其他房地产相关贷款余额。</x:t>
  </x:si>
  <x:si>
    <x:t xml:space="preserve">指数上升，购房需求旺，利好经济；
下降，利率压制需求，经济承压。</x:t>
  </x:si>
  <x:si>
    <x:t xml:space="preserve">G1109087</x:t>
  </x:si>
  <x:si>
    <x:t xml:space="preserve">M1同比4.9%且环比增加，资金活化改善。</x:t>
  </x:si>
  <x:si>
    <x:t xml:space="preserve">M1 货币供应量</x:t>
  </x:si>
  <x:si>
    <x:t xml:space="preserve">M1代表交易性货币需求，是流动性补充指标，主要作为辅助验证，避免与核心指标重复计数。</x:t>
  </x:si>
  <x:si>
    <x:t xml:space="preserve">美国M1货币供应量是美联储统计的高流动性货币总量，主要包括流通现金、活期存款和其他可交易存款。</x:t>
  </x:si>
  <x:si>
    <x:t xml:space="preserve">M1增速上升→交易性货币需求增加，经济活动活跃；M1增速下降→企业和居民活期存款减少，经济活力可能走弱。</x:t>
  </x:si>
  <x:si>
    <x:t xml:space="preserve">G0003382</x:t>
  </x:si>
  <x:si>
    <x:t xml:space="preserve">M2同比4.7%且环比增加，总量流动性改善。</x:t>
  </x:si>
  <x:si>
    <x:t xml:space="preserve">M2 货币供应量</x:t>
  </x:si>
  <x:si>
    <x:t xml:space="preserve">M2代表广义货币背景，但美国市场更看重价格型金融条件，主要作为辅助验证，避免与核心指标重复计数。</x:t>
  </x:si>
  <x:si>
    <x:t xml:space="preserve">美国M2货币供应量是在M1基础上加入储蓄存款、小额定期存款和零售货币市场基金等项目后的广义货币总量。</x:t>
  </x:si>
  <x:si>
    <x:t xml:space="preserve">M2增速反映信用扩张和货币宽松程度。M2增速持续回升→流动性条件宽松，利好风险资产；M2收缩→信用紧缩，利空风险资产。</x:t>
  </x:si>
  <x:si>
    <x:t xml:space="preserve">G0003383</x:t>
  </x:si>
</x:sst>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yyyy\-mm\-dd;@"/>
  </numFmts>
  <fonts count="1239">
    <font>
      <sz val="10"/>
      <name val="Microsoft YaHei"/>
    </font>
    <font>
      <sz val="16"/>
      <color rgb="FFFFFFFF"/>
      <name val="Microsoft YaHei"/>
    </font>
    <font>
      <sz val="10"/>
      <color rgb="FFC00000"/>
      <name val="Microsoft YaHei"/>
    </font>
    <font>
      <sz val="10"/>
      <color rgb="FF000000"/>
      <name val="Microsoft YaHei"/>
    </font>
    <font>
      <b/>
      <sz val="26"/>
      <name val="Microsoft YaHei"/>
    </font>
    <font>
      <sz val="26"/>
      <name val="Microsoft YaHei"/>
    </font>
    <font>
      <sz val="18"/>
      <name val="Microsoft YaHei"/>
    </font>
    <font>
      <b/>
      <sz val="12"/>
      <name val="微软雅黑"/>
    </font>
    <font>
      <b/>
      <sz val="26"/>
      <color rgb="FFFFFFFF"/>
      <name val="Microsoft YaHei"/>
    </font>
    <font>
      <b/>
      <sz val="18"/>
      <color rgb="FFFFFFFF"/>
      <name val="Microsoft YaHei"/>
    </font>
    <font>
      <b/>
      <sz val="16"/>
      <color rgb="FFFFFFFF"/>
      <name val="Microsoft YaHei"/>
    </font>
    <font>
      <b/>
      <sz val="12"/>
      <color rgb="FFFFFFFF"/>
      <name val="Microsoft YaHei"/>
    </font>
    <font>
      <b/>
      <sz val="26"/>
      <color rgb="FF000000"/>
      <name val="Microsoft YaHei"/>
    </font>
    <font>
      <b/>
      <sz val="18"/>
      <name val="Microsoft YaHei"/>
    </font>
    <font>
      <b/>
      <sz val="18"/>
      <color rgb="FF000000"/>
      <name val="Microsoft YaHei"/>
    </font>
    <font>
      <b/>
      <sz val="11"/>
      <color rgb="FFFF0000"/>
      <name val="Microsoft YaHei"/>
    </font>
    <font>
      <b/>
      <sz val="12"/>
      <color rgb="FFFF0000"/>
      <name val="Microsoft YaHei"/>
    </font>
    <font>
      <sz val="12"/>
      <color rgb="FF000000"/>
      <name val="Microsoft YaHei"/>
    </font>
    <font>
      <sz val="11"/>
      <color rgb="FF000000"/>
      <name val="Microsoft YaHei"/>
    </font>
    <font>
      <b/>
      <sz val="12"/>
      <color theme="1"/>
      <name val="Microsoft YaHei"/>
    </font>
    <font>
      <b/>
      <sz val="12"/>
      <color rgb="FF000000"/>
      <name val="Microsoft YaHei"/>
    </font>
    <font>
      <b/>
      <sz val="12"/>
      <name val="Microsoft YaHei"/>
    </font>
    <font>
      <b/>
      <sz val="10"/>
      <color theme="1"/>
      <name val="Microsoft YaHei"/>
    </font>
    <font>
      <b/>
      <sz val="10"/>
      <color rgb="FFFFFFFF"/>
      <name val="Microsoft YaHei"/>
    </font>
    <font>
      <b/>
      <sz val="10"/>
      <color rgb="FF000000"/>
      <name val="Microsoft YaHei"/>
    </font>
    <font>
      <sz val="14"/>
      <color rgb="FF000000"/>
      <name val="Microsoft YaHei"/>
    </font>
    <font>
      <b/>
      <sz val="10"/>
      <color rgb="FFFF0000"/>
      <name val="Microsoft YaHei"/>
    </font>
    <font>
      <b/>
      <sz val="11"/>
      <color theme="1"/>
      <name val="Microsoft YaHei"/>
    </font>
    <font>
      <b/>
      <sz val="11"/>
      <color rgb="FF000000"/>
      <name val="Microsoft YaHei"/>
    </font>
    <font>
      <b/>
      <sz val="11"/>
      <color rgb="FFFFFFFF"/>
      <name val="Microsoft YaHei"/>
    </font>
    <font>
      <sz val="11"/>
      <color theme="1"/>
      <name val="宋体"/>
    </font>
    <font>
      <sz val="11"/>
      <color rgb="FF0000FF"/>
      <name val="宋体"/>
    </font>
    <font>
      <sz val="11"/>
      <color rgb="FF800080"/>
      <name val="宋体"/>
    </font>
    <font>
      <sz val="11"/>
      <color rgb="FFFF0000"/>
      <name val="宋体"/>
    </font>
    <font>
      <b/>
      <sz val="18"/>
      <color theme="3"/>
      <name val="宋体"/>
    </font>
    <font>
      <i/>
      <sz val="11"/>
      <color rgb="FF7F7F7F"/>
      <name val="宋体"/>
    </font>
    <font>
      <b/>
      <sz val="15"/>
      <color theme="3"/>
      <name val="宋体"/>
    </font>
    <font>
      <b/>
      <sz val="13"/>
      <color theme="3"/>
      <name val="宋体"/>
    </font>
    <font>
      <b/>
      <sz val="11"/>
      <color theme="3"/>
      <name val="宋体"/>
    </font>
    <font>
      <sz val="11"/>
      <color rgb="FF3F3F76"/>
      <name val="宋体"/>
    </font>
    <font>
      <b/>
      <sz val="11"/>
      <color rgb="FF3F3F3F"/>
      <name val="宋体"/>
    </font>
    <font>
      <b/>
      <sz val="11"/>
      <color rgb="FFFA7D00"/>
      <name val="宋体"/>
    </font>
    <font>
      <b/>
      <sz val="11"/>
      <color rgb="FFFFFFFF"/>
      <name val="宋体"/>
    </font>
    <font>
      <sz val="11"/>
      <color rgb="FFFA7D00"/>
      <name val="宋体"/>
    </font>
    <font>
      <b/>
      <sz val="11"/>
      <color theme="1"/>
      <name val="宋体"/>
    </font>
    <font>
      <sz val="11"/>
      <color rgb="FF006100"/>
      <name val="宋体"/>
    </font>
    <font>
      <sz val="11"/>
      <color rgb="FF9C0006"/>
      <name val="宋体"/>
    </font>
    <font>
      <sz val="11"/>
      <color rgb="FF9C6500"/>
      <name val="宋体"/>
    </font>
    <font>
      <sz val="11"/>
      <color theme="0"/>
      <name val="宋体"/>
    </font>
    <font>
      <sz val="11"/>
      <color theme="1"/>
      <name val="宋体"/>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0"/>
      <color rgb="FFFFFFFF"/>
      <name val="Microsoft YaHei"/>
    </font>
    <font>
      <b/>
      <sz val="10"/>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sz val="11"/>
      <color rgb="FF000000"/>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sz val="11"/>
      <color rgb="FF000000"/>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0"/>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1"/>
      <color rgb="FF000000"/>
      <name val="Microsoft YaHei"/>
    </font>
    <font>
      <b/>
      <sz val="11"/>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0"/>
      <color rgb="FFFFFFFF"/>
      <name val="Microsoft YaHei"/>
    </font>
    <font>
      <b/>
      <sz val="10"/>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sz val="11"/>
      <color rgb="FF000000"/>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sz val="11"/>
      <color rgb="FF000000"/>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0"/>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1"/>
      <color rgb="FF000000"/>
      <name val="Microsoft YaHei"/>
    </font>
    <font>
      <b/>
      <sz val="11"/>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0"/>
      <color rgb="FFFFFFFF"/>
      <name val="Microsoft YaHei"/>
    </font>
    <font>
      <b/>
      <sz val="10"/>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sz val="11"/>
      <color rgb="FF000000"/>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sz val="11"/>
      <color rgb="FF000000"/>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0"/>
      <color rgb="FF000000"/>
      <name val="Microsoft YaHei"/>
    </font>
    <font>
      <b/>
      <sz val="12"/>
      <color rgb="FFFFFFFF"/>
      <name val="Microsoft YaHei"/>
    </font>
    <font>
      <b/>
      <sz val="12"/>
      <color rgb="FF000000"/>
      <name val="Microsoft YaHei"/>
    </font>
    <font>
      <b/>
      <sz val="12"/>
      <color rgb="FF000000"/>
      <name val="Microsoft YaHei"/>
    </font>
    <font>
      <b/>
      <sz val="12"/>
      <color rgb="FFFFFFFF"/>
      <name val="Microsoft YaHei"/>
    </font>
    <font>
      <b/>
      <sz val="12"/>
      <color rgb="FF000000"/>
      <name val="Microsoft YaHei"/>
    </font>
    <font>
      <b/>
      <sz val="12"/>
      <color rgb="FF000000"/>
      <name val="Microsoft YaHei"/>
    </font>
    <font>
      <b/>
      <sz val="12"/>
      <color rgb="FF000000"/>
      <name val="Microsoft YaHei"/>
    </font>
    <font>
      <b/>
      <sz val="12"/>
      <color rgb="FF000000"/>
      <name val="Microsoft YaHei"/>
    </font>
    <font>
      <b/>
      <sz val="12"/>
      <color rgb="FFFFFFFF"/>
      <name val="Microsoft YaHei"/>
    </font>
    <font>
      <b/>
      <sz val="12"/>
      <color rgb="FFFFFFFF"/>
      <name val="Microsoft YaHei"/>
    </font>
    <font>
      <b/>
      <sz val="12"/>
      <color rgb="FFFFFFFF"/>
      <name val="Microsoft YaHei"/>
    </font>
    <font>
      <b/>
      <sz val="12"/>
      <color rgb="FF000000"/>
      <name val="Microsoft YaHei"/>
    </font>
    <font>
      <b/>
      <sz val="11"/>
      <color rgb="FF000000"/>
      <name val="Microsoft YaHei"/>
    </font>
    <font>
      <b/>
      <sz val="11"/>
      <color rgb="FFFFFFFF"/>
      <name val="Microsoft YaHei"/>
    </font>
    <font>
      <b/>
      <sz val="12"/>
      <color rgb="FFFFFFFF"/>
      <name val="Microsoft YaHei"/>
    </font>
    <font>
      <b/>
      <sz val="12"/>
      <color rgb="FFFFFFFF"/>
      <name val="Microsoft YaHei"/>
    </font>
    <font>
      <sz val="10"/>
      <color rgb="FF111827"/>
      <name val="微软雅黑"/>
    </font>
    <font>
      <b/>
      <sz val="10"/>
      <color rgb="FFFFFFFF"/>
      <name val="微软雅黑"/>
    </font>
    <font>
      <sz val="10"/>
      <color rgb="FF374151"/>
      <name val="微软雅黑"/>
    </font>
    <font>
      <b/>
      <sz val="10"/>
      <color rgb="FF14532D"/>
      <name val="微软雅黑"/>
    </font>
    <font>
      <b/>
      <sz val="10"/>
      <color rgb="FF7C2D12"/>
      <name val="微软雅黑"/>
    </font>
    <font>
      <b/>
      <sz val="10"/>
      <color rgb="FF1D4ED8"/>
      <name val="微软雅黑"/>
    </font>
    <font>
      <sz val="10"/>
      <color rgb="FF047857"/>
      <name val="微软雅黑"/>
    </font>
    <font>
      <sz val="10"/>
      <color rgb="FF991B1B"/>
      <name val="微软雅黑"/>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0"/>
      <name val="Microsoft YaHei"/>
    </font>
    <font>
      <b/>
      <color rgb="FF000000"/>
      <sz val="10"/>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0"/>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1"/>
      <name val="Microsoft YaHei"/>
    </font>
    <font>
      <b/>
      <color rgb="FF000000"/>
      <sz val="12"/>
      <name val="Microsoft YaHei"/>
    </font>
    <font>
      <b/>
      <color rgb="FFFFFFFF"/>
      <sz val="11"/>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0"/>
      <name val="Microsoft YaHei"/>
    </font>
    <font>
      <b/>
      <color rgb="FF000000"/>
      <sz val="10"/>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0"/>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1"/>
      <name val="Microsoft YaHei"/>
    </font>
    <font>
      <b/>
      <color rgb="FF000000"/>
      <sz val="12"/>
      <name val="Microsoft YaHei"/>
    </font>
    <font>
      <b/>
      <color rgb="FFFFFFFF"/>
      <sz val="11"/>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0"/>
      <name val="Microsoft YaHei"/>
    </font>
    <font>
      <b/>
      <color rgb="FF000000"/>
      <sz val="10"/>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0"/>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1"/>
      <name val="Microsoft YaHei"/>
    </font>
    <font>
      <b/>
      <color rgb="FF000000"/>
      <sz val="12"/>
      <name val="Microsoft YaHei"/>
    </font>
    <font>
      <b/>
      <color rgb="FFFFFFFF"/>
      <sz val="11"/>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0"/>
      <name val="Microsoft YaHei"/>
    </font>
    <font>
      <b/>
      <color rgb="FF000000"/>
      <sz val="10"/>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0"/>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1"/>
      <name val="Microsoft YaHei"/>
    </font>
    <font>
      <b/>
      <color rgb="FF000000"/>
      <sz val="12"/>
      <name val="Microsoft YaHei"/>
    </font>
    <font>
      <b/>
      <color rgb="FFFFFFFF"/>
      <sz val="11"/>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0"/>
      <name val="Microsoft YaHei"/>
    </font>
    <font>
      <b/>
      <color rgb="FF000000"/>
      <sz val="10"/>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0"/>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1"/>
      <name val="Microsoft YaHei"/>
    </font>
    <font>
      <b/>
      <color rgb="FF000000"/>
      <sz val="12"/>
      <name val="Microsoft YaHei"/>
    </font>
    <font>
      <b/>
      <color rgb="FFFFFFFF"/>
      <sz val="11"/>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0"/>
      <name val="Microsoft YaHei"/>
    </font>
    <font>
      <b/>
      <color rgb="FF000000"/>
      <sz val="10"/>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color rgb="FF000000"/>
      <sz val="11"/>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color rgb="FF000000"/>
      <sz val="11"/>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2"/>
      <name val="Microsoft YaHei"/>
    </font>
    <font>
      <b/>
      <color rgb="FFFFFFFF"/>
      <sz val="12"/>
      <name val="Microsoft YaHei"/>
    </font>
    <font>
      <b/>
      <color rgb="FF000000"/>
      <sz val="12"/>
      <name val="Microsoft YaHei"/>
    </font>
    <font>
      <b/>
      <color rgb="FF000000"/>
      <sz val="10"/>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000000"/>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
      <b/>
      <color rgb="FF000000"/>
      <sz val="12"/>
      <name val="Microsoft YaHei"/>
    </font>
    <font>
      <b/>
      <color rgb="FF000000"/>
      <sz val="11"/>
      <name val="Microsoft YaHei"/>
    </font>
    <font>
      <b/>
      <color rgb="FF000000"/>
      <sz val="12"/>
      <name val="Microsoft YaHei"/>
    </font>
    <font>
      <b/>
      <color rgb="FFFFFFFF"/>
      <sz val="11"/>
      <name val="Microsoft YaHei"/>
    </font>
    <font>
      <b/>
      <color rgb="FFFFFFFF"/>
      <sz val="12"/>
      <name val="Microsoft YaHei"/>
    </font>
    <font>
      <b/>
      <color rgb="FFFFFFFF"/>
      <sz val="12"/>
      <name val="Microsoft YaHei"/>
    </font>
    <font>
      <b/>
      <color rgb="FFFFFFFF"/>
      <sz val="12"/>
      <name val="Microsoft YaHei"/>
    </font>
    <font>
      <b/>
      <color rgb="FFFFFFFF"/>
      <sz val="12"/>
      <name val="Microsoft YaHei"/>
    </font>
  </fonts>
  <fills count="1073">
    <fill>
      <patternFill patternType="none"/>
    </fill>
    <fill>
      <patternFill patternType="gray125"/>
    </fill>
    <fill>
      <patternFill patternType="solid">
        <fgColor rgb="FFC00000"/>
      </patternFill>
    </fill>
    <fill>
      <patternFill patternType="solid">
        <fgColor rgb="FFFFF9E3"/>
      </patternFill>
    </fill>
    <fill>
      <patternFill patternType="solid">
        <fgColor rgb="FFEFCAA9"/>
      </patternFill>
    </fill>
    <fill>
      <patternFill patternType="solid">
        <fgColor rgb="FFFFF9E3"/>
      </patternFill>
    </fill>
    <fill>
      <patternFill patternType="solid">
        <fgColor rgb="FFC0DBB8"/>
      </patternFill>
    </fill>
    <fill>
      <patternFill patternType="solid">
        <fgColor rgb="FFE89191"/>
      </patternFill>
    </fill>
    <fill>
      <patternFill patternType="solid">
        <fgColor rgb="FFE9BB95"/>
      </patternFill>
    </fill>
    <fill>
      <patternFill patternType="solid">
        <fgColor rgb="FF1B721A"/>
      </patternFill>
    </fill>
    <fill>
      <patternFill patternType="solid">
        <fgColor rgb="FFEBC09B"/>
      </patternFill>
    </fill>
    <fill>
      <patternFill patternType="solid">
        <fgColor rgb="FFF2D3B6"/>
      </patternFill>
    </fill>
    <fill>
      <patternFill patternType="solid">
        <fgColor rgb="FF418A3E"/>
      </patternFill>
    </fill>
    <fill>
      <patternFill patternType="solid">
        <fgColor rgb="FFD24141"/>
      </patternFill>
    </fill>
    <fill>
      <patternFill patternType="solid">
        <fgColor rgb="FFF6DFC5"/>
      </patternFill>
    </fill>
    <fill>
      <patternFill patternType="solid">
        <fgColor rgb="FFE8B790"/>
      </patternFill>
    </fill>
    <fill>
      <patternFill patternType="solid">
        <fgColor rgb="FF81B37C"/>
      </patternFill>
    </fill>
    <fill>
      <patternFill patternType="solid">
        <fgColor rgb="FF51944E"/>
      </patternFill>
    </fill>
    <fill>
      <patternFill patternType="solid">
        <fgColor rgb="FFF0CFB0"/>
      </patternFill>
    </fill>
    <fill>
      <patternFill patternType="solid">
        <fgColor rgb="FF87B681"/>
      </patternFill>
    </fill>
    <fill>
      <patternFill patternType="solid">
        <fgColor rgb="FFEDC4A1"/>
      </patternFill>
    </fill>
    <fill>
      <patternFill patternType="solid">
        <fgColor rgb="FFF2D4B7"/>
      </patternFill>
    </fill>
    <fill>
      <patternFill patternType="solid">
        <fgColor rgb="FFE17777"/>
      </patternFill>
    </fill>
    <fill>
      <patternFill patternType="solid">
        <fgColor rgb="FFEBBF9B"/>
      </patternFill>
    </fill>
    <fill>
      <patternFill patternType="solid">
        <fgColor rgb="FFD54B4B"/>
      </patternFill>
    </fill>
    <fill>
      <patternFill patternType="solid">
        <fgColor rgb="FFC71919"/>
      </patternFill>
    </fill>
    <fill>
      <patternFill patternType="solid">
        <fgColor rgb="FFD03B3B"/>
      </patternFill>
    </fill>
    <fill>
      <patternFill patternType="solid">
        <fgColor rgb="FFF0B0B0"/>
      </patternFill>
    </fill>
    <fill>
      <patternFill patternType="solid">
        <fgColor rgb="FFF4D8BD"/>
      </patternFill>
    </fill>
    <fill>
      <patternFill patternType="solid">
        <fgColor rgb="FFF6C3C3"/>
      </patternFill>
    </fill>
    <fill>
      <patternFill patternType="solid">
        <fgColor rgb="FFEDA4A4"/>
      </patternFill>
    </fill>
    <fill>
      <patternFill patternType="solid">
        <fgColor rgb="FFF1B2B2"/>
      </patternFill>
    </fill>
    <fill>
      <patternFill patternType="solid">
        <fgColor rgb="FF4B9048"/>
      </patternFill>
    </fill>
    <fill>
      <patternFill patternType="solid">
        <fgColor rgb="FFE6B187"/>
      </patternFill>
    </fill>
    <fill>
      <patternFill patternType="solid">
        <fgColor rgb="FFDC6565"/>
      </patternFill>
    </fill>
    <fill>
      <patternFill patternType="solid">
        <fgColor rgb="FF056405"/>
      </patternFill>
    </fill>
    <fill>
      <patternFill patternType="solid">
        <fgColor rgb="FF5E9C5A"/>
      </patternFill>
    </fill>
    <fill>
      <patternFill patternType="solid">
        <fgColor rgb="FF006100"/>
      </patternFill>
    </fill>
    <fill>
      <patternFill patternType="solid">
        <fgColor rgb="FFD85959"/>
      </patternFill>
    </fill>
    <fill>
      <patternFill patternType="solid">
        <fgColor rgb="FFE37E7E"/>
      </patternFill>
    </fill>
    <fill>
      <patternFill patternType="solid">
        <fgColor rgb="FF3B8638"/>
      </patternFill>
    </fill>
    <fill>
      <patternFill patternType="solid">
        <fgColor rgb="FFE4AC81"/>
      </patternFill>
    </fill>
    <fill>
      <patternFill patternType="solid">
        <fgColor rgb="FFC81B1B"/>
      </patternFill>
    </fill>
    <fill>
      <patternFill patternType="solid">
        <fgColor rgb="FFD65252"/>
      </patternFill>
    </fill>
    <fill>
      <patternFill patternType="solid">
        <fgColor rgb="FFEBC09D"/>
      </patternFill>
    </fill>
    <fill>
      <patternFill patternType="solid">
        <fgColor rgb="FFF5DBC1"/>
      </patternFill>
    </fill>
    <fill>
      <patternFill patternType="solid">
        <fgColor rgb="FFF7E1C8"/>
      </patternFill>
    </fill>
    <fill>
      <patternFill patternType="solid">
        <fgColor rgb="FFEABD98"/>
      </patternFill>
    </fill>
    <fill>
      <patternFill patternType="solid">
        <fgColor rgb="FF2E7E2C"/>
      </patternFill>
    </fill>
    <fill>
      <patternFill patternType="solid">
        <fgColor rgb="FF187017"/>
      </patternFill>
    </fill>
    <fill>
      <patternFill patternType="solid">
        <fgColor rgb="FF348232"/>
      </patternFill>
    </fill>
    <fill>
      <patternFill patternType="solid">
        <fgColor rgb="FFF9E7D1"/>
      </patternFill>
    </fill>
    <fill>
      <patternFill patternType="solid">
        <fgColor rgb="FFFBEDD9"/>
      </patternFill>
    </fill>
    <fill>
      <patternFill patternType="solid">
        <fgColor rgb="FFFAE9D3"/>
      </patternFill>
    </fill>
    <fill>
      <patternFill patternType="solid">
        <fgColor rgb="FFFCEFDC"/>
      </patternFill>
    </fill>
    <fill>
      <patternFill patternType="solid">
        <fgColor rgb="FFF4D8BC"/>
      </patternFill>
    </fill>
    <fill>
      <patternFill patternType="solid">
        <fgColor rgb="FFDE6E6E"/>
      </patternFill>
    </fill>
    <fill>
      <patternFill patternType="solid">
        <fgColor rgb="FF116C11"/>
      </patternFill>
    </fill>
    <fill>
      <patternFill patternType="solid">
        <fgColor rgb="FFECC29E"/>
      </patternFill>
    </fill>
    <fill>
      <patternFill patternType="solid">
        <fgColor rgb="FF69A365"/>
      </patternFill>
    </fill>
    <fill>
      <patternFill patternType="solid">
        <fgColor rgb="FF046404"/>
      </patternFill>
    </fill>
    <fill>
      <patternFill patternType="solid">
        <fgColor rgb="FFF9E6CF"/>
      </patternFill>
    </fill>
    <fill>
      <patternFill patternType="solid">
        <fgColor rgb="FF20751F"/>
      </patternFill>
    </fill>
    <fill>
      <patternFill patternType="solid">
        <fgColor rgb="FF0D690C"/>
      </patternFill>
    </fill>
    <fill>
      <patternFill patternType="solid">
        <fgColor rgb="FFF8E4CC"/>
      </patternFill>
    </fill>
    <fill>
      <patternFill patternType="solid">
        <fgColor rgb="FF6DA669"/>
      </patternFill>
    </fill>
    <fill>
      <patternFill patternType="solid">
        <fgColor rgb="FF6FA76A"/>
      </patternFill>
    </fill>
    <fill>
      <patternFill patternType="solid">
        <fgColor rgb="FFB2D2AB"/>
      </patternFill>
    </fill>
    <fill>
      <patternFill patternType="solid">
        <fgColor rgb="FFE2A87B"/>
      </patternFill>
    </fill>
    <fill>
      <patternFill patternType="solid">
        <fgColor rgb="FFAECFA7"/>
      </patternFill>
    </fill>
    <fill>
      <patternFill patternType="solid">
        <fgColor rgb="FFE5AF84"/>
      </patternFill>
    </fill>
    <fill>
      <patternFill patternType="solid">
        <fgColor rgb="FFF2D3B5"/>
      </patternFill>
    </fill>
    <fill>
      <patternFill patternType="solid">
        <fgColor rgb="FF75AB71"/>
      </patternFill>
    </fill>
    <fill>
      <patternFill patternType="solid">
        <fgColor rgb="FFE8B992"/>
      </patternFill>
    </fill>
    <fill>
      <patternFill patternType="solid">
        <fgColor rgb="FFEEC9A8"/>
      </patternFill>
    </fill>
    <fill>
      <patternFill patternType="solid">
        <fgColor rgb="FF368334"/>
      </patternFill>
    </fill>
    <fill>
      <patternFill patternType="solid">
        <fgColor rgb="FF71A96D"/>
      </patternFill>
    </fill>
    <fill>
      <patternFill patternType="solid">
        <fgColor rgb="FF8BB986"/>
      </patternFill>
    </fill>
    <fill>
      <patternFill patternType="solid">
        <fgColor rgb="FFC20909"/>
      </patternFill>
    </fill>
    <fill>
      <patternFill patternType="solid">
        <fgColor rgb="FFE99494"/>
      </patternFill>
    </fill>
    <fill>
      <patternFill patternType="solid">
        <fgColor rgb="FFCA2525"/>
      </patternFill>
    </fill>
    <fill>
      <patternFill patternType="solid">
        <fgColor rgb="FF4F934C"/>
      </patternFill>
    </fill>
    <fill>
      <patternFill patternType="solid">
        <fgColor rgb="FF4A9047"/>
      </patternFill>
    </fill>
    <fill>
      <patternFill patternType="solid">
        <fgColor rgb="FFE9BA93"/>
      </patternFill>
    </fill>
    <fill>
      <patternFill patternType="solid">
        <fgColor rgb="FFEABE99"/>
      </patternFill>
    </fill>
    <fill>
      <patternFill patternType="solid">
        <fgColor rgb="FFEEC7A5"/>
      </patternFill>
    </fill>
    <fill>
      <patternFill patternType="solid">
        <fgColor rgb="FFCF3737"/>
      </patternFill>
    </fill>
    <fill>
      <patternFill patternType="solid">
        <fgColor rgb="FF197118"/>
      </patternFill>
    </fill>
    <fill>
      <patternFill patternType="solid">
        <fgColor rgb="FFF5DABF"/>
      </patternFill>
    </fill>
    <fill>
      <patternFill patternType="solid">
        <fgColor rgb="FFDC6666"/>
      </patternFill>
    </fill>
    <fill>
      <patternFill patternType="solid">
        <fgColor rgb="FFEDC6A4"/>
      </patternFill>
    </fill>
    <fill>
      <patternFill patternType="solid">
        <fgColor rgb="FFD64E4E"/>
      </patternFill>
    </fill>
    <fill>
      <patternFill patternType="solid">
        <fgColor rgb="FF7CB077"/>
      </patternFill>
    </fill>
    <fill>
      <patternFill patternType="solid">
        <fgColor rgb="FFB0D0A9"/>
      </patternFill>
    </fill>
    <fill>
      <patternFill patternType="solid">
        <fgColor rgb="FF328030"/>
      </patternFill>
    </fill>
    <fill>
      <patternFill patternType="solid">
        <fgColor rgb="FFE48383"/>
      </patternFill>
    </fill>
    <fill>
      <patternFill patternType="solid">
        <fgColor rgb="FFE99595"/>
      </patternFill>
    </fill>
    <fill>
      <patternFill patternType="solid">
        <fgColor rgb="FF358233"/>
      </patternFill>
    </fill>
    <fill>
      <patternFill patternType="solid">
        <fgColor rgb="FFC51313"/>
      </patternFill>
    </fill>
    <fill>
      <patternFill patternType="solid">
        <fgColor rgb="FFC30A0A"/>
      </patternFill>
    </fill>
    <fill>
      <patternFill patternType="solid">
        <fgColor rgb="FFB2D1AB"/>
      </patternFill>
    </fill>
    <fill>
      <patternFill patternType="solid">
        <fgColor rgb="FFEA9A9A"/>
      </patternFill>
    </fill>
    <fill>
      <patternFill patternType="solid">
        <fgColor rgb="FFC81F1F"/>
      </patternFill>
    </fill>
    <fill>
      <patternFill patternType="solid">
        <fgColor rgb="FFE6B188"/>
      </patternFill>
    </fill>
    <fill>
      <patternFill patternType="solid">
        <fgColor rgb="FF468D43"/>
      </patternFill>
    </fill>
    <fill>
      <patternFill patternType="solid">
        <fgColor rgb="FF71A86C"/>
      </patternFill>
    </fill>
    <fill>
      <patternFill patternType="solid">
        <fgColor rgb="FFC20606"/>
      </patternFill>
    </fill>
    <fill>
      <patternFill patternType="solid">
        <fgColor rgb="FFF3D7BA"/>
      </patternFill>
    </fill>
    <fill>
      <patternFill patternType="solid">
        <fgColor rgb="FFCC2B2B"/>
      </patternFill>
    </fill>
    <fill>
      <patternFill patternType="solid">
        <fgColor rgb="FFEC9E9E"/>
      </patternFill>
    </fill>
    <fill>
      <patternFill patternType="solid">
        <fgColor rgb="FFC92020"/>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
      <patternFill patternType="solid">
        <fgColor rgb="FFC0DBB8"/>
      </patternFill>
    </fill>
    <fill>
      <patternFill patternType="solid">
        <fgColor rgb="FFE89191"/>
      </patternFill>
    </fill>
    <fill>
      <patternFill patternType="solid">
        <fgColor rgb="FF1B721A"/>
      </patternFill>
    </fill>
    <fill>
      <patternFill patternType="solid">
        <fgColor rgb="FF418A3E"/>
      </patternFill>
    </fill>
    <fill>
      <patternFill patternType="solid">
        <fgColor rgb="FFD24141"/>
      </patternFill>
    </fill>
    <fill>
      <patternFill patternType="solid">
        <fgColor rgb="FF81B37C"/>
      </patternFill>
    </fill>
    <fill>
      <patternFill patternType="solid">
        <fgColor rgb="FF51944E"/>
      </patternFill>
    </fill>
    <fill>
      <patternFill patternType="solid">
        <fgColor rgb="FF87B681"/>
      </patternFill>
    </fill>
    <fill>
      <patternFill patternType="solid">
        <fgColor rgb="FFE17777"/>
      </patternFill>
    </fill>
    <fill>
      <patternFill patternType="solid">
        <fgColor rgb="FFD54B4B"/>
      </patternFill>
    </fill>
    <fill>
      <patternFill patternType="solid">
        <fgColor rgb="FFC71919"/>
      </patternFill>
    </fill>
    <fill>
      <patternFill patternType="solid">
        <fgColor rgb="FFD03B3B"/>
      </patternFill>
    </fill>
    <fill>
      <patternFill patternType="solid">
        <fgColor rgb="FFF0B0B0"/>
      </patternFill>
    </fill>
    <fill>
      <patternFill patternType="solid">
        <fgColor rgb="FFF6C3C3"/>
      </patternFill>
    </fill>
    <fill>
      <patternFill patternType="solid">
        <fgColor rgb="FFEDA4A4"/>
      </patternFill>
    </fill>
    <fill>
      <patternFill patternType="solid">
        <fgColor rgb="FFDC6565"/>
      </patternFill>
    </fill>
    <fill>
      <patternFill patternType="solid">
        <fgColor rgb="FFD54B4B"/>
      </patternFill>
    </fill>
    <fill>
      <patternFill patternType="solid">
        <fgColor rgb="FFF1B2B2"/>
      </patternFill>
    </fill>
    <fill>
      <patternFill patternType="solid">
        <fgColor rgb="FFEA9797"/>
      </patternFill>
    </fill>
    <fill>
      <patternFill patternType="solid">
        <fgColor rgb="FF4B9048"/>
      </patternFill>
    </fill>
    <fill>
      <patternFill patternType="solid">
        <fgColor rgb="FFC00000"/>
      </patternFill>
    </fill>
    <fill>
      <patternFill patternType="solid">
        <fgColor rgb="FFDC6565"/>
      </patternFill>
    </fill>
    <fill>
      <patternFill patternType="solid">
        <fgColor rgb="FF136D12"/>
      </patternFill>
    </fill>
    <fill>
      <patternFill patternType="solid">
        <fgColor rgb="FFD44848"/>
      </patternFill>
    </fill>
    <fill>
      <patternFill patternType="solid">
        <fgColor rgb="FF40893D"/>
      </patternFill>
    </fill>
    <fill>
      <patternFill patternType="solid">
        <fgColor rgb="FF006100"/>
      </patternFill>
    </fill>
    <fill>
      <patternFill patternType="solid">
        <fgColor rgb="FFE58585"/>
      </patternFill>
    </fill>
    <fill>
      <patternFill patternType="solid">
        <fgColor rgb="FF3B8638"/>
      </patternFill>
    </fill>
    <fill>
      <patternFill patternType="solid">
        <fgColor rgb="FFE48383"/>
      </patternFill>
    </fill>
    <fill>
      <patternFill patternType="solid">
        <fgColor rgb="FFC81B1B"/>
      </patternFill>
    </fill>
    <fill>
      <patternFill patternType="solid">
        <fgColor rgb="FFD65252"/>
      </patternFill>
    </fill>
    <fill>
      <patternFill patternType="solid">
        <fgColor rgb="FFD24141"/>
      </patternFill>
    </fill>
    <fill>
      <patternFill patternType="solid">
        <fgColor rgb="FF51944E"/>
      </patternFill>
    </fill>
    <fill>
      <patternFill patternType="solid">
        <fgColor rgb="FFA2C89C"/>
      </patternFill>
    </fill>
    <fill>
      <patternFill patternType="solid">
        <fgColor rgb="FFC10505"/>
      </patternFill>
    </fill>
    <fill>
      <patternFill patternType="solid">
        <fgColor rgb="FFF6C3C3"/>
      </patternFill>
    </fill>
    <fill>
      <patternFill patternType="solid">
        <fgColor rgb="FFE37E7E"/>
      </patternFill>
    </fill>
    <fill>
      <patternFill patternType="solid">
        <fgColor rgb="FFE17777"/>
      </patternFill>
    </fill>
    <fill>
      <patternFill patternType="solid">
        <fgColor rgb="FFDC6565"/>
      </patternFill>
    </fill>
    <fill>
      <patternFill patternType="solid">
        <fgColor rgb="FFDC6565"/>
      </patternFill>
    </fill>
    <fill>
      <patternFill patternType="solid">
        <fgColor rgb="FFC51313"/>
      </patternFill>
    </fill>
    <fill>
      <patternFill patternType="solid">
        <fgColor rgb="FFF2B6B6"/>
      </patternFill>
    </fill>
    <fill>
      <patternFill patternType="solid">
        <fgColor rgb="FFCE3131"/>
      </patternFill>
    </fill>
    <fill>
      <patternFill patternType="solid">
        <fgColor rgb="FF80B27B"/>
      </patternFill>
    </fill>
    <fill>
      <patternFill patternType="solid">
        <fgColor rgb="FFDA6060"/>
      </patternFill>
    </fill>
    <fill>
      <patternFill patternType="solid">
        <fgColor rgb="FFC0DBB8"/>
      </patternFill>
    </fill>
    <fill>
      <patternFill patternType="solid">
        <fgColor rgb="FFC61818"/>
      </patternFill>
    </fill>
    <fill>
      <patternFill patternType="solid">
        <fgColor rgb="FF9FC699"/>
      </patternFill>
    </fill>
    <fill>
      <patternFill patternType="solid">
        <fgColor rgb="FFCE3131"/>
      </patternFill>
    </fill>
    <fill>
      <patternFill patternType="solid">
        <fgColor rgb="FF6FA76B"/>
      </patternFill>
    </fill>
    <fill>
      <patternFill patternType="solid">
        <fgColor rgb="FF75AB70"/>
      </patternFill>
    </fill>
    <fill>
      <patternFill patternType="solid">
        <fgColor rgb="FF006100"/>
      </patternFill>
    </fill>
    <fill>
      <patternFill patternType="solid">
        <fgColor rgb="FFAECFA7"/>
      </patternFill>
    </fill>
    <fill>
      <patternFill patternType="solid">
        <fgColor rgb="FF75AB71"/>
      </patternFill>
    </fill>
    <fill>
      <patternFill patternType="solid">
        <fgColor rgb="FF368334"/>
      </patternFill>
    </fill>
    <fill>
      <patternFill patternType="solid">
        <fgColor rgb="FF99C293"/>
      </patternFill>
    </fill>
    <fill>
      <patternFill patternType="solid">
        <fgColor rgb="FFF6C3C3"/>
      </patternFill>
    </fill>
    <fill>
      <patternFill patternType="solid">
        <fgColor rgb="FFC00000"/>
      </patternFill>
    </fill>
    <fill>
      <patternFill patternType="solid">
        <fgColor rgb="FFCD2E2E"/>
      </patternFill>
    </fill>
    <fill>
      <patternFill patternType="solid">
        <fgColor rgb="FFF6C3C3"/>
      </patternFill>
    </fill>
    <fill>
      <patternFill patternType="solid">
        <fgColor rgb="FFC00000"/>
      </patternFill>
    </fill>
    <fill>
      <patternFill patternType="solid">
        <fgColor rgb="FF51944E"/>
      </patternFill>
    </fill>
    <fill>
      <patternFill patternType="solid">
        <fgColor rgb="FF368334"/>
      </patternFill>
    </fill>
    <fill>
      <patternFill patternType="solid">
        <fgColor rgb="FFD54B4B"/>
      </patternFill>
    </fill>
    <fill>
      <patternFill patternType="solid">
        <fgColor rgb="FFB0D0A9"/>
      </patternFill>
    </fill>
    <fill>
      <patternFill patternType="solid">
        <fgColor rgb="FFD54B4B"/>
      </patternFill>
    </fill>
    <fill>
      <patternFill patternType="solid">
        <fgColor rgb="FFC00000"/>
      </patternFill>
    </fill>
    <fill>
      <patternFill patternType="solid">
        <fgColor rgb="FFCF3737"/>
      </patternFill>
    </fill>
    <fill>
      <patternFill patternType="solid">
        <fgColor rgb="FF197118"/>
      </patternFill>
    </fill>
    <fill>
      <patternFill patternType="solid">
        <fgColor rgb="FF4B9048"/>
      </patternFill>
    </fill>
    <fill>
      <patternFill patternType="solid">
        <fgColor rgb="FFD03B3B"/>
      </patternFill>
    </fill>
    <fill>
      <patternFill patternType="solid">
        <fgColor rgb="FF7CB077"/>
      </patternFill>
    </fill>
    <fill>
      <patternFill patternType="solid">
        <fgColor rgb="FFB0D0A9"/>
      </patternFill>
    </fill>
    <fill>
      <patternFill patternType="solid">
        <fgColor rgb="FF328030"/>
      </patternFill>
    </fill>
    <fill>
      <patternFill patternType="solid">
        <fgColor rgb="FFC81B1B"/>
      </patternFill>
    </fill>
    <fill>
      <patternFill patternType="solid">
        <fgColor rgb="FFE48383"/>
      </patternFill>
    </fill>
    <fill>
      <patternFill patternType="solid">
        <fgColor rgb="FFC71919"/>
      </patternFill>
    </fill>
    <fill>
      <patternFill patternType="solid">
        <fgColor rgb="FFE99595"/>
      </patternFill>
    </fill>
    <fill>
      <patternFill patternType="solid">
        <fgColor rgb="FFC00000"/>
      </patternFill>
    </fill>
    <fill>
      <patternFill patternType="solid">
        <fgColor rgb="FFF1B2B2"/>
      </patternFill>
    </fill>
    <fill>
      <patternFill patternType="solid">
        <fgColor rgb="FF378435"/>
      </patternFill>
    </fill>
    <fill>
      <patternFill patternType="solid">
        <fgColor rgb="FFC51313"/>
      </patternFill>
    </fill>
    <fill>
      <patternFill patternType="solid">
        <fgColor rgb="FFC30A0A"/>
      </patternFill>
    </fill>
    <fill>
      <patternFill patternType="solid">
        <fgColor rgb="FFB3D3AC"/>
      </patternFill>
    </fill>
    <fill>
      <patternFill patternType="solid">
        <fgColor rgb="FFEA9A9A"/>
      </patternFill>
    </fill>
    <fill>
      <patternFill patternType="solid">
        <fgColor rgb="FFC81F1F"/>
      </patternFill>
    </fill>
    <fill>
      <patternFill patternType="solid">
        <fgColor rgb="FF97C191"/>
      </patternFill>
    </fill>
    <fill>
      <patternFill patternType="solid">
        <fgColor rgb="FF277A25"/>
      </patternFill>
    </fill>
    <fill>
      <patternFill patternType="solid">
        <fgColor rgb="FF88B783"/>
      </patternFill>
    </fill>
    <fill>
      <patternFill patternType="solid">
        <fgColor rgb="FFD34545"/>
      </patternFill>
    </fill>
    <fill>
      <patternFill patternType="solid">
        <fgColor rgb="FFE89393"/>
      </patternFill>
    </fill>
    <fill>
      <patternFill patternType="solid">
        <fgColor rgb="FFC20606"/>
      </patternFill>
    </fill>
    <fill>
      <patternFill patternType="solid">
        <fgColor rgb="FFD24141"/>
      </patternFill>
    </fill>
    <fill>
      <patternFill patternType="solid">
        <fgColor rgb="FFCC2B2B"/>
      </patternFill>
    </fill>
    <fill>
      <patternFill patternType="solid">
        <fgColor rgb="FFEC9E9E"/>
      </patternFill>
    </fill>
    <fill>
      <patternFill patternType="solid">
        <fgColor rgb="FFC00000"/>
      </patternFill>
    </fill>
    <fill>
      <patternFill patternType="solid">
        <fgColor rgb="FFC92020"/>
      </patternFill>
    </fill>
    <fill>
      <patternFill patternType="solid">
        <fgColor rgb="FFC71919"/>
      </patternFill>
    </fill>
    <fill>
      <patternFill patternType="solid">
        <fgColor rgb="FFC0DBB8"/>
      </patternFill>
    </fill>
    <fill>
      <patternFill patternType="solid">
        <fgColor rgb="FFE89191"/>
      </patternFill>
    </fill>
    <fill>
      <patternFill patternType="solid">
        <fgColor rgb="FF1B721A"/>
      </patternFill>
    </fill>
    <fill>
      <patternFill patternType="solid">
        <fgColor rgb="FF418A3E"/>
      </patternFill>
    </fill>
    <fill>
      <patternFill patternType="solid">
        <fgColor rgb="FFD24141"/>
      </patternFill>
    </fill>
    <fill>
      <patternFill patternType="solid">
        <fgColor rgb="FF81B37C"/>
      </patternFill>
    </fill>
    <fill>
      <patternFill patternType="solid">
        <fgColor rgb="FF51944E"/>
      </patternFill>
    </fill>
    <fill>
      <patternFill patternType="solid">
        <fgColor rgb="FF87B681"/>
      </patternFill>
    </fill>
    <fill>
      <patternFill patternType="solid">
        <fgColor rgb="FFE17777"/>
      </patternFill>
    </fill>
    <fill>
      <patternFill patternType="solid">
        <fgColor rgb="FFD54B4B"/>
      </patternFill>
    </fill>
    <fill>
      <patternFill patternType="solid">
        <fgColor rgb="FFC71919"/>
      </patternFill>
    </fill>
    <fill>
      <patternFill patternType="solid">
        <fgColor rgb="FFD03B3B"/>
      </patternFill>
    </fill>
    <fill>
      <patternFill patternType="solid">
        <fgColor rgb="FFF0B0B0"/>
      </patternFill>
    </fill>
    <fill>
      <patternFill patternType="solid">
        <fgColor rgb="FFF6C3C3"/>
      </patternFill>
    </fill>
    <fill>
      <patternFill patternType="solid">
        <fgColor rgb="FFEDA4A4"/>
      </patternFill>
    </fill>
    <fill>
      <patternFill patternType="solid">
        <fgColor rgb="FFDC6565"/>
      </patternFill>
    </fill>
    <fill>
      <patternFill patternType="solid">
        <fgColor rgb="FFD54B4B"/>
      </patternFill>
    </fill>
    <fill>
      <patternFill patternType="solid">
        <fgColor rgb="FFF1B2B2"/>
      </patternFill>
    </fill>
    <fill>
      <patternFill patternType="solid">
        <fgColor rgb="FFEA9797"/>
      </patternFill>
    </fill>
    <fill>
      <patternFill patternType="solid">
        <fgColor rgb="FF4B9048"/>
      </patternFill>
    </fill>
    <fill>
      <patternFill patternType="solid">
        <fgColor rgb="FFC00000"/>
      </patternFill>
    </fill>
    <fill>
      <patternFill patternType="solid">
        <fgColor rgb="FFDC6565"/>
      </patternFill>
    </fill>
    <fill>
      <patternFill patternType="solid">
        <fgColor rgb="FF136D12"/>
      </patternFill>
    </fill>
    <fill>
      <patternFill patternType="solid">
        <fgColor rgb="FFD44848"/>
      </patternFill>
    </fill>
    <fill>
      <patternFill patternType="solid">
        <fgColor rgb="FF40893D"/>
      </patternFill>
    </fill>
    <fill>
      <patternFill patternType="solid">
        <fgColor rgb="FF006100"/>
      </patternFill>
    </fill>
    <fill>
      <patternFill patternType="solid">
        <fgColor rgb="FFE58585"/>
      </patternFill>
    </fill>
    <fill>
      <patternFill patternType="solid">
        <fgColor rgb="FF3B8638"/>
      </patternFill>
    </fill>
    <fill>
      <patternFill patternType="solid">
        <fgColor rgb="FFE48383"/>
      </patternFill>
    </fill>
    <fill>
      <patternFill patternType="solid">
        <fgColor rgb="FFC81B1B"/>
      </patternFill>
    </fill>
    <fill>
      <patternFill patternType="solid">
        <fgColor rgb="FFD65252"/>
      </patternFill>
    </fill>
    <fill>
      <patternFill patternType="solid">
        <fgColor rgb="FFD24141"/>
      </patternFill>
    </fill>
    <fill>
      <patternFill patternType="solid">
        <fgColor rgb="FF51944E"/>
      </patternFill>
    </fill>
    <fill>
      <patternFill patternType="solid">
        <fgColor rgb="FFA2C89C"/>
      </patternFill>
    </fill>
    <fill>
      <patternFill patternType="solid">
        <fgColor rgb="FFC10505"/>
      </patternFill>
    </fill>
    <fill>
      <patternFill patternType="solid">
        <fgColor rgb="FFF6C3C3"/>
      </patternFill>
    </fill>
    <fill>
      <patternFill patternType="solid">
        <fgColor rgb="FFE37E7E"/>
      </patternFill>
    </fill>
    <fill>
      <patternFill patternType="solid">
        <fgColor rgb="FFE17777"/>
      </patternFill>
    </fill>
    <fill>
      <patternFill patternType="solid">
        <fgColor rgb="FFDC6565"/>
      </patternFill>
    </fill>
    <fill>
      <patternFill patternType="solid">
        <fgColor rgb="FFDC6565"/>
      </patternFill>
    </fill>
    <fill>
      <patternFill patternType="solid">
        <fgColor rgb="FFC51313"/>
      </patternFill>
    </fill>
    <fill>
      <patternFill patternType="solid">
        <fgColor rgb="FFF2B6B6"/>
      </patternFill>
    </fill>
    <fill>
      <patternFill patternType="solid">
        <fgColor rgb="FFCE3131"/>
      </patternFill>
    </fill>
    <fill>
      <patternFill patternType="solid">
        <fgColor rgb="FF80B27B"/>
      </patternFill>
    </fill>
    <fill>
      <patternFill patternType="solid">
        <fgColor rgb="FFDA6060"/>
      </patternFill>
    </fill>
    <fill>
      <patternFill patternType="solid">
        <fgColor rgb="FFC0DBB8"/>
      </patternFill>
    </fill>
    <fill>
      <patternFill patternType="solid">
        <fgColor rgb="FFC61818"/>
      </patternFill>
    </fill>
    <fill>
      <patternFill patternType="solid">
        <fgColor rgb="FF9FC699"/>
      </patternFill>
    </fill>
    <fill>
      <patternFill patternType="solid">
        <fgColor rgb="FFCE3131"/>
      </patternFill>
    </fill>
    <fill>
      <patternFill patternType="solid">
        <fgColor rgb="FF6FA76B"/>
      </patternFill>
    </fill>
    <fill>
      <patternFill patternType="solid">
        <fgColor rgb="FF75AB70"/>
      </patternFill>
    </fill>
    <fill>
      <patternFill patternType="solid">
        <fgColor rgb="FF006100"/>
      </patternFill>
    </fill>
    <fill>
      <patternFill patternType="solid">
        <fgColor rgb="FFAECFA7"/>
      </patternFill>
    </fill>
    <fill>
      <patternFill patternType="solid">
        <fgColor rgb="FF75AB71"/>
      </patternFill>
    </fill>
    <fill>
      <patternFill patternType="solid">
        <fgColor rgb="FF368334"/>
      </patternFill>
    </fill>
    <fill>
      <patternFill patternType="solid">
        <fgColor rgb="FF99C293"/>
      </patternFill>
    </fill>
    <fill>
      <patternFill patternType="solid">
        <fgColor rgb="FFF6C3C3"/>
      </patternFill>
    </fill>
    <fill>
      <patternFill patternType="solid">
        <fgColor rgb="FFC00000"/>
      </patternFill>
    </fill>
    <fill>
      <patternFill patternType="solid">
        <fgColor rgb="FFCD2E2E"/>
      </patternFill>
    </fill>
    <fill>
      <patternFill patternType="solid">
        <fgColor rgb="FFF6C3C3"/>
      </patternFill>
    </fill>
    <fill>
      <patternFill patternType="solid">
        <fgColor rgb="FFC00000"/>
      </patternFill>
    </fill>
    <fill>
      <patternFill patternType="solid">
        <fgColor rgb="FF51944E"/>
      </patternFill>
    </fill>
    <fill>
      <patternFill patternType="solid">
        <fgColor rgb="FF368334"/>
      </patternFill>
    </fill>
    <fill>
      <patternFill patternType="solid">
        <fgColor rgb="FFF0B0B0"/>
      </patternFill>
    </fill>
    <fill>
      <patternFill patternType="solid">
        <fgColor rgb="FFEDA4A4"/>
      </patternFill>
    </fill>
    <fill>
      <patternFill patternType="solid">
        <fgColor rgb="FFD54B4B"/>
      </patternFill>
    </fill>
    <fill>
      <patternFill patternType="solid">
        <fgColor rgb="FFB0D0A9"/>
      </patternFill>
    </fill>
    <fill>
      <patternFill patternType="solid">
        <fgColor rgb="FFD54B4B"/>
      </patternFill>
    </fill>
    <fill>
      <patternFill patternType="solid">
        <fgColor rgb="FFC00000"/>
      </patternFill>
    </fill>
    <fill>
      <patternFill patternType="solid">
        <fgColor rgb="FFCF3737"/>
      </patternFill>
    </fill>
    <fill>
      <patternFill patternType="solid">
        <fgColor rgb="FF197118"/>
      </patternFill>
    </fill>
    <fill>
      <patternFill patternType="solid">
        <fgColor rgb="FF4B9048"/>
      </patternFill>
    </fill>
    <fill>
      <patternFill patternType="solid">
        <fgColor rgb="FFD03B3B"/>
      </patternFill>
    </fill>
    <fill>
      <patternFill patternType="solid">
        <fgColor rgb="FF7CB077"/>
      </patternFill>
    </fill>
    <fill>
      <patternFill patternType="solid">
        <fgColor rgb="FFB0D0A9"/>
      </patternFill>
    </fill>
    <fill>
      <patternFill patternType="solid">
        <fgColor rgb="FF328030"/>
      </patternFill>
    </fill>
    <fill>
      <patternFill patternType="solid">
        <fgColor rgb="FFC81B1B"/>
      </patternFill>
    </fill>
    <fill>
      <patternFill patternType="solid">
        <fgColor rgb="FFE48383"/>
      </patternFill>
    </fill>
    <fill>
      <patternFill patternType="solid">
        <fgColor rgb="FFC71919"/>
      </patternFill>
    </fill>
    <fill>
      <patternFill patternType="solid">
        <fgColor rgb="FFE99595"/>
      </patternFill>
    </fill>
    <fill>
      <patternFill patternType="solid">
        <fgColor rgb="FFC00000"/>
      </patternFill>
    </fill>
    <fill>
      <patternFill patternType="solid">
        <fgColor rgb="FFF1B2B2"/>
      </patternFill>
    </fill>
    <fill>
      <patternFill patternType="solid">
        <fgColor rgb="FF378435"/>
      </patternFill>
    </fill>
    <fill>
      <patternFill patternType="solid">
        <fgColor rgb="FFC51313"/>
      </patternFill>
    </fill>
    <fill>
      <patternFill patternType="solid">
        <fgColor rgb="FFC30A0A"/>
      </patternFill>
    </fill>
    <fill>
      <patternFill patternType="solid">
        <fgColor rgb="FFB3D3AC"/>
      </patternFill>
    </fill>
    <fill>
      <patternFill patternType="solid">
        <fgColor rgb="FFEA9A9A"/>
      </patternFill>
    </fill>
    <fill>
      <patternFill patternType="solid">
        <fgColor rgb="FFC81F1F"/>
      </patternFill>
    </fill>
    <fill>
      <patternFill patternType="solid">
        <fgColor rgb="FF97C191"/>
      </patternFill>
    </fill>
    <fill>
      <patternFill patternType="solid">
        <fgColor rgb="FF277A25"/>
      </patternFill>
    </fill>
    <fill>
      <patternFill patternType="solid">
        <fgColor rgb="FF88B783"/>
      </patternFill>
    </fill>
    <fill>
      <patternFill patternType="solid">
        <fgColor rgb="FFD34545"/>
      </patternFill>
    </fill>
    <fill>
      <patternFill patternType="solid">
        <fgColor rgb="FFE89393"/>
      </patternFill>
    </fill>
    <fill>
      <patternFill patternType="solid">
        <fgColor rgb="FFC20606"/>
      </patternFill>
    </fill>
    <fill>
      <patternFill patternType="solid">
        <fgColor rgb="FFD24141"/>
      </patternFill>
    </fill>
    <fill>
      <patternFill patternType="solid">
        <fgColor rgb="FFCC2B2B"/>
      </patternFill>
    </fill>
    <fill>
      <patternFill patternType="solid">
        <fgColor rgb="FFEC9E9E"/>
      </patternFill>
    </fill>
    <fill>
      <patternFill patternType="solid">
        <fgColor rgb="FFC00000"/>
      </patternFill>
    </fill>
    <fill>
      <patternFill patternType="solid">
        <fgColor rgb="FFC92020"/>
      </patternFill>
    </fill>
    <fill>
      <patternFill patternType="solid">
        <fgColor rgb="FFC71919"/>
      </patternFill>
    </fill>
    <fill>
      <patternFill patternType="solid">
        <fgColor rgb="FFC0DBB8"/>
      </patternFill>
    </fill>
    <fill>
      <patternFill patternType="solid">
        <fgColor rgb="FFE89191"/>
      </patternFill>
    </fill>
    <fill>
      <patternFill patternType="solid">
        <fgColor rgb="FF1B721A"/>
      </patternFill>
    </fill>
    <fill>
      <patternFill patternType="solid">
        <fgColor rgb="FF418A3E"/>
      </patternFill>
    </fill>
    <fill>
      <patternFill patternType="solid">
        <fgColor rgb="FFD24141"/>
      </patternFill>
    </fill>
    <fill>
      <patternFill patternType="solid">
        <fgColor rgb="FF81B37C"/>
      </patternFill>
    </fill>
    <fill>
      <patternFill patternType="solid">
        <fgColor rgb="FF51944E"/>
      </patternFill>
    </fill>
    <fill>
      <patternFill patternType="solid">
        <fgColor rgb="FF87B681"/>
      </patternFill>
    </fill>
    <fill>
      <patternFill patternType="solid">
        <fgColor rgb="FFE17777"/>
      </patternFill>
    </fill>
    <fill>
      <patternFill patternType="solid">
        <fgColor rgb="FFD54B4B"/>
      </patternFill>
    </fill>
    <fill>
      <patternFill patternType="solid">
        <fgColor rgb="FFC71919"/>
      </patternFill>
    </fill>
    <fill>
      <patternFill patternType="solid">
        <fgColor rgb="FFD03B3B"/>
      </patternFill>
    </fill>
    <fill>
      <patternFill patternType="solid">
        <fgColor rgb="FFF0B0B0"/>
      </patternFill>
    </fill>
    <fill>
      <patternFill patternType="solid">
        <fgColor rgb="FFF6C3C3"/>
      </patternFill>
    </fill>
    <fill>
      <patternFill patternType="solid">
        <fgColor rgb="FFEDA4A4"/>
      </patternFill>
    </fill>
    <fill>
      <patternFill patternType="solid">
        <fgColor rgb="FFDC6565"/>
      </patternFill>
    </fill>
    <fill>
      <patternFill patternType="solid">
        <fgColor rgb="FFD54B4B"/>
      </patternFill>
    </fill>
    <fill>
      <patternFill patternType="solid">
        <fgColor rgb="FFF1B2B2"/>
      </patternFill>
    </fill>
    <fill>
      <patternFill patternType="solid">
        <fgColor rgb="FFEA9797"/>
      </patternFill>
    </fill>
    <fill>
      <patternFill patternType="solid">
        <fgColor rgb="FF4B9048"/>
      </patternFill>
    </fill>
    <fill>
      <patternFill patternType="solid">
        <fgColor rgb="FFC00000"/>
      </patternFill>
    </fill>
    <fill>
      <patternFill patternType="solid">
        <fgColor rgb="FFDC6565"/>
      </patternFill>
    </fill>
    <fill>
      <patternFill patternType="solid">
        <fgColor rgb="FF136D12"/>
      </patternFill>
    </fill>
    <fill>
      <patternFill patternType="solid">
        <fgColor rgb="FFD34444"/>
      </patternFill>
    </fill>
    <fill>
      <patternFill patternType="solid">
        <fgColor rgb="FF40893D"/>
      </patternFill>
    </fill>
    <fill>
      <patternFill patternType="solid">
        <fgColor rgb="FF006100"/>
      </patternFill>
    </fill>
    <fill>
      <patternFill patternType="solid">
        <fgColor rgb="FFE58585"/>
      </patternFill>
    </fill>
    <fill>
      <patternFill patternType="solid">
        <fgColor rgb="FF3B8638"/>
      </patternFill>
    </fill>
    <fill>
      <patternFill patternType="solid">
        <fgColor rgb="FFE48383"/>
      </patternFill>
    </fill>
    <fill>
      <patternFill patternType="solid">
        <fgColor rgb="FFC81B1B"/>
      </patternFill>
    </fill>
    <fill>
      <patternFill patternType="solid">
        <fgColor rgb="FFD65252"/>
      </patternFill>
    </fill>
    <fill>
      <patternFill patternType="solid">
        <fgColor rgb="FFD24141"/>
      </patternFill>
    </fill>
    <fill>
      <patternFill patternType="solid">
        <fgColor rgb="FF51944E"/>
      </patternFill>
    </fill>
    <fill>
      <patternFill patternType="solid">
        <fgColor rgb="FFA2C89C"/>
      </patternFill>
    </fill>
    <fill>
      <patternFill patternType="solid">
        <fgColor rgb="FFC10505"/>
      </patternFill>
    </fill>
    <fill>
      <patternFill patternType="solid">
        <fgColor rgb="FFF6C3C3"/>
      </patternFill>
    </fill>
    <fill>
      <patternFill patternType="solid">
        <fgColor rgb="FFE37E7E"/>
      </patternFill>
    </fill>
    <fill>
      <patternFill patternType="solid">
        <fgColor rgb="FFE17777"/>
      </patternFill>
    </fill>
    <fill>
      <patternFill patternType="solid">
        <fgColor rgb="FFDC6565"/>
      </patternFill>
    </fill>
    <fill>
      <patternFill patternType="solid">
        <fgColor rgb="FFDC6565"/>
      </patternFill>
    </fill>
    <fill>
      <patternFill patternType="solid">
        <fgColor rgb="FFC51313"/>
      </patternFill>
    </fill>
    <fill>
      <patternFill patternType="solid">
        <fgColor rgb="FFF2B6B6"/>
      </patternFill>
    </fill>
    <fill>
      <patternFill patternType="solid">
        <fgColor rgb="FFCE3131"/>
      </patternFill>
    </fill>
    <fill>
      <patternFill patternType="solid">
        <fgColor rgb="FF80B27B"/>
      </patternFill>
    </fill>
    <fill>
      <patternFill patternType="solid">
        <fgColor rgb="FFDA6060"/>
      </patternFill>
    </fill>
    <fill>
      <patternFill patternType="solid">
        <fgColor rgb="FFC0DBB8"/>
      </patternFill>
    </fill>
    <fill>
      <patternFill patternType="solid">
        <fgColor rgb="FFC61818"/>
      </patternFill>
    </fill>
    <fill>
      <patternFill patternType="solid">
        <fgColor rgb="FF9FC699"/>
      </patternFill>
    </fill>
    <fill>
      <patternFill patternType="solid">
        <fgColor rgb="FFCE3131"/>
      </patternFill>
    </fill>
    <fill>
      <patternFill patternType="solid">
        <fgColor rgb="FF6FA76B"/>
      </patternFill>
    </fill>
    <fill>
      <patternFill patternType="solid">
        <fgColor rgb="FF75AB70"/>
      </patternFill>
    </fill>
    <fill>
      <patternFill patternType="solid">
        <fgColor rgb="FF006100"/>
      </patternFill>
    </fill>
    <fill>
      <patternFill patternType="solid">
        <fgColor rgb="FFAECFA7"/>
      </patternFill>
    </fill>
    <fill>
      <patternFill patternType="solid">
        <fgColor rgb="FF75AB71"/>
      </patternFill>
    </fill>
    <fill>
      <patternFill patternType="solid">
        <fgColor rgb="FF368334"/>
      </patternFill>
    </fill>
    <fill>
      <patternFill patternType="solid">
        <fgColor rgb="FF64A060"/>
      </patternFill>
    </fill>
    <fill>
      <patternFill patternType="solid">
        <fgColor rgb="FFEFACAC"/>
      </patternFill>
    </fill>
    <fill>
      <patternFill patternType="solid">
        <fgColor rgb="FFC20909"/>
      </patternFill>
    </fill>
    <fill>
      <patternFill patternType="solid">
        <fgColor rgb="FFCD2E2E"/>
      </patternFill>
    </fill>
    <fill>
      <patternFill patternType="solid">
        <fgColor rgb="FFF6C3C3"/>
      </patternFill>
    </fill>
    <fill>
      <patternFill patternType="solid">
        <fgColor rgb="FFC00000"/>
      </patternFill>
    </fill>
    <fill>
      <patternFill patternType="solid">
        <fgColor rgb="FF50934C"/>
      </patternFill>
    </fill>
    <fill>
      <patternFill patternType="solid">
        <fgColor rgb="FF68A263"/>
      </patternFill>
    </fill>
    <fill>
      <patternFill patternType="solid">
        <fgColor rgb="FFF0B0B0"/>
      </patternFill>
    </fill>
    <fill>
      <patternFill patternType="solid">
        <fgColor rgb="FFEDA4A4"/>
      </patternFill>
    </fill>
    <fill>
      <patternFill patternType="solid">
        <fgColor rgb="FFD54B4B"/>
      </patternFill>
    </fill>
    <fill>
      <patternFill patternType="solid">
        <fgColor rgb="FFD54B4B"/>
      </patternFill>
    </fill>
    <fill>
      <patternFill patternType="solid">
        <fgColor rgb="FFC00000"/>
      </patternFill>
    </fill>
    <fill>
      <patternFill patternType="solid">
        <fgColor rgb="FFCF3737"/>
      </patternFill>
    </fill>
    <fill>
      <patternFill patternType="solid">
        <fgColor rgb="FF197118"/>
      </patternFill>
    </fill>
    <fill>
      <patternFill patternType="solid">
        <fgColor rgb="FF4B9048"/>
      </patternFill>
    </fill>
    <fill>
      <patternFill patternType="solid">
        <fgColor rgb="FFD03B3B"/>
      </patternFill>
    </fill>
    <fill>
      <patternFill patternType="solid">
        <fgColor rgb="FF7CB077"/>
      </patternFill>
    </fill>
    <fill>
      <patternFill patternType="solid">
        <fgColor rgb="FFB0D0A9"/>
      </patternFill>
    </fill>
    <fill>
      <patternFill patternType="solid">
        <fgColor rgb="FF328030"/>
      </patternFill>
    </fill>
    <fill>
      <patternFill patternType="solid">
        <fgColor rgb="FFC81B1B"/>
      </patternFill>
    </fill>
    <fill>
      <patternFill patternType="solid">
        <fgColor rgb="FFE48383"/>
      </patternFill>
    </fill>
    <fill>
      <patternFill patternType="solid">
        <fgColor rgb="FFC71919"/>
      </patternFill>
    </fill>
    <fill>
      <patternFill patternType="solid">
        <fgColor rgb="FFE99595"/>
      </patternFill>
    </fill>
    <fill>
      <patternFill patternType="solid">
        <fgColor rgb="FFC00000"/>
      </patternFill>
    </fill>
    <fill>
      <patternFill patternType="solid">
        <fgColor rgb="FFF1B2B2"/>
      </patternFill>
    </fill>
    <fill>
      <patternFill patternType="solid">
        <fgColor rgb="FF378435"/>
      </patternFill>
    </fill>
    <fill>
      <patternFill patternType="solid">
        <fgColor rgb="FFC51313"/>
      </patternFill>
    </fill>
    <fill>
      <patternFill patternType="solid">
        <fgColor rgb="FFC30A0A"/>
      </patternFill>
    </fill>
    <fill>
      <patternFill patternType="solid">
        <fgColor rgb="FFB3D3AC"/>
      </patternFill>
    </fill>
    <fill>
      <patternFill patternType="solid">
        <fgColor rgb="FFEA9A9A"/>
      </patternFill>
    </fill>
    <fill>
      <patternFill patternType="solid">
        <fgColor rgb="FFC81F1F"/>
      </patternFill>
    </fill>
    <fill>
      <patternFill patternType="solid">
        <fgColor rgb="FF97C191"/>
      </patternFill>
    </fill>
    <fill>
      <patternFill patternType="solid">
        <fgColor rgb="FF277A25"/>
      </patternFill>
    </fill>
    <fill>
      <patternFill patternType="solid">
        <fgColor rgb="FF88B783"/>
      </patternFill>
    </fill>
    <fill>
      <patternFill patternType="solid">
        <fgColor rgb="FFD34545"/>
      </patternFill>
    </fill>
    <fill>
      <patternFill patternType="solid">
        <fgColor rgb="FFE89393"/>
      </patternFill>
    </fill>
    <fill>
      <patternFill patternType="solid">
        <fgColor rgb="FFC20606"/>
      </patternFill>
    </fill>
    <fill>
      <patternFill patternType="solid">
        <fgColor rgb="FFD24141"/>
      </patternFill>
    </fill>
    <fill>
      <patternFill patternType="solid">
        <fgColor rgb="FFCC2B2B"/>
      </patternFill>
    </fill>
    <fill>
      <patternFill patternType="solid">
        <fgColor rgb="FFEC9E9E"/>
      </patternFill>
    </fill>
    <fill>
      <patternFill patternType="solid">
        <fgColor rgb="FFC00000"/>
      </patternFill>
    </fill>
    <fill>
      <patternFill patternType="solid">
        <fgColor rgb="FFC92020"/>
      </patternFill>
    </fill>
    <fill>
      <patternFill patternType="solid">
        <fgColor rgb="FFC71919"/>
      </patternFill>
    </fill>
    <fill>
      <patternFill patternType="solid">
        <fgColor rgb="FFC00000"/>
      </patternFill>
    </fill>
    <fill>
      <patternFill patternType="solid">
        <fgColor rgb="FFF3F4F6"/>
      </patternFill>
    </fill>
    <fill>
      <patternFill patternType="solid">
        <fgColor rgb="FFFFF2CC"/>
      </patternFill>
    </fill>
    <fill>
      <patternFill patternType="solid">
        <fgColor rgb="FFE2F0D9"/>
      </patternFill>
    </fill>
    <fill>
      <patternFill patternType="solid">
        <fgColor rgb="FFDBEAFE"/>
      </patternFill>
    </fill>
    <fill>
      <patternFill patternType="solid">
        <fgColor rgb="FFFCE4D6"/>
      </patternFill>
    </fill>
    <fill>
      <patternFill patternType="solid">
        <fgColor rgb="FFFFFFFF"/>
      </patternFill>
    </fill>
    <fill>
      <patternFill patternType="solid">
        <fgColor rgb="FFECFDF5"/>
      </patternFill>
    </fill>
    <fill>
      <patternFill patternType="solid">
        <fgColor rgb="FFF8CBAD"/>
      </patternFill>
    </fill>
    <fill>
      <patternFill patternType="solid">
        <fgColor rgb="FFFEE2E2"/>
      </patternFill>
    </fill>
    <fill>
      <patternFill patternType="solid">
        <fgColor rgb="FFC0DBB8"/>
        <bgColor indexed="64"/>
      </patternFill>
    </fill>
    <fill>
      <patternFill patternType="solid">
        <fgColor rgb="FFE89191"/>
        <bgColor indexed="64"/>
      </patternFill>
    </fill>
    <fill>
      <patternFill patternType="solid">
        <fgColor rgb="FF1B721A"/>
        <bgColor indexed="64"/>
      </patternFill>
    </fill>
    <fill>
      <patternFill patternType="solid">
        <fgColor rgb="FF418A3E"/>
        <bgColor indexed="64"/>
      </patternFill>
    </fill>
    <fill>
      <patternFill patternType="solid">
        <fgColor rgb="FFD24141"/>
        <bgColor indexed="64"/>
      </patternFill>
    </fill>
    <fill>
      <patternFill patternType="solid">
        <fgColor rgb="FF81B37C"/>
        <bgColor indexed="64"/>
      </patternFill>
    </fill>
    <fill>
      <patternFill patternType="solid">
        <fgColor rgb="FF51944E"/>
        <bgColor indexed="64"/>
      </patternFill>
    </fill>
    <fill>
      <patternFill patternType="solid">
        <fgColor rgb="FF87B681"/>
        <bgColor indexed="64"/>
      </patternFill>
    </fill>
    <fill>
      <patternFill patternType="solid">
        <fgColor rgb="FFE17777"/>
        <bgColor indexed="64"/>
      </patternFill>
    </fill>
    <fill>
      <patternFill patternType="solid">
        <fgColor rgb="FFD54B4B"/>
        <bgColor indexed="64"/>
      </patternFill>
    </fill>
    <fill>
      <patternFill patternType="solid">
        <fgColor rgb="FFC71919"/>
        <bgColor indexed="64"/>
      </patternFill>
    </fill>
    <fill>
      <patternFill patternType="solid">
        <fgColor rgb="FFD03B3B"/>
        <bgColor indexed="64"/>
      </patternFill>
    </fill>
    <fill>
      <patternFill patternType="solid">
        <fgColor rgb="FFF0B0B0"/>
        <bgColor indexed="64"/>
      </patternFill>
    </fill>
    <fill>
      <patternFill patternType="solid">
        <fgColor rgb="FFF6C3C3"/>
        <bgColor indexed="64"/>
      </patternFill>
    </fill>
    <fill>
      <patternFill patternType="solid">
        <fgColor rgb="FFEDA4A4"/>
        <bgColor indexed="64"/>
      </patternFill>
    </fill>
    <fill>
      <patternFill patternType="solid">
        <fgColor rgb="FFDC6565"/>
        <bgColor indexed="64"/>
      </patternFill>
    </fill>
    <fill>
      <patternFill patternType="solid">
        <fgColor rgb="FFD54B4B"/>
        <bgColor indexed="64"/>
      </patternFill>
    </fill>
    <fill>
      <patternFill patternType="solid">
        <fgColor rgb="FFF1B2B2"/>
        <bgColor indexed="64"/>
      </patternFill>
    </fill>
    <fill>
      <patternFill patternType="solid">
        <fgColor rgb="FFEA9797"/>
        <bgColor indexed="64"/>
      </patternFill>
    </fill>
    <fill>
      <patternFill patternType="solid">
        <fgColor rgb="FF4B9048"/>
        <bgColor indexed="64"/>
      </patternFill>
    </fill>
    <fill>
      <patternFill patternType="solid">
        <fgColor rgb="FFC00000"/>
        <bgColor indexed="64"/>
      </patternFill>
    </fill>
    <fill>
      <patternFill patternType="solid">
        <fgColor rgb="FFDC6565"/>
        <bgColor indexed="64"/>
      </patternFill>
    </fill>
    <fill>
      <patternFill patternType="solid">
        <fgColor rgb="FF187017"/>
        <bgColor indexed="64"/>
      </patternFill>
    </fill>
    <fill>
      <patternFill patternType="solid">
        <fgColor rgb="FF267925"/>
        <bgColor indexed="64"/>
      </patternFill>
    </fill>
    <fill>
      <patternFill patternType="solid">
        <fgColor rgb="FF006100"/>
        <bgColor indexed="64"/>
      </patternFill>
    </fill>
    <fill>
      <patternFill patternType="solid">
        <fgColor rgb="FFF6C3C3"/>
        <bgColor indexed="64"/>
      </patternFill>
    </fill>
    <fill>
      <patternFill patternType="solid">
        <fgColor rgb="FFF6C3C3"/>
        <bgColor indexed="64"/>
      </patternFill>
    </fill>
    <fill>
      <patternFill patternType="solid">
        <fgColor rgb="FF3B8638"/>
        <bgColor indexed="64"/>
      </patternFill>
    </fill>
    <fill>
      <patternFill patternType="solid">
        <fgColor rgb="FFE48383"/>
        <bgColor indexed="64"/>
      </patternFill>
    </fill>
    <fill>
      <patternFill patternType="solid">
        <fgColor rgb="FFC81B1B"/>
        <bgColor indexed="64"/>
      </patternFill>
    </fill>
    <fill>
      <patternFill patternType="solid">
        <fgColor rgb="FFD65252"/>
        <bgColor indexed="64"/>
      </patternFill>
    </fill>
    <fill>
      <patternFill patternType="solid">
        <fgColor rgb="FFD24141"/>
        <bgColor indexed="64"/>
      </patternFill>
    </fill>
    <fill>
      <patternFill patternType="solid">
        <fgColor rgb="FF51944E"/>
        <bgColor indexed="64"/>
      </patternFill>
    </fill>
    <fill>
      <patternFill patternType="solid">
        <fgColor rgb="FFA2C89C"/>
        <bgColor indexed="64"/>
      </patternFill>
    </fill>
    <fill>
      <patternFill patternType="solid">
        <fgColor rgb="FFC10505"/>
        <bgColor indexed="64"/>
      </patternFill>
    </fill>
    <fill>
      <patternFill patternType="solid">
        <fgColor rgb="FFF6C3C3"/>
        <bgColor indexed="64"/>
      </patternFill>
    </fill>
    <fill>
      <patternFill patternType="solid">
        <fgColor rgb="FFF1B2B2"/>
        <bgColor indexed="64"/>
      </patternFill>
    </fill>
    <fill>
      <patternFill patternType="solid">
        <fgColor rgb="FFC00000"/>
        <bgColor indexed="64"/>
      </patternFill>
    </fill>
    <fill>
      <patternFill patternType="solid">
        <fgColor rgb="FF197118"/>
        <bgColor indexed="64"/>
      </patternFill>
    </fill>
    <fill>
      <patternFill patternType="solid">
        <fgColor rgb="FF3B8638"/>
        <bgColor indexed="64"/>
      </patternFill>
    </fill>
    <fill>
      <patternFill patternType="solid">
        <fgColor rgb="FFDF7272"/>
        <bgColor indexed="64"/>
      </patternFill>
    </fill>
    <fill>
      <patternFill patternType="solid">
        <fgColor rgb="FFC61717"/>
        <bgColor indexed="64"/>
      </patternFill>
    </fill>
    <fill>
      <patternFill patternType="solid">
        <fgColor rgb="FFF6C3C3"/>
        <bgColor indexed="64"/>
      </patternFill>
    </fill>
    <fill>
      <patternFill patternType="solid">
        <fgColor rgb="FFC0DBB8"/>
        <bgColor indexed="64"/>
      </patternFill>
    </fill>
    <fill>
      <patternFill patternType="solid">
        <fgColor rgb="FFCB2828"/>
        <bgColor indexed="64"/>
      </patternFill>
    </fill>
    <fill>
      <patternFill patternType="solid">
        <fgColor rgb="FF90BC8B"/>
        <bgColor indexed="64"/>
      </patternFill>
    </fill>
    <fill>
      <patternFill patternType="solid">
        <fgColor rgb="FFECA2A2"/>
        <bgColor indexed="64"/>
      </patternFill>
    </fill>
    <fill>
      <patternFill patternType="solid">
        <fgColor rgb="FFC0DBB8"/>
        <bgColor indexed="64"/>
      </patternFill>
    </fill>
    <fill>
      <patternFill patternType="solid">
        <fgColor rgb="FFCA2424"/>
        <bgColor indexed="64"/>
      </patternFill>
    </fill>
    <fill>
      <patternFill patternType="solid">
        <fgColor rgb="FFCA2424"/>
        <bgColor indexed="64"/>
      </patternFill>
    </fill>
    <fill>
      <patternFill patternType="solid">
        <fgColor rgb="FFAACDA3"/>
        <bgColor indexed="64"/>
      </patternFill>
    </fill>
    <fill>
      <patternFill patternType="solid">
        <fgColor rgb="FF70A86B"/>
        <bgColor indexed="64"/>
      </patternFill>
    </fill>
    <fill>
      <patternFill patternType="solid">
        <fgColor rgb="FF006100"/>
        <bgColor indexed="64"/>
      </patternFill>
    </fill>
    <fill>
      <patternFill patternType="solid">
        <fgColor rgb="FFAECFA7"/>
        <bgColor indexed="64"/>
      </patternFill>
    </fill>
    <fill>
      <patternFill patternType="solid">
        <fgColor rgb="FF75AB71"/>
        <bgColor indexed="64"/>
      </patternFill>
    </fill>
    <fill>
      <patternFill patternType="solid">
        <fgColor rgb="FF368334"/>
        <bgColor indexed="64"/>
      </patternFill>
    </fill>
    <fill>
      <patternFill patternType="solid">
        <fgColor rgb="FF8BB985"/>
        <bgColor indexed="64"/>
      </patternFill>
    </fill>
    <fill>
      <patternFill patternType="solid">
        <fgColor rgb="FFC00000"/>
        <bgColor indexed="64"/>
      </patternFill>
    </fill>
    <fill>
      <patternFill patternType="solid">
        <fgColor rgb="FFCB2828"/>
        <bgColor indexed="64"/>
      </patternFill>
    </fill>
    <fill>
      <patternFill patternType="solid">
        <fgColor rgb="FFC20808"/>
        <bgColor indexed="64"/>
      </patternFill>
    </fill>
    <fill>
      <patternFill patternType="solid">
        <fgColor rgb="FF4C9149"/>
        <bgColor indexed="64"/>
      </patternFill>
    </fill>
    <fill>
      <patternFill patternType="solid">
        <fgColor rgb="FF75AB70"/>
        <bgColor indexed="64"/>
      </patternFill>
    </fill>
    <fill>
      <patternFill patternType="solid">
        <fgColor rgb="FFD54B4B"/>
        <bgColor indexed="64"/>
      </patternFill>
    </fill>
    <fill>
      <patternFill patternType="solid">
        <fgColor rgb="FFB0D0A9"/>
        <bgColor indexed="64"/>
      </patternFill>
    </fill>
    <fill>
      <patternFill patternType="solid">
        <fgColor rgb="FFD54B4B"/>
        <bgColor indexed="64"/>
      </patternFill>
    </fill>
    <fill>
      <patternFill patternType="solid">
        <fgColor rgb="FFC00000"/>
        <bgColor indexed="64"/>
      </patternFill>
    </fill>
    <fill>
      <patternFill patternType="solid">
        <fgColor rgb="FFC0DBB8"/>
        <bgColor indexed="64"/>
      </patternFill>
    </fill>
    <fill>
      <patternFill patternType="solid">
        <fgColor rgb="FF197118"/>
        <bgColor indexed="64"/>
      </patternFill>
    </fill>
    <fill>
      <patternFill patternType="solid">
        <fgColor rgb="FF51944E"/>
        <bgColor indexed="64"/>
      </patternFill>
    </fill>
    <fill>
      <patternFill patternType="solid">
        <fgColor rgb="FFC00000"/>
        <bgColor indexed="64"/>
      </patternFill>
    </fill>
    <fill>
      <patternFill patternType="solid">
        <fgColor rgb="FF4B9048"/>
        <bgColor indexed="64"/>
      </patternFill>
    </fill>
    <fill>
      <patternFill patternType="solid">
        <fgColor rgb="FFD03B3B"/>
        <bgColor indexed="64"/>
      </patternFill>
    </fill>
    <fill>
      <patternFill patternType="solid">
        <fgColor rgb="FF7CB077"/>
        <bgColor indexed="64"/>
      </patternFill>
    </fill>
    <fill>
      <patternFill patternType="solid">
        <fgColor rgb="FFB0D0A9"/>
        <bgColor indexed="64"/>
      </patternFill>
    </fill>
    <fill>
      <patternFill patternType="solid">
        <fgColor rgb="FF7CB077"/>
        <bgColor indexed="64"/>
      </patternFill>
    </fill>
    <fill>
      <patternFill patternType="solid">
        <fgColor rgb="FFC81B1B"/>
        <bgColor indexed="64"/>
      </patternFill>
    </fill>
    <fill>
      <patternFill patternType="solid">
        <fgColor rgb="FFE48383"/>
        <bgColor indexed="64"/>
      </patternFill>
    </fill>
    <fill>
      <patternFill patternType="solid">
        <fgColor rgb="FFC71919"/>
        <bgColor indexed="64"/>
      </patternFill>
    </fill>
    <fill>
      <patternFill patternType="solid">
        <fgColor rgb="FFE99595"/>
        <bgColor indexed="64"/>
      </patternFill>
    </fill>
    <fill>
      <patternFill patternType="solid">
        <fgColor rgb="FFC00000"/>
        <bgColor indexed="64"/>
      </patternFill>
    </fill>
    <fill>
      <patternFill patternType="solid">
        <fgColor rgb="FFF1B2B2"/>
        <bgColor indexed="64"/>
      </patternFill>
    </fill>
    <fill>
      <patternFill patternType="solid">
        <fgColor rgb="FF388436"/>
        <bgColor indexed="64"/>
      </patternFill>
    </fill>
    <fill>
      <patternFill patternType="solid">
        <fgColor rgb="FFCF3838"/>
        <bgColor indexed="64"/>
      </patternFill>
    </fill>
    <fill>
      <patternFill patternType="solid">
        <fgColor rgb="FFC81E1E"/>
        <bgColor indexed="64"/>
      </patternFill>
    </fill>
    <fill>
      <patternFill patternType="solid">
        <fgColor rgb="FFC61515"/>
        <bgColor indexed="64"/>
      </patternFill>
    </fill>
    <fill>
      <patternFill patternType="solid">
        <fgColor rgb="FFB4D3AD"/>
        <bgColor indexed="64"/>
      </patternFill>
    </fill>
    <fill>
      <patternFill patternType="solid">
        <fgColor rgb="FF4C9149"/>
        <bgColor indexed="64"/>
      </patternFill>
    </fill>
    <fill>
      <patternFill patternType="solid">
        <fgColor rgb="FFE99595"/>
        <bgColor indexed="64"/>
      </patternFill>
    </fill>
    <fill>
      <patternFill patternType="solid">
        <fgColor rgb="FFF6C3C3"/>
        <bgColor indexed="64"/>
      </patternFill>
    </fill>
    <fill>
      <patternFill patternType="solid">
        <fgColor rgb="FFC0DBB8"/>
        <bgColor indexed="64"/>
      </patternFill>
    </fill>
    <fill>
      <patternFill patternType="solid">
        <fgColor rgb="FFD13D3D"/>
        <bgColor indexed="64"/>
      </patternFill>
    </fill>
    <fill>
      <patternFill patternType="solid">
        <fgColor rgb="FFD13E3E"/>
        <bgColor indexed="64"/>
      </patternFill>
    </fill>
    <fill>
      <patternFill patternType="solid">
        <fgColor rgb="FFC20606"/>
        <bgColor indexed="64"/>
      </patternFill>
    </fill>
    <fill>
      <patternFill patternType="solid">
        <fgColor rgb="FFD24141"/>
        <bgColor indexed="64"/>
      </patternFill>
    </fill>
    <fill>
      <patternFill patternType="solid">
        <fgColor rgb="FFC20606"/>
        <bgColor indexed="64"/>
      </patternFill>
    </fill>
    <fill>
      <patternFill patternType="solid">
        <fgColor rgb="FFE58585"/>
        <bgColor indexed="64"/>
      </patternFill>
    </fill>
    <fill>
      <patternFill patternType="solid">
        <fgColor rgb="FFF5C2C2"/>
        <bgColor indexed="64"/>
      </patternFill>
    </fill>
    <fill>
      <patternFill patternType="solid">
        <fgColor rgb="FFC00000"/>
        <bgColor indexed="64"/>
      </patternFill>
    </fill>
    <fill>
      <patternFill patternType="solid">
        <fgColor rgb="FFC51313"/>
        <bgColor indexed="64"/>
      </patternFill>
    </fill>
    <fill>
      <patternFill patternType="solid">
        <fgColor rgb="FFCE3333"/>
        <bgColor indexed="64"/>
      </patternFill>
    </fill>
    <fill>
      <patternFill patternType="solid">
        <fgColor rgb="FFC71919"/>
        <bgColor indexed="64"/>
      </patternFill>
    </fill>
    <fill>
      <patternFill patternType="solid">
        <fgColor rgb="FFCF3737"/>
        <bgColor indexed="64"/>
      </patternFill>
    </fill>
    <fill>
      <patternFill patternType="solid">
        <fgColor rgb="FFC0DBB8"/>
        <bgColor indexed="64"/>
      </patternFill>
    </fill>
    <fill>
      <patternFill patternType="solid">
        <fgColor rgb="FFE89191"/>
        <bgColor indexed="64"/>
      </patternFill>
    </fill>
    <fill>
      <patternFill patternType="solid">
        <fgColor rgb="FF1B721A"/>
        <bgColor indexed="64"/>
      </patternFill>
    </fill>
    <fill>
      <patternFill patternType="solid">
        <fgColor rgb="FF418A3E"/>
        <bgColor indexed="64"/>
      </patternFill>
    </fill>
    <fill>
      <patternFill patternType="solid">
        <fgColor rgb="FFD24141"/>
        <bgColor indexed="64"/>
      </patternFill>
    </fill>
    <fill>
      <patternFill patternType="solid">
        <fgColor rgb="FF81B37C"/>
        <bgColor indexed="64"/>
      </patternFill>
    </fill>
    <fill>
      <patternFill patternType="solid">
        <fgColor rgb="FF51944E"/>
        <bgColor indexed="64"/>
      </patternFill>
    </fill>
    <fill>
      <patternFill patternType="solid">
        <fgColor rgb="FF87B681"/>
        <bgColor indexed="64"/>
      </patternFill>
    </fill>
    <fill>
      <patternFill patternType="solid">
        <fgColor rgb="FFE17777"/>
        <bgColor indexed="64"/>
      </patternFill>
    </fill>
    <fill>
      <patternFill patternType="solid">
        <fgColor rgb="FFD54B4B"/>
        <bgColor indexed="64"/>
      </patternFill>
    </fill>
    <fill>
      <patternFill patternType="solid">
        <fgColor rgb="FFC71919"/>
        <bgColor indexed="64"/>
      </patternFill>
    </fill>
    <fill>
      <patternFill patternType="solid">
        <fgColor rgb="FFD03B3B"/>
        <bgColor indexed="64"/>
      </patternFill>
    </fill>
    <fill>
      <patternFill patternType="solid">
        <fgColor rgb="FFF0B0B0"/>
        <bgColor indexed="64"/>
      </patternFill>
    </fill>
    <fill>
      <patternFill patternType="solid">
        <fgColor rgb="FFF6C3C3"/>
        <bgColor indexed="64"/>
      </patternFill>
    </fill>
    <fill>
      <patternFill patternType="solid">
        <fgColor rgb="FFEDA4A4"/>
        <bgColor indexed="64"/>
      </patternFill>
    </fill>
    <fill>
      <patternFill patternType="solid">
        <fgColor rgb="FFDC6565"/>
        <bgColor indexed="64"/>
      </patternFill>
    </fill>
    <fill>
      <patternFill patternType="solid">
        <fgColor rgb="FFD54B4B"/>
        <bgColor indexed="64"/>
      </patternFill>
    </fill>
    <fill>
      <patternFill patternType="solid">
        <fgColor rgb="FFF1B2B2"/>
        <bgColor indexed="64"/>
      </patternFill>
    </fill>
    <fill>
      <patternFill patternType="solid">
        <fgColor rgb="FFEA9797"/>
        <bgColor indexed="64"/>
      </patternFill>
    </fill>
    <fill>
      <patternFill patternType="solid">
        <fgColor rgb="FF4B9048"/>
        <bgColor indexed="64"/>
      </patternFill>
    </fill>
    <fill>
      <patternFill patternType="solid">
        <fgColor rgb="FFC00000"/>
        <bgColor indexed="64"/>
      </patternFill>
    </fill>
    <fill>
      <patternFill patternType="solid">
        <fgColor rgb="FFDC6565"/>
        <bgColor indexed="64"/>
      </patternFill>
    </fill>
    <fill>
      <patternFill patternType="solid">
        <fgColor rgb="FF187017"/>
        <bgColor indexed="64"/>
      </patternFill>
    </fill>
    <fill>
      <patternFill patternType="solid">
        <fgColor rgb="FF267925"/>
        <bgColor indexed="64"/>
      </patternFill>
    </fill>
    <fill>
      <patternFill patternType="solid">
        <fgColor rgb="FF006100"/>
        <bgColor indexed="64"/>
      </patternFill>
    </fill>
    <fill>
      <patternFill patternType="solid">
        <fgColor rgb="FFF6C3C3"/>
        <bgColor indexed="64"/>
      </patternFill>
    </fill>
    <fill>
      <patternFill patternType="solid">
        <fgColor rgb="FFF6C3C3"/>
        <bgColor indexed="64"/>
      </patternFill>
    </fill>
    <fill>
      <patternFill patternType="solid">
        <fgColor rgb="FF3B8638"/>
        <bgColor indexed="64"/>
      </patternFill>
    </fill>
    <fill>
      <patternFill patternType="solid">
        <fgColor rgb="FFE48383"/>
        <bgColor indexed="64"/>
      </patternFill>
    </fill>
    <fill>
      <patternFill patternType="solid">
        <fgColor rgb="FFC81B1B"/>
        <bgColor indexed="64"/>
      </patternFill>
    </fill>
    <fill>
      <patternFill patternType="solid">
        <fgColor rgb="FFD65252"/>
        <bgColor indexed="64"/>
      </patternFill>
    </fill>
    <fill>
      <patternFill patternType="solid">
        <fgColor rgb="FFD24141"/>
        <bgColor indexed="64"/>
      </patternFill>
    </fill>
    <fill>
      <patternFill patternType="solid">
        <fgColor rgb="FF51944E"/>
        <bgColor indexed="64"/>
      </patternFill>
    </fill>
    <fill>
      <patternFill patternType="solid">
        <fgColor rgb="FFA2C89C"/>
        <bgColor indexed="64"/>
      </patternFill>
    </fill>
    <fill>
      <patternFill patternType="solid">
        <fgColor rgb="FFC10505"/>
        <bgColor indexed="64"/>
      </patternFill>
    </fill>
    <fill>
      <patternFill patternType="solid">
        <fgColor rgb="FFF6C3C3"/>
        <bgColor indexed="64"/>
      </patternFill>
    </fill>
    <fill>
      <patternFill patternType="solid">
        <fgColor rgb="FFF1B2B2"/>
        <bgColor indexed="64"/>
      </patternFill>
    </fill>
    <fill>
      <patternFill patternType="solid">
        <fgColor rgb="FFC00000"/>
        <bgColor indexed="64"/>
      </patternFill>
    </fill>
    <fill>
      <patternFill patternType="solid">
        <fgColor rgb="FF197118"/>
        <bgColor indexed="64"/>
      </patternFill>
    </fill>
    <fill>
      <patternFill patternType="solid">
        <fgColor rgb="FF3B8638"/>
        <bgColor indexed="64"/>
      </patternFill>
    </fill>
    <fill>
      <patternFill patternType="solid">
        <fgColor rgb="FFDF7272"/>
        <bgColor indexed="64"/>
      </patternFill>
    </fill>
    <fill>
      <patternFill patternType="solid">
        <fgColor rgb="FFC61717"/>
        <bgColor indexed="64"/>
      </patternFill>
    </fill>
    <fill>
      <patternFill patternType="solid">
        <fgColor rgb="FFF6C3C3"/>
        <bgColor indexed="64"/>
      </patternFill>
    </fill>
    <fill>
      <patternFill patternType="solid">
        <fgColor rgb="FFC0DBB8"/>
        <bgColor indexed="64"/>
      </patternFill>
    </fill>
    <fill>
      <patternFill patternType="solid">
        <fgColor rgb="FFCB2828"/>
        <bgColor indexed="64"/>
      </patternFill>
    </fill>
    <fill>
      <patternFill patternType="solid">
        <fgColor rgb="FF90BC8B"/>
        <bgColor indexed="64"/>
      </patternFill>
    </fill>
    <fill>
      <patternFill patternType="solid">
        <fgColor rgb="FFECA2A2"/>
        <bgColor indexed="64"/>
      </patternFill>
    </fill>
    <fill>
      <patternFill patternType="solid">
        <fgColor rgb="FFC0DBB8"/>
        <bgColor indexed="64"/>
      </patternFill>
    </fill>
    <fill>
      <patternFill patternType="solid">
        <fgColor rgb="FFCA2424"/>
        <bgColor indexed="64"/>
      </patternFill>
    </fill>
    <fill>
      <patternFill patternType="solid">
        <fgColor rgb="FFCA2424"/>
        <bgColor indexed="64"/>
      </patternFill>
    </fill>
    <fill>
      <patternFill patternType="solid">
        <fgColor rgb="FFAACDA3"/>
        <bgColor indexed="64"/>
      </patternFill>
    </fill>
    <fill>
      <patternFill patternType="solid">
        <fgColor rgb="FF70A86B"/>
        <bgColor indexed="64"/>
      </patternFill>
    </fill>
    <fill>
      <patternFill patternType="solid">
        <fgColor rgb="FF006100"/>
        <bgColor indexed="64"/>
      </patternFill>
    </fill>
    <fill>
      <patternFill patternType="solid">
        <fgColor rgb="FFAECFA7"/>
        <bgColor indexed="64"/>
      </patternFill>
    </fill>
    <fill>
      <patternFill patternType="solid">
        <fgColor rgb="FF75AB71"/>
        <bgColor indexed="64"/>
      </patternFill>
    </fill>
    <fill>
      <patternFill patternType="solid">
        <fgColor rgb="FF368334"/>
        <bgColor indexed="64"/>
      </patternFill>
    </fill>
    <fill>
      <patternFill patternType="solid">
        <fgColor rgb="FF8BB985"/>
        <bgColor indexed="64"/>
      </patternFill>
    </fill>
    <fill>
      <patternFill patternType="solid">
        <fgColor rgb="FFC00000"/>
        <bgColor indexed="64"/>
      </patternFill>
    </fill>
    <fill>
      <patternFill patternType="solid">
        <fgColor rgb="FFCB2828"/>
        <bgColor indexed="64"/>
      </patternFill>
    </fill>
    <fill>
      <patternFill patternType="solid">
        <fgColor rgb="FFC20808"/>
        <bgColor indexed="64"/>
      </patternFill>
    </fill>
    <fill>
      <patternFill patternType="solid">
        <fgColor rgb="FF4C9149"/>
        <bgColor indexed="64"/>
      </patternFill>
    </fill>
    <fill>
      <patternFill patternType="solid">
        <fgColor rgb="FF75AB70"/>
        <bgColor indexed="64"/>
      </patternFill>
    </fill>
    <fill>
      <patternFill patternType="solid">
        <fgColor rgb="FFF0B0B0"/>
        <bgColor indexed="64"/>
      </patternFill>
    </fill>
    <fill>
      <patternFill patternType="solid">
        <fgColor rgb="FFEDA4A4"/>
        <bgColor indexed="64"/>
      </patternFill>
    </fill>
    <fill>
      <patternFill patternType="solid">
        <fgColor rgb="FFD54B4B"/>
        <bgColor indexed="64"/>
      </patternFill>
    </fill>
    <fill>
      <patternFill patternType="solid">
        <fgColor rgb="FFB0D0A9"/>
        <bgColor indexed="64"/>
      </patternFill>
    </fill>
    <fill>
      <patternFill patternType="solid">
        <fgColor rgb="FFD54B4B"/>
        <bgColor indexed="64"/>
      </patternFill>
    </fill>
    <fill>
      <patternFill patternType="solid">
        <fgColor rgb="FFC00000"/>
        <bgColor indexed="64"/>
      </patternFill>
    </fill>
    <fill>
      <patternFill patternType="solid">
        <fgColor rgb="FFC0DBB8"/>
        <bgColor indexed="64"/>
      </patternFill>
    </fill>
    <fill>
      <patternFill patternType="solid">
        <fgColor rgb="FF197118"/>
        <bgColor indexed="64"/>
      </patternFill>
    </fill>
    <fill>
      <patternFill patternType="solid">
        <fgColor rgb="FF51944E"/>
        <bgColor indexed="64"/>
      </patternFill>
    </fill>
    <fill>
      <patternFill patternType="solid">
        <fgColor rgb="FFC00000"/>
        <bgColor indexed="64"/>
      </patternFill>
    </fill>
    <fill>
      <patternFill patternType="solid">
        <fgColor rgb="FF4B9048"/>
        <bgColor indexed="64"/>
      </patternFill>
    </fill>
    <fill>
      <patternFill patternType="solid">
        <fgColor rgb="FFD03B3B"/>
        <bgColor indexed="64"/>
      </patternFill>
    </fill>
    <fill>
      <patternFill patternType="solid">
        <fgColor rgb="FF7CB077"/>
        <bgColor indexed="64"/>
      </patternFill>
    </fill>
    <fill>
      <patternFill patternType="solid">
        <fgColor rgb="FFB0D0A9"/>
        <bgColor indexed="64"/>
      </patternFill>
    </fill>
    <fill>
      <patternFill patternType="solid">
        <fgColor rgb="FF7CB077"/>
        <bgColor indexed="64"/>
      </patternFill>
    </fill>
    <fill>
      <patternFill patternType="solid">
        <fgColor rgb="FFC81B1B"/>
        <bgColor indexed="64"/>
      </patternFill>
    </fill>
    <fill>
      <patternFill patternType="solid">
        <fgColor rgb="FFE48383"/>
        <bgColor indexed="64"/>
      </patternFill>
    </fill>
    <fill>
      <patternFill patternType="solid">
        <fgColor rgb="FFC71919"/>
        <bgColor indexed="64"/>
      </patternFill>
    </fill>
    <fill>
      <patternFill patternType="solid">
        <fgColor rgb="FFE99595"/>
        <bgColor indexed="64"/>
      </patternFill>
    </fill>
    <fill>
      <patternFill patternType="solid">
        <fgColor rgb="FFC00000"/>
        <bgColor indexed="64"/>
      </patternFill>
    </fill>
    <fill>
      <patternFill patternType="solid">
        <fgColor rgb="FFF1B2B2"/>
        <bgColor indexed="64"/>
      </patternFill>
    </fill>
    <fill>
      <patternFill patternType="solid">
        <fgColor rgb="FF388436"/>
        <bgColor indexed="64"/>
      </patternFill>
    </fill>
    <fill>
      <patternFill patternType="solid">
        <fgColor rgb="FFCF3838"/>
        <bgColor indexed="64"/>
      </patternFill>
    </fill>
    <fill>
      <patternFill patternType="solid">
        <fgColor rgb="FFC81E1E"/>
        <bgColor indexed="64"/>
      </patternFill>
    </fill>
    <fill>
      <patternFill patternType="solid">
        <fgColor rgb="FFC61515"/>
        <bgColor indexed="64"/>
      </patternFill>
    </fill>
    <fill>
      <patternFill patternType="solid">
        <fgColor rgb="FFB4D3AD"/>
        <bgColor indexed="64"/>
      </patternFill>
    </fill>
    <fill>
      <patternFill patternType="solid">
        <fgColor rgb="FF4C9149"/>
        <bgColor indexed="64"/>
      </patternFill>
    </fill>
    <fill>
      <patternFill patternType="solid">
        <fgColor rgb="FFE99595"/>
        <bgColor indexed="64"/>
      </patternFill>
    </fill>
    <fill>
      <patternFill patternType="solid">
        <fgColor rgb="FFF6C3C3"/>
        <bgColor indexed="64"/>
      </patternFill>
    </fill>
    <fill>
      <patternFill patternType="solid">
        <fgColor rgb="FFC0DBB8"/>
        <bgColor indexed="64"/>
      </patternFill>
    </fill>
    <fill>
      <patternFill patternType="solid">
        <fgColor rgb="FFD13D3D"/>
        <bgColor indexed="64"/>
      </patternFill>
    </fill>
    <fill>
      <patternFill patternType="solid">
        <fgColor rgb="FFD13E3E"/>
        <bgColor indexed="64"/>
      </patternFill>
    </fill>
    <fill>
      <patternFill patternType="solid">
        <fgColor rgb="FFC20606"/>
        <bgColor indexed="64"/>
      </patternFill>
    </fill>
    <fill>
      <patternFill patternType="solid">
        <fgColor rgb="FFD24141"/>
        <bgColor indexed="64"/>
      </patternFill>
    </fill>
    <fill>
      <patternFill patternType="solid">
        <fgColor rgb="FFC20606"/>
        <bgColor indexed="64"/>
      </patternFill>
    </fill>
    <fill>
      <patternFill patternType="solid">
        <fgColor rgb="FFE58585"/>
        <bgColor indexed="64"/>
      </patternFill>
    </fill>
    <fill>
      <patternFill patternType="solid">
        <fgColor rgb="FFF5C2C2"/>
        <bgColor indexed="64"/>
      </patternFill>
    </fill>
    <fill>
      <patternFill patternType="solid">
        <fgColor rgb="FFC00000"/>
        <bgColor indexed="64"/>
      </patternFill>
    </fill>
    <fill>
      <patternFill patternType="solid">
        <fgColor rgb="FFC51313"/>
        <bgColor indexed="64"/>
      </patternFill>
    </fill>
    <fill>
      <patternFill patternType="solid">
        <fgColor rgb="FFCE3333"/>
        <bgColor indexed="64"/>
      </patternFill>
    </fill>
    <fill>
      <patternFill patternType="solid">
        <fgColor rgb="FFC71919"/>
        <bgColor indexed="64"/>
      </patternFill>
    </fill>
    <fill>
      <patternFill patternType="solid">
        <fgColor rgb="FFCF3737"/>
        <bgColor indexed="64"/>
      </patternFill>
    </fill>
    <fill>
      <patternFill patternType="solid">
        <fgColor rgb="FFC0DBB8"/>
        <bgColor indexed="64"/>
      </patternFill>
    </fill>
    <fill>
      <patternFill patternType="solid">
        <fgColor rgb="FFE89191"/>
        <bgColor indexed="64"/>
      </patternFill>
    </fill>
    <fill>
      <patternFill patternType="solid">
        <fgColor rgb="FF1B721A"/>
        <bgColor indexed="64"/>
      </patternFill>
    </fill>
    <fill>
      <patternFill patternType="solid">
        <fgColor rgb="FF418A3E"/>
        <bgColor indexed="64"/>
      </patternFill>
    </fill>
    <fill>
      <patternFill patternType="solid">
        <fgColor rgb="FFD24141"/>
        <bgColor indexed="64"/>
      </patternFill>
    </fill>
    <fill>
      <patternFill patternType="solid">
        <fgColor rgb="FF81B37C"/>
        <bgColor indexed="64"/>
      </patternFill>
    </fill>
    <fill>
      <patternFill patternType="solid">
        <fgColor rgb="FF51944E"/>
        <bgColor indexed="64"/>
      </patternFill>
    </fill>
    <fill>
      <patternFill patternType="solid">
        <fgColor rgb="FF87B681"/>
        <bgColor indexed="64"/>
      </patternFill>
    </fill>
    <fill>
      <patternFill patternType="solid">
        <fgColor rgb="FFE17777"/>
        <bgColor indexed="64"/>
      </patternFill>
    </fill>
    <fill>
      <patternFill patternType="solid">
        <fgColor rgb="FFD54B4B"/>
        <bgColor indexed="64"/>
      </patternFill>
    </fill>
    <fill>
      <patternFill patternType="solid">
        <fgColor rgb="FFC71919"/>
        <bgColor indexed="64"/>
      </patternFill>
    </fill>
    <fill>
      <patternFill patternType="solid">
        <fgColor rgb="FFD03B3B"/>
        <bgColor indexed="64"/>
      </patternFill>
    </fill>
    <fill>
      <patternFill patternType="solid">
        <fgColor rgb="FFF0B0B0"/>
        <bgColor indexed="64"/>
      </patternFill>
    </fill>
    <fill>
      <patternFill patternType="solid">
        <fgColor rgb="FFF6C3C3"/>
        <bgColor indexed="64"/>
      </patternFill>
    </fill>
    <fill>
      <patternFill patternType="solid">
        <fgColor rgb="FFEDA4A4"/>
        <bgColor indexed="64"/>
      </patternFill>
    </fill>
    <fill>
      <patternFill patternType="solid">
        <fgColor rgb="FFDC6565"/>
        <bgColor indexed="64"/>
      </patternFill>
    </fill>
    <fill>
      <patternFill patternType="solid">
        <fgColor rgb="FFD54B4B"/>
        <bgColor indexed="64"/>
      </patternFill>
    </fill>
    <fill>
      <patternFill patternType="solid">
        <fgColor rgb="FFF1B2B2"/>
        <bgColor indexed="64"/>
      </patternFill>
    </fill>
    <fill>
      <patternFill patternType="solid">
        <fgColor rgb="FFEA9797"/>
        <bgColor indexed="64"/>
      </patternFill>
    </fill>
    <fill>
      <patternFill patternType="solid">
        <fgColor rgb="FF4B9048"/>
        <bgColor indexed="64"/>
      </patternFill>
    </fill>
    <fill>
      <patternFill patternType="solid">
        <fgColor rgb="FFC00000"/>
        <bgColor indexed="64"/>
      </patternFill>
    </fill>
    <fill>
      <patternFill patternType="solid">
        <fgColor rgb="FFDC6565"/>
        <bgColor indexed="64"/>
      </patternFill>
    </fill>
    <fill>
      <patternFill patternType="solid">
        <fgColor rgb="FF187017"/>
        <bgColor indexed="64"/>
      </patternFill>
    </fill>
    <fill>
      <patternFill patternType="solid">
        <fgColor rgb="FF267925"/>
        <bgColor indexed="64"/>
      </patternFill>
    </fill>
    <fill>
      <patternFill patternType="solid">
        <fgColor rgb="FF006100"/>
        <bgColor indexed="64"/>
      </patternFill>
    </fill>
    <fill>
      <patternFill patternType="solid">
        <fgColor rgb="FFF6C3C3"/>
        <bgColor indexed="64"/>
      </patternFill>
    </fill>
    <fill>
      <patternFill patternType="solid">
        <fgColor rgb="FFF6C3C3"/>
        <bgColor indexed="64"/>
      </patternFill>
    </fill>
    <fill>
      <patternFill patternType="solid">
        <fgColor rgb="FF3B8638"/>
        <bgColor indexed="64"/>
      </patternFill>
    </fill>
    <fill>
      <patternFill patternType="solid">
        <fgColor rgb="FFE48383"/>
        <bgColor indexed="64"/>
      </patternFill>
    </fill>
    <fill>
      <patternFill patternType="solid">
        <fgColor rgb="FFC81B1B"/>
        <bgColor indexed="64"/>
      </patternFill>
    </fill>
    <fill>
      <patternFill patternType="solid">
        <fgColor rgb="FFD65252"/>
        <bgColor indexed="64"/>
      </patternFill>
    </fill>
    <fill>
      <patternFill patternType="solid">
        <fgColor rgb="FFD24141"/>
        <bgColor indexed="64"/>
      </patternFill>
    </fill>
    <fill>
      <patternFill patternType="solid">
        <fgColor rgb="FF51944E"/>
        <bgColor indexed="64"/>
      </patternFill>
    </fill>
    <fill>
      <patternFill patternType="solid">
        <fgColor rgb="FFA2C89C"/>
        <bgColor indexed="64"/>
      </patternFill>
    </fill>
    <fill>
      <patternFill patternType="solid">
        <fgColor rgb="FFC10505"/>
        <bgColor indexed="64"/>
      </patternFill>
    </fill>
    <fill>
      <patternFill patternType="solid">
        <fgColor rgb="FFF6C3C3"/>
        <bgColor indexed="64"/>
      </patternFill>
    </fill>
    <fill>
      <patternFill patternType="solid">
        <fgColor rgb="FFF1B2B2"/>
        <bgColor indexed="64"/>
      </patternFill>
    </fill>
    <fill>
      <patternFill patternType="solid">
        <fgColor rgb="FFC00000"/>
        <bgColor indexed="64"/>
      </patternFill>
    </fill>
    <fill>
      <patternFill patternType="solid">
        <fgColor rgb="FF197118"/>
        <bgColor indexed="64"/>
      </patternFill>
    </fill>
    <fill>
      <patternFill patternType="solid">
        <fgColor rgb="FF3B8638"/>
        <bgColor indexed="64"/>
      </patternFill>
    </fill>
    <fill>
      <patternFill patternType="solid">
        <fgColor rgb="FFDF7272"/>
        <bgColor indexed="64"/>
      </patternFill>
    </fill>
    <fill>
      <patternFill patternType="solid">
        <fgColor rgb="FFC61717"/>
        <bgColor indexed="64"/>
      </patternFill>
    </fill>
    <fill>
      <patternFill patternType="solid">
        <fgColor rgb="FFF6C3C3"/>
        <bgColor indexed="64"/>
      </patternFill>
    </fill>
    <fill>
      <patternFill patternType="solid">
        <fgColor rgb="FFC0DBB8"/>
        <bgColor indexed="64"/>
      </patternFill>
    </fill>
    <fill>
      <patternFill patternType="solid">
        <fgColor rgb="FFCB2828"/>
        <bgColor indexed="64"/>
      </patternFill>
    </fill>
    <fill>
      <patternFill patternType="solid">
        <fgColor rgb="FF90BC8B"/>
        <bgColor indexed="64"/>
      </patternFill>
    </fill>
    <fill>
      <patternFill patternType="solid">
        <fgColor rgb="FFECA2A2"/>
        <bgColor indexed="64"/>
      </patternFill>
    </fill>
    <fill>
      <patternFill patternType="solid">
        <fgColor rgb="FFC0DBB8"/>
        <bgColor indexed="64"/>
      </patternFill>
    </fill>
    <fill>
      <patternFill patternType="solid">
        <fgColor rgb="FFCA2424"/>
        <bgColor indexed="64"/>
      </patternFill>
    </fill>
    <fill>
      <patternFill patternType="solid">
        <fgColor rgb="FFCA2424"/>
        <bgColor indexed="64"/>
      </patternFill>
    </fill>
    <fill>
      <patternFill patternType="solid">
        <fgColor rgb="FFAACDA3"/>
        <bgColor indexed="64"/>
      </patternFill>
    </fill>
    <fill>
      <patternFill patternType="solid">
        <fgColor rgb="FF70A86B"/>
        <bgColor indexed="64"/>
      </patternFill>
    </fill>
    <fill>
      <patternFill patternType="solid">
        <fgColor rgb="FF006100"/>
        <bgColor indexed="64"/>
      </patternFill>
    </fill>
    <fill>
      <patternFill patternType="solid">
        <fgColor rgb="FFAECFA7"/>
        <bgColor indexed="64"/>
      </patternFill>
    </fill>
    <fill>
      <patternFill patternType="solid">
        <fgColor rgb="FF75AB71"/>
        <bgColor indexed="64"/>
      </patternFill>
    </fill>
    <fill>
      <patternFill patternType="solid">
        <fgColor rgb="FF368334"/>
        <bgColor indexed="64"/>
      </patternFill>
    </fill>
    <fill>
      <patternFill patternType="solid">
        <fgColor rgb="FF4A9047"/>
        <bgColor indexed="64"/>
      </patternFill>
    </fill>
    <fill>
      <patternFill patternType="solid">
        <fgColor rgb="FFC20909"/>
        <bgColor indexed="64"/>
      </patternFill>
    </fill>
    <fill>
      <patternFill patternType="solid">
        <fgColor rgb="FFCB2828"/>
        <bgColor indexed="64"/>
      </patternFill>
    </fill>
    <fill>
      <patternFill patternType="solid">
        <fgColor rgb="FFC20808"/>
        <bgColor indexed="64"/>
      </patternFill>
    </fill>
    <fill>
      <patternFill patternType="solid">
        <fgColor rgb="FF50944D"/>
        <bgColor indexed="64"/>
      </patternFill>
    </fill>
    <fill>
      <patternFill patternType="solid">
        <fgColor rgb="FFF0B0B0"/>
        <bgColor indexed="64"/>
      </patternFill>
    </fill>
    <fill>
      <patternFill patternType="solid">
        <fgColor rgb="FFEDA4A4"/>
        <bgColor indexed="64"/>
      </patternFill>
    </fill>
    <fill>
      <patternFill patternType="solid">
        <fgColor rgb="FFD54B4B"/>
        <bgColor indexed="64"/>
      </patternFill>
    </fill>
    <fill>
      <patternFill patternType="solid">
        <fgColor rgb="FFD54B4B"/>
        <bgColor indexed="64"/>
      </patternFill>
    </fill>
    <fill>
      <patternFill patternType="solid">
        <fgColor rgb="FFC00000"/>
        <bgColor indexed="64"/>
      </patternFill>
    </fill>
    <fill>
      <patternFill patternType="solid">
        <fgColor rgb="FFC0DBB8"/>
        <bgColor indexed="64"/>
      </patternFill>
    </fill>
    <fill>
      <patternFill patternType="solid">
        <fgColor rgb="FF197118"/>
        <bgColor indexed="64"/>
      </patternFill>
    </fill>
    <fill>
      <patternFill patternType="solid">
        <fgColor rgb="FF51944E"/>
        <bgColor indexed="64"/>
      </patternFill>
    </fill>
    <fill>
      <patternFill patternType="solid">
        <fgColor rgb="FFC00000"/>
        <bgColor indexed="64"/>
      </patternFill>
    </fill>
    <fill>
      <patternFill patternType="solid">
        <fgColor rgb="FF4B9048"/>
        <bgColor indexed="64"/>
      </patternFill>
    </fill>
    <fill>
      <patternFill patternType="solid">
        <fgColor rgb="FFD03B3B"/>
        <bgColor indexed="64"/>
      </patternFill>
    </fill>
    <fill>
      <patternFill patternType="solid">
        <fgColor rgb="FF7CB077"/>
        <bgColor indexed="64"/>
      </patternFill>
    </fill>
    <fill>
      <patternFill patternType="solid">
        <fgColor rgb="FFB0D0A9"/>
        <bgColor indexed="64"/>
      </patternFill>
    </fill>
    <fill>
      <patternFill patternType="solid">
        <fgColor rgb="FF7CB077"/>
        <bgColor indexed="64"/>
      </patternFill>
    </fill>
    <fill>
      <patternFill patternType="solid">
        <fgColor rgb="FFC81B1B"/>
        <bgColor indexed="64"/>
      </patternFill>
    </fill>
    <fill>
      <patternFill patternType="solid">
        <fgColor rgb="FFE48383"/>
        <bgColor indexed="64"/>
      </patternFill>
    </fill>
    <fill>
      <patternFill patternType="solid">
        <fgColor rgb="FFC71919"/>
        <bgColor indexed="64"/>
      </patternFill>
    </fill>
    <fill>
      <patternFill patternType="solid">
        <fgColor rgb="FFE99595"/>
        <bgColor indexed="64"/>
      </patternFill>
    </fill>
    <fill>
      <patternFill patternType="solid">
        <fgColor rgb="FFC00000"/>
        <bgColor indexed="64"/>
      </patternFill>
    </fill>
    <fill>
      <patternFill patternType="solid">
        <fgColor rgb="FFF1B2B2"/>
        <bgColor indexed="64"/>
      </patternFill>
    </fill>
    <fill>
      <patternFill patternType="solid">
        <fgColor rgb="FF388436"/>
        <bgColor indexed="64"/>
      </patternFill>
    </fill>
    <fill>
      <patternFill patternType="solid">
        <fgColor rgb="FFCF3838"/>
        <bgColor indexed="64"/>
      </patternFill>
    </fill>
    <fill>
      <patternFill patternType="solid">
        <fgColor rgb="FFC81E1E"/>
        <bgColor indexed="64"/>
      </patternFill>
    </fill>
    <fill>
      <patternFill patternType="solid">
        <fgColor rgb="FFC61515"/>
        <bgColor indexed="64"/>
      </patternFill>
    </fill>
    <fill>
      <patternFill patternType="solid">
        <fgColor rgb="FFB4D3AD"/>
        <bgColor indexed="64"/>
      </patternFill>
    </fill>
    <fill>
      <patternFill patternType="solid">
        <fgColor rgb="FF4C9149"/>
        <bgColor indexed="64"/>
      </patternFill>
    </fill>
    <fill>
      <patternFill patternType="solid">
        <fgColor rgb="FFE99595"/>
        <bgColor indexed="64"/>
      </patternFill>
    </fill>
    <fill>
      <patternFill patternType="solid">
        <fgColor rgb="FFF6C3C3"/>
        <bgColor indexed="64"/>
      </patternFill>
    </fill>
    <fill>
      <patternFill patternType="solid">
        <fgColor rgb="FFC0DBB8"/>
        <bgColor indexed="64"/>
      </patternFill>
    </fill>
    <fill>
      <patternFill patternType="solid">
        <fgColor rgb="FFD13D3D"/>
        <bgColor indexed="64"/>
      </patternFill>
    </fill>
    <fill>
      <patternFill patternType="solid">
        <fgColor rgb="FFD13E3E"/>
        <bgColor indexed="64"/>
      </patternFill>
    </fill>
    <fill>
      <patternFill patternType="solid">
        <fgColor rgb="FFC20606"/>
        <bgColor indexed="64"/>
      </patternFill>
    </fill>
    <fill>
      <patternFill patternType="solid">
        <fgColor rgb="FFD24141"/>
        <bgColor indexed="64"/>
      </patternFill>
    </fill>
    <fill>
      <patternFill patternType="solid">
        <fgColor rgb="FFC20606"/>
        <bgColor indexed="64"/>
      </patternFill>
    </fill>
    <fill>
      <patternFill patternType="solid">
        <fgColor rgb="FFE58585"/>
        <bgColor indexed="64"/>
      </patternFill>
    </fill>
    <fill>
      <patternFill patternType="solid">
        <fgColor rgb="FFF5C2C2"/>
        <bgColor indexed="64"/>
      </patternFill>
    </fill>
    <fill>
      <patternFill patternType="solid">
        <fgColor rgb="FFC00000"/>
        <bgColor indexed="64"/>
      </patternFill>
    </fill>
    <fill>
      <patternFill patternType="solid">
        <fgColor rgb="FFC51313"/>
        <bgColor indexed="64"/>
      </patternFill>
    </fill>
    <fill>
      <patternFill patternType="solid">
        <fgColor rgb="FFCE3333"/>
        <bgColor indexed="64"/>
      </patternFill>
    </fill>
    <fill>
      <patternFill patternType="solid">
        <fgColor rgb="FFC71919"/>
        <bgColor indexed="64"/>
      </patternFill>
    </fill>
    <fill>
      <patternFill patternType="solid">
        <fgColor rgb="FFCF3737"/>
        <bgColor indexed="64"/>
      </patternFill>
    </fill>
    <fill>
      <patternFill patternType="solid">
        <fgColor rgb="FFC0DBB8"/>
        <bgColor indexed="64"/>
      </patternFill>
    </fill>
    <fill>
      <patternFill patternType="solid">
        <fgColor rgb="FFE89191"/>
        <bgColor indexed="64"/>
      </patternFill>
    </fill>
    <fill>
      <patternFill patternType="solid">
        <fgColor rgb="FF1B721A"/>
        <bgColor indexed="64"/>
      </patternFill>
    </fill>
    <fill>
      <patternFill patternType="solid">
        <fgColor rgb="FF418A3E"/>
        <bgColor indexed="64"/>
      </patternFill>
    </fill>
    <fill>
      <patternFill patternType="solid">
        <fgColor rgb="FFD24141"/>
        <bgColor indexed="64"/>
      </patternFill>
    </fill>
    <fill>
      <patternFill patternType="solid">
        <fgColor rgb="FF81B37C"/>
        <bgColor indexed="64"/>
      </patternFill>
    </fill>
    <fill>
      <patternFill patternType="solid">
        <fgColor rgb="FF51944E"/>
        <bgColor indexed="64"/>
      </patternFill>
    </fill>
    <fill>
      <patternFill patternType="solid">
        <fgColor rgb="FF87B681"/>
        <bgColor indexed="64"/>
      </patternFill>
    </fill>
    <fill>
      <patternFill patternType="solid">
        <fgColor rgb="FFE17777"/>
        <bgColor indexed="64"/>
      </patternFill>
    </fill>
    <fill>
      <patternFill patternType="solid">
        <fgColor rgb="FFD54B4B"/>
        <bgColor indexed="64"/>
      </patternFill>
    </fill>
    <fill>
      <patternFill patternType="solid">
        <fgColor rgb="FFC71919"/>
        <bgColor indexed="64"/>
      </patternFill>
    </fill>
    <fill>
      <patternFill patternType="solid">
        <fgColor rgb="FFD03B3B"/>
        <bgColor indexed="64"/>
      </patternFill>
    </fill>
    <fill>
      <patternFill patternType="solid">
        <fgColor rgb="FFF0B0B0"/>
        <bgColor indexed="64"/>
      </patternFill>
    </fill>
    <fill>
      <patternFill patternType="solid">
        <fgColor rgb="FFF6C3C3"/>
        <bgColor indexed="64"/>
      </patternFill>
    </fill>
    <fill>
      <patternFill patternType="solid">
        <fgColor rgb="FFEDA4A4"/>
        <bgColor indexed="64"/>
      </patternFill>
    </fill>
    <fill>
      <patternFill patternType="solid">
        <fgColor rgb="FFDC6565"/>
        <bgColor indexed="64"/>
      </patternFill>
    </fill>
    <fill>
      <patternFill patternType="solid">
        <fgColor rgb="FFD54B4B"/>
        <bgColor indexed="64"/>
      </patternFill>
    </fill>
    <fill>
      <patternFill patternType="solid">
        <fgColor rgb="FFF1B2B2"/>
        <bgColor indexed="64"/>
      </patternFill>
    </fill>
    <fill>
      <patternFill patternType="solid">
        <fgColor rgb="FFEA9797"/>
        <bgColor indexed="64"/>
      </patternFill>
    </fill>
    <fill>
      <patternFill patternType="solid">
        <fgColor rgb="FF4B9048"/>
        <bgColor indexed="64"/>
      </patternFill>
    </fill>
    <fill>
      <patternFill patternType="solid">
        <fgColor rgb="FFC00000"/>
        <bgColor indexed="64"/>
      </patternFill>
    </fill>
    <fill>
      <patternFill patternType="solid">
        <fgColor rgb="FFDC6565"/>
        <bgColor indexed="64"/>
      </patternFill>
    </fill>
    <fill>
      <patternFill patternType="solid">
        <fgColor rgb="FF4D924A"/>
        <bgColor indexed="64"/>
      </patternFill>
    </fill>
    <fill>
      <patternFill patternType="solid">
        <fgColor rgb="FFC00202"/>
        <bgColor indexed="64"/>
      </patternFill>
    </fill>
    <fill>
      <patternFill patternType="solid">
        <fgColor rgb="FF006100"/>
        <bgColor indexed="64"/>
      </patternFill>
    </fill>
    <fill>
      <patternFill patternType="solid">
        <fgColor rgb="FFF6C3C3"/>
        <bgColor indexed="64"/>
      </patternFill>
    </fill>
    <fill>
      <patternFill patternType="solid">
        <fgColor rgb="FFF2B7B7"/>
        <bgColor indexed="64"/>
      </patternFill>
    </fill>
    <fill>
      <patternFill patternType="solid">
        <fgColor rgb="FF3B8638"/>
        <bgColor indexed="64"/>
      </patternFill>
    </fill>
    <fill>
      <patternFill patternType="solid">
        <fgColor rgb="FFE48383"/>
        <bgColor indexed="64"/>
      </patternFill>
    </fill>
    <fill>
      <patternFill patternType="solid">
        <fgColor rgb="FFC81B1B"/>
        <bgColor indexed="64"/>
      </patternFill>
    </fill>
    <fill>
      <patternFill patternType="solid">
        <fgColor rgb="FFD65252"/>
        <bgColor indexed="64"/>
      </patternFill>
    </fill>
    <fill>
      <patternFill patternType="solid">
        <fgColor rgb="FFD24141"/>
        <bgColor indexed="64"/>
      </patternFill>
    </fill>
    <fill>
      <patternFill patternType="solid">
        <fgColor rgb="FF51944E"/>
        <bgColor indexed="64"/>
      </patternFill>
    </fill>
    <fill>
      <patternFill patternType="solid">
        <fgColor rgb="FFE58585"/>
        <bgColor indexed="64"/>
      </patternFill>
    </fill>
    <fill>
      <patternFill patternType="solid">
        <fgColor rgb="FFE07373"/>
        <bgColor indexed="64"/>
      </patternFill>
    </fill>
    <fill>
      <patternFill patternType="solid">
        <fgColor rgb="FF1E741D"/>
        <bgColor indexed="64"/>
      </patternFill>
    </fill>
    <fill>
      <patternFill patternType="solid">
        <fgColor rgb="FF3F893D"/>
        <bgColor indexed="64"/>
      </patternFill>
    </fill>
    <fill>
      <patternFill patternType="solid">
        <fgColor rgb="FFF1B2B2"/>
        <bgColor indexed="64"/>
      </patternFill>
    </fill>
    <fill>
      <patternFill patternType="solid">
        <fgColor rgb="FFC00000"/>
        <bgColor indexed="64"/>
      </patternFill>
    </fill>
    <fill>
      <patternFill patternType="solid">
        <fgColor rgb="FF197118"/>
        <bgColor indexed="64"/>
      </patternFill>
    </fill>
    <fill>
      <patternFill patternType="solid">
        <fgColor rgb="FF3B8638"/>
        <bgColor indexed="64"/>
      </patternFill>
    </fill>
    <fill>
      <patternFill patternType="solid">
        <fgColor rgb="FFF6C3C3"/>
        <bgColor indexed="64"/>
      </patternFill>
    </fill>
    <fill>
      <patternFill patternType="solid">
        <fgColor rgb="FF95BF8F"/>
        <bgColor indexed="64"/>
      </patternFill>
    </fill>
    <fill>
      <patternFill patternType="solid">
        <fgColor rgb="FFC61717"/>
        <bgColor indexed="64"/>
      </patternFill>
    </fill>
    <fill>
      <patternFill patternType="solid">
        <fgColor rgb="FFF5C0C0"/>
        <bgColor indexed="64"/>
      </patternFill>
    </fill>
    <fill>
      <patternFill patternType="solid">
        <fgColor rgb="FF73AA6F"/>
        <bgColor indexed="64"/>
      </patternFill>
    </fill>
    <fill>
      <patternFill patternType="solid">
        <fgColor rgb="FF98C192"/>
        <bgColor indexed="64"/>
      </patternFill>
    </fill>
    <fill>
      <patternFill patternType="solid">
        <fgColor rgb="FFCB2828"/>
        <bgColor indexed="64"/>
      </patternFill>
    </fill>
    <fill>
      <patternFill patternType="solid">
        <fgColor rgb="FF94BE8E"/>
        <bgColor indexed="64"/>
      </patternFill>
    </fill>
    <fill>
      <patternFill patternType="solid">
        <fgColor rgb="FF88B783"/>
        <bgColor indexed="64"/>
      </patternFill>
    </fill>
    <fill>
      <patternFill patternType="solid">
        <fgColor rgb="FFCC2C2C"/>
        <bgColor indexed="64"/>
      </patternFill>
    </fill>
    <fill>
      <patternFill patternType="solid">
        <fgColor rgb="FF7EB179"/>
        <bgColor indexed="64"/>
      </patternFill>
    </fill>
    <fill>
      <patternFill patternType="solid">
        <fgColor rgb="FF498F46"/>
        <bgColor indexed="64"/>
      </patternFill>
    </fill>
    <fill>
      <patternFill patternType="solid">
        <fgColor rgb="FFCC2C2C"/>
        <bgColor indexed="64"/>
      </patternFill>
    </fill>
    <fill>
      <patternFill patternType="solid">
        <fgColor rgb="FF8FBC8A"/>
        <bgColor indexed="64"/>
      </patternFill>
    </fill>
    <fill>
      <patternFill patternType="solid">
        <fgColor rgb="FF6CA567"/>
        <bgColor indexed="64"/>
      </patternFill>
    </fill>
    <fill>
      <patternFill patternType="solid">
        <fgColor rgb="FF006100"/>
        <bgColor indexed="64"/>
      </patternFill>
    </fill>
    <fill>
      <patternFill patternType="solid">
        <fgColor rgb="FFAECFA7"/>
        <bgColor indexed="64"/>
      </patternFill>
    </fill>
    <fill>
      <patternFill patternType="solid">
        <fgColor rgb="FF75AB71"/>
        <bgColor indexed="64"/>
      </patternFill>
    </fill>
    <fill>
      <patternFill patternType="solid">
        <fgColor rgb="FF368334"/>
        <bgColor indexed="64"/>
      </patternFill>
    </fill>
    <fill>
      <patternFill patternType="solid">
        <fgColor rgb="FF9DC497"/>
        <bgColor indexed="64"/>
      </patternFill>
    </fill>
    <fill>
      <patternFill patternType="solid">
        <fgColor rgb="FFC00000"/>
        <bgColor indexed="64"/>
      </patternFill>
    </fill>
    <fill>
      <patternFill patternType="solid">
        <fgColor rgb="FFCB2828"/>
        <bgColor indexed="64"/>
      </patternFill>
    </fill>
    <fill>
      <patternFill patternType="solid">
        <fgColor rgb="FFC20808"/>
        <bgColor indexed="64"/>
      </patternFill>
    </fill>
    <fill>
      <patternFill patternType="solid">
        <fgColor rgb="FF4C9149"/>
        <bgColor indexed="64"/>
      </patternFill>
    </fill>
    <fill>
      <patternFill patternType="solid">
        <fgColor rgb="FFD54B4B"/>
        <bgColor indexed="64"/>
      </patternFill>
    </fill>
    <fill>
      <patternFill patternType="solid">
        <fgColor rgb="FFB0D0A9"/>
        <bgColor indexed="64"/>
      </patternFill>
    </fill>
    <fill>
      <patternFill patternType="solid">
        <fgColor rgb="FFD54B4B"/>
        <bgColor indexed="64"/>
      </patternFill>
    </fill>
    <fill>
      <patternFill patternType="solid">
        <fgColor rgb="FFC00000"/>
        <bgColor indexed="64"/>
      </patternFill>
    </fill>
    <fill>
      <patternFill patternType="solid">
        <fgColor rgb="FFC0DBB8"/>
        <bgColor indexed="64"/>
      </patternFill>
    </fill>
    <fill>
      <patternFill patternType="solid">
        <fgColor rgb="FF197118"/>
        <bgColor indexed="64"/>
      </patternFill>
    </fill>
    <fill>
      <patternFill patternType="solid">
        <fgColor rgb="FF51944E"/>
        <bgColor indexed="64"/>
      </patternFill>
    </fill>
    <fill>
      <patternFill patternType="solid">
        <fgColor rgb="FFC00000"/>
        <bgColor indexed="64"/>
      </patternFill>
    </fill>
    <fill>
      <patternFill patternType="solid">
        <fgColor rgb="FF4B9048"/>
        <bgColor indexed="64"/>
      </patternFill>
    </fill>
    <fill>
      <patternFill patternType="solid">
        <fgColor rgb="FFD03B3B"/>
        <bgColor indexed="64"/>
      </patternFill>
    </fill>
    <fill>
      <patternFill patternType="solid">
        <fgColor rgb="FF7CB077"/>
        <bgColor indexed="64"/>
      </patternFill>
    </fill>
    <fill>
      <patternFill patternType="solid">
        <fgColor rgb="FFB0D0A9"/>
        <bgColor indexed="64"/>
      </patternFill>
    </fill>
    <fill>
      <patternFill patternType="solid">
        <fgColor rgb="FF7CB077"/>
        <bgColor indexed="64"/>
      </patternFill>
    </fill>
    <fill>
      <patternFill patternType="solid">
        <fgColor rgb="FFC81B1B"/>
        <bgColor indexed="64"/>
      </patternFill>
    </fill>
    <fill>
      <patternFill patternType="solid">
        <fgColor rgb="FFE48383"/>
        <bgColor indexed="64"/>
      </patternFill>
    </fill>
    <fill>
      <patternFill patternType="solid">
        <fgColor rgb="FFC71919"/>
        <bgColor indexed="64"/>
      </patternFill>
    </fill>
    <fill>
      <patternFill patternType="solid">
        <fgColor rgb="FFE99595"/>
        <bgColor indexed="64"/>
      </patternFill>
    </fill>
    <fill>
      <patternFill patternType="solid">
        <fgColor rgb="FFC00000"/>
        <bgColor indexed="64"/>
      </patternFill>
    </fill>
    <fill>
      <patternFill patternType="solid">
        <fgColor rgb="FFF1B2B2"/>
        <bgColor indexed="64"/>
      </patternFill>
    </fill>
    <fill>
      <patternFill patternType="solid">
        <fgColor rgb="FF388436"/>
        <bgColor indexed="64"/>
      </patternFill>
    </fill>
    <fill>
      <patternFill patternType="solid">
        <fgColor rgb="FFCF3838"/>
        <bgColor indexed="64"/>
      </patternFill>
    </fill>
    <fill>
      <patternFill patternType="solid">
        <fgColor rgb="FFC81E1E"/>
        <bgColor indexed="64"/>
      </patternFill>
    </fill>
    <fill>
      <patternFill patternType="solid">
        <fgColor rgb="FFC61515"/>
        <bgColor indexed="64"/>
      </patternFill>
    </fill>
    <fill>
      <patternFill patternType="solid">
        <fgColor rgb="FFB7D5B0"/>
        <bgColor indexed="64"/>
      </patternFill>
    </fill>
    <fill>
      <patternFill patternType="solid">
        <fgColor rgb="FF4C9149"/>
        <bgColor indexed="64"/>
      </patternFill>
    </fill>
    <fill>
      <patternFill patternType="solid">
        <fgColor rgb="FFE99595"/>
        <bgColor indexed="64"/>
      </patternFill>
    </fill>
    <fill>
      <patternFill patternType="solid">
        <fgColor rgb="FFF6C3C3"/>
        <bgColor indexed="64"/>
      </patternFill>
    </fill>
    <fill>
      <patternFill patternType="solid">
        <fgColor rgb="FFC0DBB8"/>
        <bgColor indexed="64"/>
      </patternFill>
    </fill>
    <fill>
      <patternFill patternType="solid">
        <fgColor rgb="FFD13D3D"/>
        <bgColor indexed="64"/>
      </patternFill>
    </fill>
    <fill>
      <patternFill patternType="solid">
        <fgColor rgb="FFD13E3E"/>
        <bgColor indexed="64"/>
      </patternFill>
    </fill>
    <fill>
      <patternFill patternType="solid">
        <fgColor rgb="FFC20606"/>
        <bgColor indexed="64"/>
      </patternFill>
    </fill>
    <fill>
      <patternFill patternType="solid">
        <fgColor rgb="FFD24141"/>
        <bgColor indexed="64"/>
      </patternFill>
    </fill>
    <fill>
      <patternFill patternType="solid">
        <fgColor rgb="FFC20606"/>
        <bgColor indexed="64"/>
      </patternFill>
    </fill>
    <fill>
      <patternFill patternType="solid">
        <fgColor rgb="FFE58585"/>
        <bgColor indexed="64"/>
      </patternFill>
    </fill>
    <fill>
      <patternFill patternType="solid">
        <fgColor rgb="FFF5C2C2"/>
        <bgColor indexed="64"/>
      </patternFill>
    </fill>
    <fill>
      <patternFill patternType="solid">
        <fgColor rgb="FFC00000"/>
        <bgColor indexed="64"/>
      </patternFill>
    </fill>
    <fill>
      <patternFill patternType="solid">
        <fgColor rgb="FFC51313"/>
        <bgColor indexed="64"/>
      </patternFill>
    </fill>
    <fill>
      <patternFill patternType="solid">
        <fgColor rgb="FFCE3333"/>
        <bgColor indexed="64"/>
      </patternFill>
    </fill>
    <fill>
      <patternFill patternType="solid">
        <fgColor rgb="FFC71919"/>
        <bgColor indexed="64"/>
      </patternFill>
    </fill>
    <fill>
      <patternFill patternType="solid">
        <fgColor rgb="FFCF3737"/>
        <bgColor indexed="64"/>
      </patternFill>
    </fill>
    <fill>
      <patternFill patternType="solid">
        <fgColor rgb="FFC0DBB8"/>
        <bgColor indexed="64"/>
      </patternFill>
    </fill>
    <fill>
      <patternFill patternType="solid">
        <fgColor rgb="FFE89191"/>
        <bgColor indexed="64"/>
      </patternFill>
    </fill>
    <fill>
      <patternFill patternType="solid">
        <fgColor rgb="FF1B721A"/>
        <bgColor indexed="64"/>
      </patternFill>
    </fill>
    <fill>
      <patternFill patternType="solid">
        <fgColor rgb="FF418A3E"/>
        <bgColor indexed="64"/>
      </patternFill>
    </fill>
    <fill>
      <patternFill patternType="solid">
        <fgColor rgb="FFD24141"/>
        <bgColor indexed="64"/>
      </patternFill>
    </fill>
    <fill>
      <patternFill patternType="solid">
        <fgColor rgb="FF81B37C"/>
        <bgColor indexed="64"/>
      </patternFill>
    </fill>
    <fill>
      <patternFill patternType="solid">
        <fgColor rgb="FF51944E"/>
        <bgColor indexed="64"/>
      </patternFill>
    </fill>
    <fill>
      <patternFill patternType="solid">
        <fgColor rgb="FF87B681"/>
        <bgColor indexed="64"/>
      </patternFill>
    </fill>
    <fill>
      <patternFill patternType="solid">
        <fgColor rgb="FFE17777"/>
        <bgColor indexed="64"/>
      </patternFill>
    </fill>
    <fill>
      <patternFill patternType="solid">
        <fgColor rgb="FFD54B4B"/>
        <bgColor indexed="64"/>
      </patternFill>
    </fill>
    <fill>
      <patternFill patternType="solid">
        <fgColor rgb="FFC71919"/>
        <bgColor indexed="64"/>
      </patternFill>
    </fill>
    <fill>
      <patternFill patternType="solid">
        <fgColor rgb="FFD03B3B"/>
        <bgColor indexed="64"/>
      </patternFill>
    </fill>
    <fill>
      <patternFill patternType="solid">
        <fgColor rgb="FFF0B0B0"/>
        <bgColor indexed="64"/>
      </patternFill>
    </fill>
    <fill>
      <patternFill patternType="solid">
        <fgColor rgb="FFF6C3C3"/>
        <bgColor indexed="64"/>
      </patternFill>
    </fill>
    <fill>
      <patternFill patternType="solid">
        <fgColor rgb="FFEDA4A4"/>
        <bgColor indexed="64"/>
      </patternFill>
    </fill>
    <fill>
      <patternFill patternType="solid">
        <fgColor rgb="FFDC6565"/>
        <bgColor indexed="64"/>
      </patternFill>
    </fill>
    <fill>
      <patternFill patternType="solid">
        <fgColor rgb="FFD54B4B"/>
        <bgColor indexed="64"/>
      </patternFill>
    </fill>
    <fill>
      <patternFill patternType="solid">
        <fgColor rgb="FFF1B2B2"/>
        <bgColor indexed="64"/>
      </patternFill>
    </fill>
    <fill>
      <patternFill patternType="solid">
        <fgColor rgb="FFEA9797"/>
        <bgColor indexed="64"/>
      </patternFill>
    </fill>
    <fill>
      <patternFill patternType="solid">
        <fgColor rgb="FF4B9048"/>
        <bgColor indexed="64"/>
      </patternFill>
    </fill>
    <fill>
      <patternFill patternType="solid">
        <fgColor rgb="FFC00000"/>
        <bgColor indexed="64"/>
      </patternFill>
    </fill>
    <fill>
      <patternFill patternType="solid">
        <fgColor rgb="FFDC6565"/>
        <bgColor indexed="64"/>
      </patternFill>
    </fill>
    <fill>
      <patternFill patternType="solid">
        <fgColor rgb="FF4D924A"/>
        <bgColor indexed="64"/>
      </patternFill>
    </fill>
    <fill>
      <patternFill patternType="solid">
        <fgColor rgb="FFC00202"/>
        <bgColor indexed="64"/>
      </patternFill>
    </fill>
    <fill>
      <patternFill patternType="solid">
        <fgColor rgb="FF006100"/>
        <bgColor indexed="64"/>
      </patternFill>
    </fill>
    <fill>
      <patternFill patternType="solid">
        <fgColor rgb="FFF6C3C3"/>
        <bgColor indexed="64"/>
      </patternFill>
    </fill>
    <fill>
      <patternFill patternType="solid">
        <fgColor rgb="FFF2B7B7"/>
        <bgColor indexed="64"/>
      </patternFill>
    </fill>
    <fill>
      <patternFill patternType="solid">
        <fgColor rgb="FF3B8638"/>
        <bgColor indexed="64"/>
      </patternFill>
    </fill>
    <fill>
      <patternFill patternType="solid">
        <fgColor rgb="FFE48383"/>
        <bgColor indexed="64"/>
      </patternFill>
    </fill>
    <fill>
      <patternFill patternType="solid">
        <fgColor rgb="FFC81B1B"/>
        <bgColor indexed="64"/>
      </patternFill>
    </fill>
    <fill>
      <patternFill patternType="solid">
        <fgColor rgb="FFD65252"/>
        <bgColor indexed="64"/>
      </patternFill>
    </fill>
    <fill>
      <patternFill patternType="solid">
        <fgColor rgb="FFD24141"/>
        <bgColor indexed="64"/>
      </patternFill>
    </fill>
    <fill>
      <patternFill patternType="solid">
        <fgColor rgb="FF51944E"/>
        <bgColor indexed="64"/>
      </patternFill>
    </fill>
    <fill>
      <patternFill patternType="solid">
        <fgColor rgb="FFE58585"/>
        <bgColor indexed="64"/>
      </patternFill>
    </fill>
    <fill>
      <patternFill patternType="solid">
        <fgColor rgb="FFE07373"/>
        <bgColor indexed="64"/>
      </patternFill>
    </fill>
    <fill>
      <patternFill patternType="solid">
        <fgColor rgb="FF1E741D"/>
        <bgColor indexed="64"/>
      </patternFill>
    </fill>
    <fill>
      <patternFill patternType="solid">
        <fgColor rgb="FF3F893D"/>
        <bgColor indexed="64"/>
      </patternFill>
    </fill>
    <fill>
      <patternFill patternType="solid">
        <fgColor rgb="FFF1B2B2"/>
        <bgColor indexed="64"/>
      </patternFill>
    </fill>
    <fill>
      <patternFill patternType="solid">
        <fgColor rgb="FFC00000"/>
        <bgColor indexed="64"/>
      </patternFill>
    </fill>
    <fill>
      <patternFill patternType="solid">
        <fgColor rgb="FF197118"/>
        <bgColor indexed="64"/>
      </patternFill>
    </fill>
    <fill>
      <patternFill patternType="solid">
        <fgColor rgb="FF3B8638"/>
        <bgColor indexed="64"/>
      </patternFill>
    </fill>
    <fill>
      <patternFill patternType="solid">
        <fgColor rgb="FFF6C3C3"/>
        <bgColor indexed="64"/>
      </patternFill>
    </fill>
    <fill>
      <patternFill patternType="solid">
        <fgColor rgb="FF95BF8F"/>
        <bgColor indexed="64"/>
      </patternFill>
    </fill>
    <fill>
      <patternFill patternType="solid">
        <fgColor rgb="FFC61717"/>
        <bgColor indexed="64"/>
      </patternFill>
    </fill>
    <fill>
      <patternFill patternType="solid">
        <fgColor rgb="FFF5C0C0"/>
        <bgColor indexed="64"/>
      </patternFill>
    </fill>
    <fill>
      <patternFill patternType="solid">
        <fgColor rgb="FF73AA6F"/>
        <bgColor indexed="64"/>
      </patternFill>
    </fill>
    <fill>
      <patternFill patternType="solid">
        <fgColor rgb="FF98C192"/>
        <bgColor indexed="64"/>
      </patternFill>
    </fill>
    <fill>
      <patternFill patternType="solid">
        <fgColor rgb="FFCB2828"/>
        <bgColor indexed="64"/>
      </patternFill>
    </fill>
    <fill>
      <patternFill patternType="solid">
        <fgColor rgb="FF94BE8E"/>
        <bgColor indexed="64"/>
      </patternFill>
    </fill>
    <fill>
      <patternFill patternType="solid">
        <fgColor rgb="FF88B783"/>
        <bgColor indexed="64"/>
      </patternFill>
    </fill>
    <fill>
      <patternFill patternType="solid">
        <fgColor rgb="FFCC2C2C"/>
        <bgColor indexed="64"/>
      </patternFill>
    </fill>
    <fill>
      <patternFill patternType="solid">
        <fgColor rgb="FF7EB179"/>
        <bgColor indexed="64"/>
      </patternFill>
    </fill>
    <fill>
      <patternFill patternType="solid">
        <fgColor rgb="FF498F46"/>
        <bgColor indexed="64"/>
      </patternFill>
    </fill>
    <fill>
      <patternFill patternType="solid">
        <fgColor rgb="FFCC2C2C"/>
        <bgColor indexed="64"/>
      </patternFill>
    </fill>
    <fill>
      <patternFill patternType="solid">
        <fgColor rgb="FF8FBC8A"/>
        <bgColor indexed="64"/>
      </patternFill>
    </fill>
    <fill>
      <patternFill patternType="solid">
        <fgColor rgb="FF6CA567"/>
        <bgColor indexed="64"/>
      </patternFill>
    </fill>
    <fill>
      <patternFill patternType="solid">
        <fgColor rgb="FF006100"/>
        <bgColor indexed="64"/>
      </patternFill>
    </fill>
    <fill>
      <patternFill patternType="solid">
        <fgColor rgb="FFAECFA7"/>
        <bgColor indexed="64"/>
      </patternFill>
    </fill>
    <fill>
      <patternFill patternType="solid">
        <fgColor rgb="FF75AB71"/>
        <bgColor indexed="64"/>
      </patternFill>
    </fill>
    <fill>
      <patternFill patternType="solid">
        <fgColor rgb="FF368334"/>
        <bgColor indexed="64"/>
      </patternFill>
    </fill>
    <fill>
      <patternFill patternType="solid">
        <fgColor rgb="FF9DC497"/>
        <bgColor indexed="64"/>
      </patternFill>
    </fill>
    <fill>
      <patternFill patternType="solid">
        <fgColor rgb="FFC00000"/>
        <bgColor indexed="64"/>
      </patternFill>
    </fill>
    <fill>
      <patternFill patternType="solid">
        <fgColor rgb="FFCB2828"/>
        <bgColor indexed="64"/>
      </patternFill>
    </fill>
    <fill>
      <patternFill patternType="solid">
        <fgColor rgb="FFC20808"/>
        <bgColor indexed="64"/>
      </patternFill>
    </fill>
    <fill>
      <patternFill patternType="solid">
        <fgColor rgb="FF4C9149"/>
        <bgColor indexed="64"/>
      </patternFill>
    </fill>
    <fill>
      <patternFill patternType="solid">
        <fgColor rgb="FFF0B0B0"/>
        <bgColor indexed="64"/>
      </patternFill>
    </fill>
    <fill>
      <patternFill patternType="solid">
        <fgColor rgb="FFD54B4B"/>
        <bgColor indexed="64"/>
      </patternFill>
    </fill>
    <fill>
      <patternFill patternType="solid">
        <fgColor rgb="FFB0D0A9"/>
        <bgColor indexed="64"/>
      </patternFill>
    </fill>
    <fill>
      <patternFill patternType="solid">
        <fgColor rgb="FFD54B4B"/>
        <bgColor indexed="64"/>
      </patternFill>
    </fill>
    <fill>
      <patternFill patternType="solid">
        <fgColor rgb="FFC00000"/>
        <bgColor indexed="64"/>
      </patternFill>
    </fill>
    <fill>
      <patternFill patternType="solid">
        <fgColor rgb="FFC0DBB8"/>
        <bgColor indexed="64"/>
      </patternFill>
    </fill>
    <fill>
      <patternFill patternType="solid">
        <fgColor rgb="FF197118"/>
        <bgColor indexed="64"/>
      </patternFill>
    </fill>
    <fill>
      <patternFill patternType="solid">
        <fgColor rgb="FF51944E"/>
        <bgColor indexed="64"/>
      </patternFill>
    </fill>
    <fill>
      <patternFill patternType="solid">
        <fgColor rgb="FFC00000"/>
        <bgColor indexed="64"/>
      </patternFill>
    </fill>
    <fill>
      <patternFill patternType="solid">
        <fgColor rgb="FF4B9048"/>
        <bgColor indexed="64"/>
      </patternFill>
    </fill>
    <fill>
      <patternFill patternType="solid">
        <fgColor rgb="FFD03B3B"/>
        <bgColor indexed="64"/>
      </patternFill>
    </fill>
    <fill>
      <patternFill patternType="solid">
        <fgColor rgb="FF7CB077"/>
        <bgColor indexed="64"/>
      </patternFill>
    </fill>
    <fill>
      <patternFill patternType="solid">
        <fgColor rgb="FFB0D0A9"/>
        <bgColor indexed="64"/>
      </patternFill>
    </fill>
    <fill>
      <patternFill patternType="solid">
        <fgColor rgb="FF7CB077"/>
        <bgColor indexed="64"/>
      </patternFill>
    </fill>
    <fill>
      <patternFill patternType="solid">
        <fgColor rgb="FFC81B1B"/>
        <bgColor indexed="64"/>
      </patternFill>
    </fill>
    <fill>
      <patternFill patternType="solid">
        <fgColor rgb="FFE48383"/>
        <bgColor indexed="64"/>
      </patternFill>
    </fill>
    <fill>
      <patternFill patternType="solid">
        <fgColor rgb="FFC71919"/>
        <bgColor indexed="64"/>
      </patternFill>
    </fill>
    <fill>
      <patternFill patternType="solid">
        <fgColor rgb="FFE99595"/>
        <bgColor indexed="64"/>
      </patternFill>
    </fill>
    <fill>
      <patternFill patternType="solid">
        <fgColor rgb="FFC00000"/>
        <bgColor indexed="64"/>
      </patternFill>
    </fill>
    <fill>
      <patternFill patternType="solid">
        <fgColor rgb="FFF1B2B2"/>
        <bgColor indexed="64"/>
      </patternFill>
    </fill>
    <fill>
      <patternFill patternType="solid">
        <fgColor rgb="FF388436"/>
        <bgColor indexed="64"/>
      </patternFill>
    </fill>
    <fill>
      <patternFill patternType="solid">
        <fgColor rgb="FFCF3838"/>
        <bgColor indexed="64"/>
      </patternFill>
    </fill>
    <fill>
      <patternFill patternType="solid">
        <fgColor rgb="FFC81E1E"/>
        <bgColor indexed="64"/>
      </patternFill>
    </fill>
    <fill>
      <patternFill patternType="solid">
        <fgColor rgb="FFC61515"/>
        <bgColor indexed="64"/>
      </patternFill>
    </fill>
    <fill>
      <patternFill patternType="solid">
        <fgColor rgb="FFB7D5B0"/>
        <bgColor indexed="64"/>
      </patternFill>
    </fill>
    <fill>
      <patternFill patternType="solid">
        <fgColor rgb="FF4C9149"/>
        <bgColor indexed="64"/>
      </patternFill>
    </fill>
    <fill>
      <patternFill patternType="solid">
        <fgColor rgb="FFE99595"/>
        <bgColor indexed="64"/>
      </patternFill>
    </fill>
    <fill>
      <patternFill patternType="solid">
        <fgColor rgb="FFF6C3C3"/>
        <bgColor indexed="64"/>
      </patternFill>
    </fill>
    <fill>
      <patternFill patternType="solid">
        <fgColor rgb="FFC0DBB8"/>
        <bgColor indexed="64"/>
      </patternFill>
    </fill>
    <fill>
      <patternFill patternType="solid">
        <fgColor rgb="FFD13D3D"/>
        <bgColor indexed="64"/>
      </patternFill>
    </fill>
    <fill>
      <patternFill patternType="solid">
        <fgColor rgb="FFD13E3E"/>
        <bgColor indexed="64"/>
      </patternFill>
    </fill>
    <fill>
      <patternFill patternType="solid">
        <fgColor rgb="FFC20606"/>
        <bgColor indexed="64"/>
      </patternFill>
    </fill>
    <fill>
      <patternFill patternType="solid">
        <fgColor rgb="FFD24141"/>
        <bgColor indexed="64"/>
      </patternFill>
    </fill>
    <fill>
      <patternFill patternType="solid">
        <fgColor rgb="FFC20606"/>
        <bgColor indexed="64"/>
      </patternFill>
    </fill>
    <fill>
      <patternFill patternType="solid">
        <fgColor rgb="FFE58585"/>
        <bgColor indexed="64"/>
      </patternFill>
    </fill>
    <fill>
      <patternFill patternType="solid">
        <fgColor rgb="FFF5C2C2"/>
        <bgColor indexed="64"/>
      </patternFill>
    </fill>
    <fill>
      <patternFill patternType="solid">
        <fgColor rgb="FFC00000"/>
        <bgColor indexed="64"/>
      </patternFill>
    </fill>
    <fill>
      <patternFill patternType="solid">
        <fgColor rgb="FFC51313"/>
        <bgColor indexed="64"/>
      </patternFill>
    </fill>
    <fill>
      <patternFill patternType="solid">
        <fgColor rgb="FFCE3333"/>
        <bgColor indexed="64"/>
      </patternFill>
    </fill>
    <fill>
      <patternFill patternType="solid">
        <fgColor rgb="FFC71919"/>
        <bgColor indexed="64"/>
      </patternFill>
    </fill>
    <fill>
      <patternFill patternType="solid">
        <fgColor rgb="FFCF3737"/>
        <bgColor indexed="64"/>
      </patternFill>
    </fill>
    <fill>
      <patternFill patternType="solid">
        <fgColor rgb="FFC0DBB8"/>
        <bgColor indexed="64"/>
      </patternFill>
    </fill>
    <fill>
      <patternFill patternType="solid">
        <fgColor rgb="FFE89191"/>
        <bgColor indexed="64"/>
      </patternFill>
    </fill>
    <fill>
      <patternFill patternType="solid">
        <fgColor rgb="FF1B721A"/>
        <bgColor indexed="64"/>
      </patternFill>
    </fill>
    <fill>
      <patternFill patternType="solid">
        <fgColor rgb="FF418A3E"/>
        <bgColor indexed="64"/>
      </patternFill>
    </fill>
    <fill>
      <patternFill patternType="solid">
        <fgColor rgb="FFD24141"/>
        <bgColor indexed="64"/>
      </patternFill>
    </fill>
    <fill>
      <patternFill patternType="solid">
        <fgColor rgb="FF81B37C"/>
        <bgColor indexed="64"/>
      </patternFill>
    </fill>
    <fill>
      <patternFill patternType="solid">
        <fgColor rgb="FF51944E"/>
        <bgColor indexed="64"/>
      </patternFill>
    </fill>
    <fill>
      <patternFill patternType="solid">
        <fgColor rgb="FF87B681"/>
        <bgColor indexed="64"/>
      </patternFill>
    </fill>
    <fill>
      <patternFill patternType="solid">
        <fgColor rgb="FFE17777"/>
        <bgColor indexed="64"/>
      </patternFill>
    </fill>
    <fill>
      <patternFill patternType="solid">
        <fgColor rgb="FFD54B4B"/>
        <bgColor indexed="64"/>
      </patternFill>
    </fill>
    <fill>
      <patternFill patternType="solid">
        <fgColor rgb="FFC71919"/>
        <bgColor indexed="64"/>
      </patternFill>
    </fill>
    <fill>
      <patternFill patternType="solid">
        <fgColor rgb="FFD03B3B"/>
        <bgColor indexed="64"/>
      </patternFill>
    </fill>
    <fill>
      <patternFill patternType="solid">
        <fgColor rgb="FFF0B0B0"/>
        <bgColor indexed="64"/>
      </patternFill>
    </fill>
    <fill>
      <patternFill patternType="solid">
        <fgColor rgb="FFF6C3C3"/>
        <bgColor indexed="64"/>
      </patternFill>
    </fill>
    <fill>
      <patternFill patternType="solid">
        <fgColor rgb="FFEDA4A4"/>
        <bgColor indexed="64"/>
      </patternFill>
    </fill>
    <fill>
      <patternFill patternType="solid">
        <fgColor rgb="FFDC6565"/>
        <bgColor indexed="64"/>
      </patternFill>
    </fill>
    <fill>
      <patternFill patternType="solid">
        <fgColor rgb="FFD54B4B"/>
        <bgColor indexed="64"/>
      </patternFill>
    </fill>
    <fill>
      <patternFill patternType="solid">
        <fgColor rgb="FFF1B2B2"/>
        <bgColor indexed="64"/>
      </patternFill>
    </fill>
    <fill>
      <patternFill patternType="solid">
        <fgColor rgb="FFEA9797"/>
        <bgColor indexed="64"/>
      </patternFill>
    </fill>
    <fill>
      <patternFill patternType="solid">
        <fgColor rgb="FF4B9048"/>
        <bgColor indexed="64"/>
      </patternFill>
    </fill>
    <fill>
      <patternFill patternType="solid">
        <fgColor rgb="FFC00000"/>
        <bgColor indexed="64"/>
      </patternFill>
    </fill>
    <fill>
      <patternFill patternType="solid">
        <fgColor rgb="FFDC6565"/>
        <bgColor indexed="64"/>
      </patternFill>
    </fill>
    <fill>
      <patternFill patternType="solid">
        <fgColor rgb="FF4D924A"/>
        <bgColor indexed="64"/>
      </patternFill>
    </fill>
    <fill>
      <patternFill patternType="solid">
        <fgColor rgb="FFC00202"/>
        <bgColor indexed="64"/>
      </patternFill>
    </fill>
    <fill>
      <patternFill patternType="solid">
        <fgColor rgb="FF006100"/>
        <bgColor indexed="64"/>
      </patternFill>
    </fill>
    <fill>
      <patternFill patternType="solid">
        <fgColor rgb="FFF6C3C3"/>
        <bgColor indexed="64"/>
      </patternFill>
    </fill>
    <fill>
      <patternFill patternType="solid">
        <fgColor rgb="FFF2B7B7"/>
        <bgColor indexed="64"/>
      </patternFill>
    </fill>
    <fill>
      <patternFill patternType="solid">
        <fgColor rgb="FF3B8638"/>
        <bgColor indexed="64"/>
      </patternFill>
    </fill>
    <fill>
      <patternFill patternType="solid">
        <fgColor rgb="FFE48383"/>
        <bgColor indexed="64"/>
      </patternFill>
    </fill>
    <fill>
      <patternFill patternType="solid">
        <fgColor rgb="FFC81B1B"/>
        <bgColor indexed="64"/>
      </patternFill>
    </fill>
    <fill>
      <patternFill patternType="solid">
        <fgColor rgb="FFD65252"/>
        <bgColor indexed="64"/>
      </patternFill>
    </fill>
    <fill>
      <patternFill patternType="solid">
        <fgColor rgb="FFD24141"/>
        <bgColor indexed="64"/>
      </patternFill>
    </fill>
    <fill>
      <patternFill patternType="solid">
        <fgColor rgb="FF51944E"/>
        <bgColor indexed="64"/>
      </patternFill>
    </fill>
    <fill>
      <patternFill patternType="solid">
        <fgColor rgb="FFE58585"/>
        <bgColor indexed="64"/>
      </patternFill>
    </fill>
    <fill>
      <patternFill patternType="solid">
        <fgColor rgb="FFE07373"/>
        <bgColor indexed="64"/>
      </patternFill>
    </fill>
    <fill>
      <patternFill patternType="solid">
        <fgColor rgb="FF1E741D"/>
        <bgColor indexed="64"/>
      </patternFill>
    </fill>
    <fill>
      <patternFill patternType="solid">
        <fgColor rgb="FF3F893D"/>
        <bgColor indexed="64"/>
      </patternFill>
    </fill>
    <fill>
      <patternFill patternType="solid">
        <fgColor rgb="FFF1B2B2"/>
        <bgColor indexed="64"/>
      </patternFill>
    </fill>
    <fill>
      <patternFill patternType="solid">
        <fgColor rgb="FFC00000"/>
        <bgColor indexed="64"/>
      </patternFill>
    </fill>
    <fill>
      <patternFill patternType="solid">
        <fgColor rgb="FF197118"/>
        <bgColor indexed="64"/>
      </patternFill>
    </fill>
    <fill>
      <patternFill patternType="solid">
        <fgColor rgb="FF3B8638"/>
        <bgColor indexed="64"/>
      </patternFill>
    </fill>
    <fill>
      <patternFill patternType="solid">
        <fgColor rgb="FFF6C3C3"/>
        <bgColor indexed="64"/>
      </patternFill>
    </fill>
    <fill>
      <patternFill patternType="solid">
        <fgColor rgb="FF95BF8F"/>
        <bgColor indexed="64"/>
      </patternFill>
    </fill>
    <fill>
      <patternFill patternType="solid">
        <fgColor rgb="FFC61717"/>
        <bgColor indexed="64"/>
      </patternFill>
    </fill>
    <fill>
      <patternFill patternType="solid">
        <fgColor rgb="FFF5C0C0"/>
        <bgColor indexed="64"/>
      </patternFill>
    </fill>
    <fill>
      <patternFill patternType="solid">
        <fgColor rgb="FF73AA6F"/>
        <bgColor indexed="64"/>
      </patternFill>
    </fill>
    <fill>
      <patternFill patternType="solid">
        <fgColor rgb="FF98C192"/>
        <bgColor indexed="64"/>
      </patternFill>
    </fill>
    <fill>
      <patternFill patternType="solid">
        <fgColor rgb="FFCB2828"/>
        <bgColor indexed="64"/>
      </patternFill>
    </fill>
    <fill>
      <patternFill patternType="solid">
        <fgColor rgb="FF94BE8E"/>
        <bgColor indexed="64"/>
      </patternFill>
    </fill>
    <fill>
      <patternFill patternType="solid">
        <fgColor rgb="FF88B783"/>
        <bgColor indexed="64"/>
      </patternFill>
    </fill>
    <fill>
      <patternFill patternType="solid">
        <fgColor rgb="FFCC2C2C"/>
        <bgColor indexed="64"/>
      </patternFill>
    </fill>
    <fill>
      <patternFill patternType="solid">
        <fgColor rgb="FF7EB179"/>
        <bgColor indexed="64"/>
      </patternFill>
    </fill>
    <fill>
      <patternFill patternType="solid">
        <fgColor rgb="FF498F46"/>
        <bgColor indexed="64"/>
      </patternFill>
    </fill>
    <fill>
      <patternFill patternType="solid">
        <fgColor rgb="FFCC2C2C"/>
        <bgColor indexed="64"/>
      </patternFill>
    </fill>
    <fill>
      <patternFill patternType="solid">
        <fgColor rgb="FF8FBC8A"/>
        <bgColor indexed="64"/>
      </patternFill>
    </fill>
    <fill>
      <patternFill patternType="solid">
        <fgColor rgb="FF6CA567"/>
        <bgColor indexed="64"/>
      </patternFill>
    </fill>
    <fill>
      <patternFill patternType="solid">
        <fgColor rgb="FF006100"/>
        <bgColor indexed="64"/>
      </patternFill>
    </fill>
    <fill>
      <patternFill patternType="solid">
        <fgColor rgb="FFAECFA7"/>
        <bgColor indexed="64"/>
      </patternFill>
    </fill>
    <fill>
      <patternFill patternType="solid">
        <fgColor rgb="FF75AB71"/>
        <bgColor indexed="64"/>
      </patternFill>
    </fill>
    <fill>
      <patternFill patternType="solid">
        <fgColor rgb="FF368334"/>
        <bgColor indexed="64"/>
      </patternFill>
    </fill>
    <fill>
      <patternFill patternType="solid">
        <fgColor rgb="FF619F5D"/>
        <bgColor indexed="64"/>
      </patternFill>
    </fill>
    <fill>
      <patternFill patternType="solid">
        <fgColor rgb="FFC20909"/>
        <bgColor indexed="64"/>
      </patternFill>
    </fill>
    <fill>
      <patternFill patternType="solid">
        <fgColor rgb="FFCB2828"/>
        <bgColor indexed="64"/>
      </patternFill>
    </fill>
    <fill>
      <patternFill patternType="solid">
        <fgColor rgb="FFC20808"/>
        <bgColor indexed="64"/>
      </patternFill>
    </fill>
    <fill>
      <patternFill patternType="solid">
        <fgColor rgb="FF50944D"/>
        <bgColor indexed="64"/>
      </patternFill>
    </fill>
    <fill>
      <patternFill patternType="solid">
        <fgColor rgb="FFF0B0B0"/>
        <bgColor indexed="64"/>
      </patternFill>
    </fill>
    <fill>
      <patternFill patternType="solid">
        <fgColor rgb="FFD54B4B"/>
        <bgColor indexed="64"/>
      </patternFill>
    </fill>
    <fill>
      <patternFill patternType="solid">
        <fgColor rgb="FFD54B4B"/>
        <bgColor indexed="64"/>
      </patternFill>
    </fill>
    <fill>
      <patternFill patternType="solid">
        <fgColor rgb="FFC00000"/>
        <bgColor indexed="64"/>
      </patternFill>
    </fill>
    <fill>
      <patternFill patternType="solid">
        <fgColor rgb="FFC0DBB8"/>
        <bgColor indexed="64"/>
      </patternFill>
    </fill>
    <fill>
      <patternFill patternType="solid">
        <fgColor rgb="FF197118"/>
        <bgColor indexed="64"/>
      </patternFill>
    </fill>
    <fill>
      <patternFill patternType="solid">
        <fgColor rgb="FF51944E"/>
        <bgColor indexed="64"/>
      </patternFill>
    </fill>
    <fill>
      <patternFill patternType="solid">
        <fgColor rgb="FFC00000"/>
        <bgColor indexed="64"/>
      </patternFill>
    </fill>
    <fill>
      <patternFill patternType="solid">
        <fgColor rgb="FF4B9048"/>
        <bgColor indexed="64"/>
      </patternFill>
    </fill>
    <fill>
      <patternFill patternType="solid">
        <fgColor rgb="FFD03B3B"/>
        <bgColor indexed="64"/>
      </patternFill>
    </fill>
    <fill>
      <patternFill patternType="solid">
        <fgColor rgb="FF7CB077"/>
        <bgColor indexed="64"/>
      </patternFill>
    </fill>
    <fill>
      <patternFill patternType="solid">
        <fgColor rgb="FFB0D0A9"/>
        <bgColor indexed="64"/>
      </patternFill>
    </fill>
    <fill>
      <patternFill patternType="solid">
        <fgColor rgb="FF7CB077"/>
        <bgColor indexed="64"/>
      </patternFill>
    </fill>
    <fill>
      <patternFill patternType="solid">
        <fgColor rgb="FFC81B1B"/>
        <bgColor indexed="64"/>
      </patternFill>
    </fill>
    <fill>
      <patternFill patternType="solid">
        <fgColor rgb="FFE48383"/>
        <bgColor indexed="64"/>
      </patternFill>
    </fill>
    <fill>
      <patternFill patternType="solid">
        <fgColor rgb="FFC71919"/>
        <bgColor indexed="64"/>
      </patternFill>
    </fill>
    <fill>
      <patternFill patternType="solid">
        <fgColor rgb="FFE99595"/>
        <bgColor indexed="64"/>
      </patternFill>
    </fill>
    <fill>
      <patternFill patternType="solid">
        <fgColor rgb="FFC00000"/>
        <bgColor indexed="64"/>
      </patternFill>
    </fill>
    <fill>
      <patternFill patternType="solid">
        <fgColor rgb="FFF1B2B2"/>
        <bgColor indexed="64"/>
      </patternFill>
    </fill>
    <fill>
      <patternFill patternType="solid">
        <fgColor rgb="FF388436"/>
        <bgColor indexed="64"/>
      </patternFill>
    </fill>
    <fill>
      <patternFill patternType="solid">
        <fgColor rgb="FFCF3838"/>
        <bgColor indexed="64"/>
      </patternFill>
    </fill>
    <fill>
      <patternFill patternType="solid">
        <fgColor rgb="FFC81E1E"/>
        <bgColor indexed="64"/>
      </patternFill>
    </fill>
    <fill>
      <patternFill patternType="solid">
        <fgColor rgb="FFC61515"/>
        <bgColor indexed="64"/>
      </patternFill>
    </fill>
    <fill>
      <patternFill patternType="solid">
        <fgColor rgb="FFB7D5B0"/>
        <bgColor indexed="64"/>
      </patternFill>
    </fill>
    <fill>
      <patternFill patternType="solid">
        <fgColor rgb="FF4C9149"/>
        <bgColor indexed="64"/>
      </patternFill>
    </fill>
    <fill>
      <patternFill patternType="solid">
        <fgColor rgb="FFE99595"/>
        <bgColor indexed="64"/>
      </patternFill>
    </fill>
    <fill>
      <patternFill patternType="solid">
        <fgColor rgb="FFF6C3C3"/>
        <bgColor indexed="64"/>
      </patternFill>
    </fill>
    <fill>
      <patternFill patternType="solid">
        <fgColor rgb="FFC0DBB8"/>
        <bgColor indexed="64"/>
      </patternFill>
    </fill>
    <fill>
      <patternFill patternType="solid">
        <fgColor rgb="FFD13D3D"/>
        <bgColor indexed="64"/>
      </patternFill>
    </fill>
    <fill>
      <patternFill patternType="solid">
        <fgColor rgb="FFD13E3E"/>
        <bgColor indexed="64"/>
      </patternFill>
    </fill>
    <fill>
      <patternFill patternType="solid">
        <fgColor rgb="FFC20606"/>
        <bgColor indexed="64"/>
      </patternFill>
    </fill>
    <fill>
      <patternFill patternType="solid">
        <fgColor rgb="FFD24141"/>
        <bgColor indexed="64"/>
      </patternFill>
    </fill>
    <fill>
      <patternFill patternType="solid">
        <fgColor rgb="FFC20606"/>
        <bgColor indexed="64"/>
      </patternFill>
    </fill>
    <fill>
      <patternFill patternType="solid">
        <fgColor rgb="FFE58585"/>
        <bgColor indexed="64"/>
      </patternFill>
    </fill>
    <fill>
      <patternFill patternType="solid">
        <fgColor rgb="FFF5C2C2"/>
        <bgColor indexed="64"/>
      </patternFill>
    </fill>
    <fill>
      <patternFill patternType="solid">
        <fgColor rgb="FFC00000"/>
        <bgColor indexed="64"/>
      </patternFill>
    </fill>
    <fill>
      <patternFill patternType="solid">
        <fgColor rgb="FFC51313"/>
        <bgColor indexed="64"/>
      </patternFill>
    </fill>
    <fill>
      <patternFill patternType="solid">
        <fgColor rgb="FFCE3333"/>
        <bgColor indexed="64"/>
      </patternFill>
    </fill>
    <fill>
      <patternFill patternType="solid">
        <fgColor rgb="FFC71919"/>
        <bgColor indexed="64"/>
      </patternFill>
    </fill>
    <fill>
      <patternFill patternType="solid">
        <fgColor rgb="FFCF3737"/>
        <bgColor indexed="64"/>
      </patternFill>
    </fill>
  </fills>
  <borders count="14">
    <border/>
    <border>
      <left style="thin">
        <color auto="1"/>
      </left>
      <right style="thin">
        <color auto="1"/>
      </right>
      <top style="thin">
        <color auto="1"/>
      </top>
      <bottom style="thin">
        <color auto="1"/>
      </bottom>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
      <left style="thin">
        <color rgb="FFD9D9D9"/>
      </left>
      <right style="thin">
        <color rgb="FFD9D9D9"/>
      </right>
      <top style="thin">
        <color rgb="FFD9D9D9"/>
      </top>
      <bottom style="thin">
        <color rgb="FFD9D9D9"/>
      </bottom>
    </border>
    <border>
      <left style="thin">
        <color rgb="FF7F0000"/>
      </left>
      <right style="thin">
        <color rgb="FF7F0000"/>
      </right>
      <top style="thin">
        <color rgb="FF7F0000"/>
      </top>
      <bottom style="thin">
        <color rgb="FF7F0000"/>
      </bottom>
    </border>
    <border>
      <left style="thin">
        <color rgb="FFE5E7EB"/>
      </left>
      <right style="thin">
        <color rgb="FFE5E7EB"/>
      </right>
      <top style="thin">
        <color rgb="FFE5E7EB"/>
      </top>
      <bottom style="thin">
        <color rgb="FFE5E7EB"/>
      </bottom>
    </border>
  </borders>
  <cellStyleXfs count="49">
    <xf numFmtId="0" fontId="0" fillId="0" borderId="0">
      <alignment vertical="center"/>
    </xf>
    <xf numFmtId="43" fontId="30" fillId="0" borderId="0">
      <alignment vertical="center"/>
    </xf>
    <xf numFmtId="44" fontId="30" fillId="0" borderId="0">
      <alignment vertical="center"/>
    </xf>
    <xf numFmtId="9" fontId="30" fillId="0" borderId="0">
      <alignment vertical="center"/>
    </xf>
    <xf numFmtId="41" fontId="30" fillId="0" borderId="0">
      <alignment vertical="center"/>
    </xf>
    <xf numFmtId="42" fontId="30" fillId="0" borderId="0">
      <alignment vertical="center"/>
    </xf>
    <xf numFmtId="0" fontId="31" fillId="0" borderId="0">
      <alignment vertical="center"/>
    </xf>
    <xf numFmtId="0" fontId="32" fillId="0" borderId="0">
      <alignment vertical="center"/>
    </xf>
    <xf numFmtId="0" fontId="30" fillId="111" borderId="3">
      <alignment vertical="center"/>
    </xf>
    <xf numFmtId="0" fontId="33" fillId="0" borderId="0">
      <alignment vertical="center"/>
    </xf>
    <xf numFmtId="0" fontId="34" fillId="0" borderId="0">
      <alignment vertical="center"/>
    </xf>
    <xf numFmtId="0" fontId="35" fillId="0" borderId="0">
      <alignment vertical="center"/>
    </xf>
    <xf numFmtId="0" fontId="36" fillId="0" borderId="4">
      <alignment vertical="center"/>
    </xf>
    <xf numFmtId="0" fontId="37" fillId="0" borderId="4">
      <alignment vertical="center"/>
    </xf>
    <xf numFmtId="0" fontId="38" fillId="0" borderId="5">
      <alignment vertical="center"/>
    </xf>
    <xf numFmtId="0" fontId="38" fillId="0" borderId="0">
      <alignment vertical="center"/>
    </xf>
    <xf numFmtId="0" fontId="39" fillId="112" borderId="6">
      <alignment vertical="center"/>
    </xf>
    <xf numFmtId="0" fontId="40" fillId="113" borderId="7">
      <alignment vertical="center"/>
    </xf>
    <xf numFmtId="0" fontId="41" fillId="113" borderId="6">
      <alignment vertical="center"/>
    </xf>
    <xf numFmtId="0" fontId="42" fillId="114" borderId="8">
      <alignment vertical="center"/>
    </xf>
    <xf numFmtId="0" fontId="43" fillId="0" borderId="9">
      <alignment vertical="center"/>
    </xf>
    <xf numFmtId="0" fontId="44" fillId="0" borderId="10">
      <alignment vertical="center"/>
    </xf>
    <xf numFmtId="0" fontId="45" fillId="115" borderId="0">
      <alignment vertical="center"/>
    </xf>
    <xf numFmtId="0" fontId="46" fillId="116" borderId="0">
      <alignment vertical="center"/>
    </xf>
    <xf numFmtId="0" fontId="47" fillId="117" borderId="0">
      <alignment vertical="center"/>
    </xf>
    <xf numFmtId="0" fontId="48" fillId="118" borderId="0">
      <alignment vertical="center"/>
    </xf>
    <xf numFmtId="0" fontId="49" fillId="119" borderId="0">
      <alignment vertical="center"/>
    </xf>
    <xf numFmtId="0" fontId="49" fillId="120" borderId="0">
      <alignment vertical="center"/>
    </xf>
    <xf numFmtId="0" fontId="48" fillId="121" borderId="0">
      <alignment vertical="center"/>
    </xf>
    <xf numFmtId="0" fontId="48" fillId="122" borderId="0">
      <alignment vertical="center"/>
    </xf>
    <xf numFmtId="0" fontId="49" fillId="123" borderId="0">
      <alignment vertical="center"/>
    </xf>
    <xf numFmtId="0" fontId="49" fillId="124" borderId="0">
      <alignment vertical="center"/>
    </xf>
    <xf numFmtId="0" fontId="48" fillId="125" borderId="0">
      <alignment vertical="center"/>
    </xf>
    <xf numFmtId="0" fontId="48" fillId="126" borderId="0">
      <alignment vertical="center"/>
    </xf>
    <xf numFmtId="0" fontId="49" fillId="127" borderId="0">
      <alignment vertical="center"/>
    </xf>
    <xf numFmtId="0" fontId="49" fillId="128" borderId="0">
      <alignment vertical="center"/>
    </xf>
    <xf numFmtId="0" fontId="48" fillId="129" borderId="0">
      <alignment vertical="center"/>
    </xf>
    <xf numFmtId="0" fontId="48" fillId="130" borderId="0">
      <alignment vertical="center"/>
    </xf>
    <xf numFmtId="0" fontId="49" fillId="131" borderId="0">
      <alignment vertical="center"/>
    </xf>
    <xf numFmtId="0" fontId="49" fillId="132" borderId="0">
      <alignment vertical="center"/>
    </xf>
    <xf numFmtId="0" fontId="48" fillId="133" borderId="0">
      <alignment vertical="center"/>
    </xf>
    <xf numFmtId="0" fontId="48" fillId="134" borderId="0">
      <alignment vertical="center"/>
    </xf>
    <xf numFmtId="0" fontId="49" fillId="135" borderId="0">
      <alignment vertical="center"/>
    </xf>
    <xf numFmtId="0" fontId="49" fillId="136" borderId="0">
      <alignment vertical="center"/>
    </xf>
    <xf numFmtId="0" fontId="48" fillId="137" borderId="0">
      <alignment vertical="center"/>
    </xf>
    <xf numFmtId="0" fontId="48" fillId="138" borderId="0">
      <alignment vertical="center"/>
    </xf>
    <xf numFmtId="0" fontId="49" fillId="139" borderId="0">
      <alignment vertical="center"/>
    </xf>
    <xf numFmtId="0" fontId="49" fillId="140" borderId="0">
      <alignment vertical="center"/>
    </xf>
    <xf numFmtId="0" fontId="48" fillId="141" borderId="0">
      <alignment vertical="center"/>
    </xf>
  </cellStyleXfs>
  <cellXfs count="177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0" fillId="0" borderId="0" xfId="0" applyBorder="1" applyAlignment="1">
      <alignment vertical="center"/>
    </xf>
    <xf numFmtId="0" fontId="3"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0" fillId="0" borderId="0" xfId="0" applyAlignment="1"/>
    <xf numFmtId="0" fontId="0" fillId="0" borderId="0" xfId="0" applyAlignment="1">
      <alignment horizontal="left" vertical="center"/>
    </xf>
    <xf numFmtId="0" fontId="0" fillId="0" borderId="0" xfId="0" applyAlignment="1">
      <alignment horizontal="center" vertical="center"/>
    </xf>
    <xf numFmtId="0" fontId="7" fillId="0" borderId="0" xfId="0" applyFont="1" applyAlignment="1">
      <alignment horizontal="center" vertical="center"/>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176" fontId="11" fillId="2" borderId="1" xfId="0" applyNumberFormat="1" applyFont="1" applyFill="1" applyBorder="1" applyAlignment="1">
      <alignment horizontal="center" vertical="center" wrapText="1"/>
    </xf>
    <xf numFmtId="10" fontId="12" fillId="3" borderId="1" xfId="0" applyNumberFormat="1" applyFont="1" applyFill="1" applyBorder="1" applyAlignment="1">
      <alignment horizontal="center" vertical="center" wrapText="1"/>
    </xf>
    <xf numFmtId="10" fontId="13" fillId="3" borderId="1" xfId="0" applyNumberFormat="1" applyFont="1" applyFill="1" applyBorder="1" applyAlignment="1">
      <alignment horizontal="left" vertical="center" wrapText="1"/>
    </xf>
    <xf numFmtId="10" fontId="14" fillId="3" borderId="1" xfId="0" applyNumberFormat="1" applyFont="1" applyFill="1" applyBorder="1" applyAlignment="1">
      <alignment horizontal="center" vertical="center" wrapText="1"/>
    </xf>
    <xf numFmtId="0" fontId="0" fillId="3" borderId="1" xfId="0" applyFill="1" applyBorder="1" applyAlignment="1">
      <alignment horizontal="left" vertical="center" wrapText="1"/>
    </xf>
    <xf numFmtId="0" fontId="15" fillId="3" borderId="1" xfId="0" applyFont="1" applyFill="1" applyBorder="1" applyAlignment="1">
      <alignment vertical="center" wrapText="1"/>
    </xf>
    <xf numFmtId="177" fontId="16" fillId="4" borderId="1" xfId="0" applyNumberFormat="1" applyFont="1" applyFill="1" applyBorder="1" applyAlignment="1">
      <alignment horizontal="center" vertical="center"/>
    </xf>
    <xf numFmtId="176" fontId="17" fillId="3" borderId="1" xfId="0" applyNumberFormat="1" applyFont="1" applyFill="1" applyBorder="1" applyAlignment="1">
      <alignment horizontal="left" vertical="center" wrapText="1"/>
    </xf>
    <xf numFmtId="0" fontId="18" fillId="3" borderId="1" xfId="0" applyFont="1" applyFill="1" applyBorder="1" applyAlignment="1">
      <alignment horizontal="left" vertical="center" wrapText="1"/>
    </xf>
    <xf numFmtId="0" fontId="18" fillId="5" borderId="1" xfId="0" applyFont="1" applyFill="1" applyBorder="1" applyAlignment="1">
      <alignment horizontal="center" vertical="center" wrapText="1"/>
    </xf>
    <xf numFmtId="49" fontId="19" fillId="3" borderId="1" xfId="0" applyNumberFormat="1" applyFont="1" applyFill="1" applyBorder="1" applyAlignment="1">
      <alignment horizontal="center" vertical="center" wrapText="1"/>
    </xf>
    <xf numFmtId="0" fontId="19" fillId="3" borderId="1" xfId="0" applyFont="1" applyFill="1" applyBorder="1" applyAlignment="1">
      <alignment horizontal="center" vertical="center"/>
    </xf>
    <xf numFmtId="2" fontId="20" fillId="6" borderId="1" xfId="0" applyNumberFormat="1" applyFont="1" applyFill="1" applyBorder="1" applyAlignment="1">
      <alignment horizontal="center" vertical="center"/>
    </xf>
    <xf numFmtId="178" fontId="21" fillId="0" borderId="1" xfId="0" applyNumberFormat="1" applyFont="1" applyBorder="1" applyAlignment="1">
      <alignment horizontal="center" vertical="center"/>
    </xf>
    <xf numFmtId="2" fontId="20" fillId="7" borderId="1" xfId="0" applyNumberFormat="1" applyFont="1" applyFill="1" applyBorder="1" applyAlignment="1">
      <alignment horizontal="center" vertical="center"/>
    </xf>
    <xf numFmtId="10" fontId="20"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wrapText="1"/>
    </xf>
    <xf numFmtId="0" fontId="5" fillId="3" borderId="1" xfId="0" applyFont="1" applyFill="1" applyBorder="1" applyAlignment="1"/>
    <xf numFmtId="0" fontId="0" fillId="3" borderId="1" xfId="0" applyFill="1" applyBorder="1" applyAlignment="1"/>
    <xf numFmtId="0" fontId="15" fillId="3" borderId="1" xfId="0" applyFont="1" applyFill="1" applyBorder="1" applyAlignment="1">
      <alignment horizontal="left" vertical="center" wrapText="1"/>
    </xf>
    <xf numFmtId="177" fontId="16" fillId="8" borderId="1" xfId="0" applyNumberFormat="1" applyFont="1" applyFill="1" applyBorder="1" applyAlignment="1">
      <alignment horizontal="center" vertical="center"/>
    </xf>
    <xf numFmtId="0" fontId="18" fillId="3" borderId="1" xfId="0" applyFont="1" applyFill="1" applyBorder="1" applyAlignment="1">
      <alignment horizontal="center" vertical="center" wrapText="1"/>
    </xf>
    <xf numFmtId="176" fontId="19" fillId="3" borderId="1" xfId="0" applyNumberFormat="1" applyFont="1" applyFill="1" applyBorder="1" applyAlignment="1">
      <alignment horizontal="center" vertical="center"/>
    </xf>
    <xf numFmtId="10" fontId="11" fillId="9" borderId="1" xfId="0" applyNumberFormat="1" applyFont="1" applyFill="1" applyBorder="1" applyAlignment="1">
      <alignment horizontal="center" vertical="center"/>
    </xf>
    <xf numFmtId="177" fontId="16" fillId="10" borderId="1" xfId="0" applyNumberFormat="1" applyFont="1" applyFill="1" applyBorder="1" applyAlignment="1">
      <alignment horizontal="center" vertical="center"/>
    </xf>
    <xf numFmtId="0" fontId="18" fillId="3" borderId="1" xfId="0" applyFont="1" applyFill="1" applyBorder="1" applyAlignment="1">
      <alignment vertical="center" wrapText="1"/>
    </xf>
    <xf numFmtId="177" fontId="16" fillId="11" borderId="1" xfId="0" applyNumberFormat="1" applyFont="1" applyFill="1" applyBorder="1" applyAlignment="1">
      <alignment horizontal="center" vertical="center"/>
    </xf>
    <xf numFmtId="10" fontId="11" fillId="12" borderId="1" xfId="0" applyNumberFormat="1" applyFont="1" applyFill="1" applyBorder="1" applyAlignment="1">
      <alignment horizontal="center" vertical="center"/>
    </xf>
    <xf numFmtId="10" fontId="11" fillId="13" borderId="1" xfId="0" applyNumberFormat="1" applyFont="1" applyFill="1" applyBorder="1" applyAlignment="1">
      <alignment horizontal="center" vertical="center"/>
    </xf>
    <xf numFmtId="177" fontId="16" fillId="14" borderId="1" xfId="0" applyNumberFormat="1" applyFont="1" applyFill="1" applyBorder="1" applyAlignment="1">
      <alignment horizontal="center" vertical="center"/>
    </xf>
    <xf numFmtId="0" fontId="17" fillId="3" borderId="1" xfId="0" applyFont="1" applyFill="1" applyBorder="1" applyAlignment="1">
      <alignment horizontal="left" vertical="center" wrapText="1"/>
    </xf>
    <xf numFmtId="2" fontId="21" fillId="0" borderId="1" xfId="0" applyNumberFormat="1" applyFont="1" applyFill="1" applyBorder="1" applyAlignment="1">
      <alignment horizontal="center" vertical="center"/>
    </xf>
    <xf numFmtId="0" fontId="0" fillId="0" borderId="1" xfId="0" applyBorder="1" applyAlignment="1">
      <alignment vertical="center"/>
    </xf>
    <xf numFmtId="177" fontId="16" fillId="15" borderId="1" xfId="0" applyNumberFormat="1" applyFont="1" applyFill="1" applyBorder="1" applyAlignment="1">
      <alignment horizontal="center" vertical="center"/>
    </xf>
    <xf numFmtId="10" fontId="20" fillId="16" borderId="1" xfId="0" applyNumberFormat="1" applyFont="1" applyFill="1" applyBorder="1" applyAlignment="1">
      <alignment horizontal="center" vertical="center"/>
    </xf>
    <xf numFmtId="10" fontId="11" fillId="17" borderId="1" xfId="0" applyNumberFormat="1" applyFont="1" applyFill="1" applyBorder="1" applyAlignment="1">
      <alignment horizontal="center" vertical="center"/>
    </xf>
    <xf numFmtId="177" fontId="16" fillId="18" borderId="1" xfId="0" applyNumberFormat="1" applyFont="1" applyFill="1" applyBorder="1" applyAlignment="1">
      <alignment horizontal="center" vertical="center"/>
    </xf>
    <xf numFmtId="10" fontId="20" fillId="19" borderId="1" xfId="0" applyNumberFormat="1" applyFont="1" applyFill="1" applyBorder="1" applyAlignment="1">
      <alignment horizontal="center" vertical="center"/>
    </xf>
    <xf numFmtId="177" fontId="16" fillId="20" borderId="1" xfId="0" applyNumberFormat="1" applyFont="1" applyFill="1" applyBorder="1" applyAlignment="1">
      <alignment horizontal="center" vertical="center"/>
    </xf>
    <xf numFmtId="177" fontId="16" fillId="21" borderId="1" xfId="0" applyNumberFormat="1" applyFont="1" applyFill="1" applyBorder="1" applyAlignment="1">
      <alignment horizontal="center" vertical="center"/>
    </xf>
    <xf numFmtId="10" fontId="20" fillId="22" borderId="1" xfId="0" applyNumberFormat="1" applyFont="1" applyFill="1" applyBorder="1" applyAlignment="1">
      <alignment horizontal="center" vertical="center"/>
    </xf>
    <xf numFmtId="177" fontId="16" fillId="23" borderId="1" xfId="0" applyNumberFormat="1" applyFont="1" applyFill="1" applyBorder="1" applyAlignment="1">
      <alignment horizontal="center" vertical="center"/>
    </xf>
    <xf numFmtId="10" fontId="11" fillId="24" borderId="1" xfId="0" applyNumberFormat="1" applyFont="1" applyFill="1" applyBorder="1" applyAlignment="1">
      <alignment horizontal="center" vertical="center"/>
    </xf>
    <xf numFmtId="10" fontId="11" fillId="25" borderId="1" xfId="0" applyNumberFormat="1" applyFont="1" applyFill="1" applyBorder="1" applyAlignment="1">
      <alignment horizontal="center" vertical="center"/>
    </xf>
    <xf numFmtId="10" fontId="11" fillId="26" borderId="1" xfId="0" applyNumberFormat="1" applyFont="1" applyFill="1" applyBorder="1" applyAlignment="1">
      <alignment horizontal="center" vertical="center"/>
    </xf>
    <xf numFmtId="10" fontId="20" fillId="27" borderId="1" xfId="0" applyNumberFormat="1" applyFont="1" applyFill="1" applyBorder="1" applyAlignment="1">
      <alignment horizontal="center" vertical="center"/>
    </xf>
    <xf numFmtId="177" fontId="16" fillId="28" borderId="1" xfId="0" applyNumberFormat="1" applyFont="1" applyFill="1" applyBorder="1" applyAlignment="1">
      <alignment horizontal="center" vertical="center"/>
    </xf>
    <xf numFmtId="2" fontId="20" fillId="29" borderId="1" xfId="0" applyNumberFormat="1" applyFont="1" applyFill="1" applyBorder="1" applyAlignment="1">
      <alignment horizontal="center" vertical="center"/>
    </xf>
    <xf numFmtId="10" fontId="20" fillId="30" borderId="1" xfId="0" applyNumberFormat="1" applyFont="1" applyFill="1" applyBorder="1" applyAlignment="1">
      <alignment horizontal="center" vertical="center"/>
    </xf>
    <xf numFmtId="2" fontId="20" fillId="27" borderId="1" xfId="0" applyNumberFormat="1" applyFont="1" applyFill="1" applyBorder="1" applyAlignment="1">
      <alignment horizontal="center" vertical="center"/>
    </xf>
    <xf numFmtId="2" fontId="20" fillId="31" borderId="1" xfId="0" applyNumberFormat="1" applyFont="1" applyFill="1" applyBorder="1" applyAlignment="1">
      <alignment horizontal="center" vertical="center"/>
    </xf>
    <xf numFmtId="10" fontId="11" fillId="32" borderId="1" xfId="0" applyNumberFormat="1" applyFont="1" applyFill="1" applyBorder="1" applyAlignment="1">
      <alignment horizontal="center" vertical="center"/>
    </xf>
    <xf numFmtId="0" fontId="14" fillId="3" borderId="1" xfId="0" applyFont="1" applyFill="1" applyBorder="1" applyAlignment="1">
      <alignment horizontal="center" vertical="center" wrapText="1"/>
    </xf>
    <xf numFmtId="177" fontId="16" fillId="33" borderId="1" xfId="0" applyNumberFormat="1" applyFont="1" applyFill="1" applyBorder="1" applyAlignment="1">
      <alignment horizontal="center" vertical="center"/>
    </xf>
    <xf numFmtId="10" fontId="11" fillId="2" borderId="1" xfId="0" applyNumberFormat="1" applyFont="1" applyFill="1" applyBorder="1" applyAlignment="1">
      <alignment horizontal="center" vertical="center"/>
    </xf>
    <xf numFmtId="10" fontId="20" fillId="34" borderId="1" xfId="0" applyNumberFormat="1" applyFont="1" applyFill="1" applyBorder="1" applyAlignment="1">
      <alignment horizontal="center" vertical="center"/>
    </xf>
    <xf numFmtId="0" fontId="17" fillId="3" borderId="1" xfId="0" applyFont="1" applyFill="1" applyBorder="1" applyAlignment="1">
      <alignment vertical="center" wrapText="1"/>
    </xf>
    <xf numFmtId="2" fontId="11" fillId="35" borderId="1" xfId="0" applyNumberFormat="1" applyFont="1" applyFill="1" applyBorder="1" applyAlignment="1">
      <alignment horizontal="center" vertical="center"/>
    </xf>
    <xf numFmtId="10" fontId="11" fillId="36" borderId="1" xfId="0" applyNumberFormat="1" applyFont="1" applyFill="1" applyBorder="1" applyAlignment="1">
      <alignment horizontal="center" vertical="center"/>
    </xf>
    <xf numFmtId="2" fontId="11" fillId="37" borderId="1" xfId="0" applyNumberFormat="1" applyFont="1" applyFill="1" applyBorder="1" applyAlignment="1">
      <alignment horizontal="center" vertical="center"/>
    </xf>
    <xf numFmtId="2" fontId="11" fillId="38" borderId="1" xfId="0" applyNumberFormat="1" applyFont="1" applyFill="1" applyBorder="1" applyAlignment="1">
      <alignment horizontal="center" vertical="center"/>
    </xf>
    <xf numFmtId="2" fontId="20" fillId="39" borderId="1" xfId="0" applyNumberFormat="1" applyFont="1" applyFill="1" applyBorder="1" applyAlignment="1">
      <alignment horizontal="center" vertical="center"/>
    </xf>
    <xf numFmtId="2" fontId="11" fillId="40" borderId="1" xfId="0" applyNumberFormat="1" applyFont="1" applyFill="1" applyBorder="1" applyAlignment="1">
      <alignment horizontal="center" vertical="center"/>
    </xf>
    <xf numFmtId="2" fontId="11" fillId="2" borderId="1" xfId="0" applyNumberFormat="1" applyFont="1" applyFill="1" applyBorder="1" applyAlignment="1">
      <alignment horizontal="center" vertical="center"/>
    </xf>
    <xf numFmtId="177" fontId="16" fillId="41" borderId="1" xfId="0" applyNumberFormat="1" applyFont="1" applyFill="1" applyBorder="1" applyAlignment="1">
      <alignment horizontal="center" vertical="center" wrapText="1"/>
    </xf>
    <xf numFmtId="49" fontId="22" fillId="3" borderId="1" xfId="0" applyNumberFormat="1" applyFont="1" applyFill="1" applyBorder="1" applyAlignment="1">
      <alignment horizontal="center" vertical="center" wrapText="1"/>
    </xf>
    <xf numFmtId="0" fontId="22" fillId="3" borderId="1" xfId="0" applyFont="1" applyFill="1" applyBorder="1" applyAlignment="1">
      <alignment horizontal="center" vertical="center"/>
    </xf>
    <xf numFmtId="10" fontId="23" fillId="42" borderId="1" xfId="0" applyNumberFormat="1" applyFont="1" applyFill="1" applyBorder="1" applyAlignment="1">
      <alignment horizontal="center" vertical="center"/>
    </xf>
    <xf numFmtId="10" fontId="24" fillId="0" borderId="1" xfId="0" applyNumberFormat="1" applyFont="1" applyFill="1" applyBorder="1" applyAlignment="1">
      <alignment horizontal="center" vertical="center"/>
    </xf>
    <xf numFmtId="10" fontId="11" fillId="43" borderId="1" xfId="0" applyNumberFormat="1" applyFont="1" applyFill="1" applyBorder="1" applyAlignment="1">
      <alignment horizontal="center" vertical="center"/>
    </xf>
    <xf numFmtId="177" fontId="16" fillId="44" borderId="1" xfId="0" applyNumberFormat="1" applyFont="1" applyFill="1" applyBorder="1" applyAlignment="1">
      <alignment horizontal="center" vertical="center"/>
    </xf>
    <xf numFmtId="0" fontId="21" fillId="0" borderId="1" xfId="0" applyFont="1" applyFill="1" applyBorder="1" applyAlignment="1">
      <alignment horizontal="center" vertical="center"/>
    </xf>
    <xf numFmtId="0" fontId="20" fillId="0" borderId="1" xfId="0" applyFont="1" applyBorder="1" applyAlignment="1">
      <alignment horizontal="center" vertical="center"/>
    </xf>
    <xf numFmtId="0" fontId="18" fillId="0" borderId="1" xfId="0" applyFont="1" applyBorder="1" applyAlignment="1">
      <alignment horizontal="center" vertical="center" wrapText="1"/>
    </xf>
    <xf numFmtId="0" fontId="14" fillId="5" borderId="1" xfId="0" applyFont="1" applyFill="1" applyBorder="1" applyAlignment="1">
      <alignment horizontal="center" vertical="center" wrapText="1"/>
    </xf>
    <xf numFmtId="177" fontId="16" fillId="45" borderId="1" xfId="0" applyNumberFormat="1" applyFont="1" applyFill="1" applyBorder="1" applyAlignment="1">
      <alignment horizontal="center" vertical="center"/>
    </xf>
    <xf numFmtId="177" fontId="16" fillId="46" borderId="1" xfId="0" applyNumberFormat="1" applyFont="1" applyFill="1" applyBorder="1" applyAlignment="1">
      <alignment horizontal="center" vertical="center"/>
    </xf>
    <xf numFmtId="2" fontId="11" fillId="13" borderId="1" xfId="0" applyNumberFormat="1" applyFont="1" applyFill="1" applyBorder="1" applyAlignment="1">
      <alignment horizontal="center" vertical="center"/>
    </xf>
    <xf numFmtId="2" fontId="11" fillId="17" borderId="1" xfId="0" applyNumberFormat="1" applyFont="1" applyFill="1" applyBorder="1" applyAlignment="1">
      <alignment horizontal="center" vertical="center"/>
    </xf>
    <xf numFmtId="0" fontId="20" fillId="0" borderId="1" xfId="0" applyFont="1" applyFill="1" applyBorder="1" applyAlignment="1">
      <alignment horizontal="center" vertical="center"/>
    </xf>
    <xf numFmtId="10" fontId="12" fillId="3" borderId="1" xfId="0" applyNumberFormat="1" applyFont="1" applyFill="1" applyBorder="1" applyAlignment="1">
      <alignment vertical="center" wrapText="1"/>
    </xf>
    <xf numFmtId="177" fontId="16" fillId="47" borderId="1" xfId="0" applyNumberFormat="1" applyFont="1" applyFill="1" applyBorder="1" applyAlignment="1">
      <alignment horizontal="center" vertical="center" wrapText="1"/>
    </xf>
    <xf numFmtId="10" fontId="17" fillId="3" borderId="1" xfId="0" applyNumberFormat="1" applyFont="1" applyFill="1" applyBorder="1" applyAlignment="1">
      <alignment horizontal="left" vertical="center" wrapText="1"/>
    </xf>
    <xf numFmtId="10" fontId="19" fillId="3" borderId="1" xfId="0" applyNumberFormat="1" applyFont="1" applyFill="1" applyBorder="1" applyAlignment="1">
      <alignment horizontal="center" vertical="center"/>
    </xf>
    <xf numFmtId="0" fontId="25" fillId="0" borderId="1" xfId="0" applyFont="1" applyBorder="1" applyAlignment="1">
      <alignment horizontal="center" vertical="center"/>
    </xf>
    <xf numFmtId="2" fontId="11" fillId="48" borderId="1" xfId="0" applyNumberFormat="1" applyFont="1" applyFill="1" applyBorder="1" applyAlignment="1">
      <alignment horizontal="center" vertical="center"/>
    </xf>
    <xf numFmtId="2" fontId="11" fillId="49" borderId="1" xfId="0" applyNumberFormat="1" applyFont="1" applyFill="1" applyBorder="1" applyAlignment="1">
      <alignment horizontal="center" vertical="center"/>
    </xf>
    <xf numFmtId="2" fontId="11" fillId="50" borderId="1" xfId="0" applyNumberFormat="1" applyFont="1" applyFill="1" applyBorder="1" applyAlignment="1">
      <alignment horizontal="center" vertical="center"/>
    </xf>
    <xf numFmtId="177" fontId="16" fillId="51" borderId="1" xfId="0" applyNumberFormat="1" applyFont="1" applyFill="1" applyBorder="1" applyAlignment="1">
      <alignment horizontal="center" vertical="center"/>
    </xf>
    <xf numFmtId="0" fontId="18" fillId="0" borderId="1" xfId="0" applyFont="1" applyFill="1" applyBorder="1" applyAlignment="1">
      <alignment horizontal="center" vertical="center" wrapText="1"/>
    </xf>
    <xf numFmtId="177" fontId="16" fillId="52" borderId="1" xfId="0" applyNumberFormat="1" applyFont="1" applyFill="1" applyBorder="1" applyAlignment="1">
      <alignment horizontal="center" vertical="center"/>
    </xf>
    <xf numFmtId="177" fontId="16" fillId="53" borderId="1" xfId="0" applyNumberFormat="1" applyFont="1" applyFill="1" applyBorder="1" applyAlignment="1">
      <alignment horizontal="center" vertical="center"/>
    </xf>
    <xf numFmtId="2" fontId="20" fillId="22" borderId="1" xfId="0" applyNumberFormat="1" applyFont="1" applyFill="1" applyBorder="1" applyAlignment="1">
      <alignment horizontal="center" vertical="center"/>
    </xf>
    <xf numFmtId="177" fontId="16" fillId="54" borderId="1" xfId="0" applyNumberFormat="1" applyFont="1" applyFill="1" applyBorder="1" applyAlignment="1">
      <alignment horizontal="center" vertical="center"/>
    </xf>
    <xf numFmtId="177" fontId="16" fillId="55" borderId="1" xfId="0" applyNumberFormat="1" applyFont="1" applyFill="1" applyBorder="1" applyAlignment="1">
      <alignment horizontal="center" vertical="center" wrapText="1"/>
    </xf>
    <xf numFmtId="10" fontId="18" fillId="3" borderId="1" xfId="0" applyNumberFormat="1" applyFont="1" applyFill="1" applyBorder="1" applyAlignment="1">
      <alignment horizontal="left" vertical="center" wrapText="1"/>
    </xf>
    <xf numFmtId="10" fontId="18" fillId="3" borderId="1" xfId="0" applyNumberFormat="1" applyFont="1" applyFill="1" applyBorder="1" applyAlignment="1">
      <alignment horizontal="center" vertical="center" wrapText="1"/>
    </xf>
    <xf numFmtId="2" fontId="19" fillId="3" borderId="1" xfId="0" applyNumberFormat="1" applyFont="1" applyFill="1" applyBorder="1" applyAlignment="1">
      <alignment horizontal="center" vertical="center"/>
    </xf>
    <xf numFmtId="10" fontId="20" fillId="29" borderId="1" xfId="0" applyNumberFormat="1" applyFont="1" applyFill="1" applyBorder="1" applyAlignment="1">
      <alignment horizontal="center" vertical="center"/>
    </xf>
    <xf numFmtId="10" fontId="20" fillId="56" borderId="1" xfId="0" applyNumberFormat="1" applyFont="1" applyFill="1" applyBorder="1" applyAlignment="1">
      <alignment horizontal="center" vertical="center"/>
    </xf>
    <xf numFmtId="10" fontId="11" fillId="57" borderId="1" xfId="0" applyNumberFormat="1" applyFont="1" applyFill="1" applyBorder="1" applyAlignment="1">
      <alignment horizontal="center" vertical="center"/>
    </xf>
    <xf numFmtId="177" fontId="16" fillId="58" borderId="1" xfId="0" applyNumberFormat="1" applyFont="1" applyFill="1" applyBorder="1" applyAlignment="1">
      <alignment horizontal="center" vertical="center" wrapText="1"/>
    </xf>
    <xf numFmtId="10" fontId="20" fillId="59" borderId="1" xfId="0" applyNumberFormat="1" applyFont="1" applyFill="1" applyBorder="1" applyAlignment="1">
      <alignment horizontal="center" vertical="center"/>
    </xf>
    <xf numFmtId="10" fontId="11" fillId="60" borderId="1" xfId="0" applyNumberFormat="1" applyFont="1" applyFill="1" applyBorder="1" applyAlignment="1">
      <alignment horizontal="center" vertical="center"/>
    </xf>
    <xf numFmtId="177" fontId="16" fillId="61" borderId="1" xfId="0" applyNumberFormat="1" applyFont="1" applyFill="1" applyBorder="1" applyAlignment="1">
      <alignment horizontal="center" vertical="center"/>
    </xf>
    <xf numFmtId="10" fontId="11" fillId="62" borderId="1" xfId="0" applyNumberFormat="1" applyFont="1" applyFill="1" applyBorder="1" applyAlignment="1">
      <alignment horizontal="center" vertical="center"/>
    </xf>
    <xf numFmtId="10" fontId="11" fillId="63" borderId="1" xfId="0" applyNumberFormat="1" applyFont="1" applyFill="1" applyBorder="1" applyAlignment="1">
      <alignment horizontal="center" vertical="center"/>
    </xf>
    <xf numFmtId="177" fontId="16" fillId="64" borderId="1" xfId="0" applyNumberFormat="1" applyFont="1" applyFill="1" applyBorder="1" applyAlignment="1">
      <alignment horizontal="center" vertical="center"/>
    </xf>
    <xf numFmtId="10" fontId="20" fillId="65" borderId="1" xfId="0" applyNumberFormat="1" applyFont="1" applyFill="1" applyBorder="1" applyAlignment="1">
      <alignment horizontal="center" vertical="center"/>
    </xf>
    <xf numFmtId="10" fontId="20" fillId="66" borderId="1" xfId="0" applyNumberFormat="1" applyFont="1" applyFill="1" applyBorder="1" applyAlignment="1">
      <alignment horizontal="center" vertical="center"/>
    </xf>
    <xf numFmtId="10" fontId="20" fillId="67" borderId="1" xfId="0" applyNumberFormat="1" applyFont="1" applyFill="1" applyBorder="1" applyAlignment="1">
      <alignment horizontal="center" vertical="center"/>
    </xf>
    <xf numFmtId="10" fontId="11" fillId="37" borderId="1" xfId="0" applyNumberFormat="1" applyFont="1" applyFill="1" applyBorder="1" applyAlignment="1">
      <alignment horizontal="center" vertical="center"/>
    </xf>
    <xf numFmtId="177" fontId="16" fillId="68" borderId="1" xfId="0" applyNumberFormat="1" applyFont="1" applyFill="1" applyBorder="1" applyAlignment="1">
      <alignment horizontal="center" vertical="center" wrapText="1"/>
    </xf>
    <xf numFmtId="2" fontId="20" fillId="69" borderId="1" xfId="0" applyNumberFormat="1" applyFont="1" applyFill="1" applyBorder="1" applyAlignment="1">
      <alignment horizontal="center" vertical="center"/>
    </xf>
    <xf numFmtId="177" fontId="16" fillId="70" borderId="1" xfId="0" applyNumberFormat="1" applyFont="1" applyFill="1" applyBorder="1" applyAlignment="1">
      <alignment horizontal="center" vertical="center" wrapText="1"/>
    </xf>
    <xf numFmtId="177" fontId="16" fillId="71" borderId="1" xfId="0" applyNumberFormat="1" applyFont="1" applyFill="1" applyBorder="1" applyAlignment="1">
      <alignment horizontal="center" vertical="center" wrapText="1"/>
    </xf>
    <xf numFmtId="2" fontId="20" fillId="72" borderId="1" xfId="0" applyNumberFormat="1" applyFont="1" applyFill="1" applyBorder="1" applyAlignment="1">
      <alignment horizontal="center" vertical="center"/>
    </xf>
    <xf numFmtId="177" fontId="16" fillId="73" borderId="1" xfId="0" applyNumberFormat="1" applyFont="1" applyFill="1" applyBorder="1" applyAlignment="1">
      <alignment horizontal="center" vertical="center" wrapText="1"/>
    </xf>
    <xf numFmtId="177" fontId="16" fillId="74" borderId="1" xfId="0" applyNumberFormat="1" applyFont="1" applyFill="1" applyBorder="1" applyAlignment="1">
      <alignment horizontal="center" vertical="center" wrapText="1"/>
    </xf>
    <xf numFmtId="10" fontId="11" fillId="75" borderId="1" xfId="0" applyNumberFormat="1" applyFont="1" applyFill="1" applyBorder="1" applyAlignment="1">
      <alignment horizontal="center" vertical="center"/>
    </xf>
    <xf numFmtId="10" fontId="20" fillId="76" borderId="1" xfId="0" applyNumberFormat="1" applyFont="1" applyFill="1" applyBorder="1" applyAlignment="1">
      <alignment horizontal="center" vertical="center"/>
    </xf>
    <xf numFmtId="10" fontId="20" fillId="77" borderId="1" xfId="0" applyNumberFormat="1" applyFont="1" applyFill="1" applyBorder="1" applyAlignment="1">
      <alignment horizontal="center" vertical="center"/>
    </xf>
    <xf numFmtId="10" fontId="11" fillId="78" borderId="1" xfId="0" applyNumberFormat="1" applyFont="1" applyFill="1" applyBorder="1" applyAlignment="1">
      <alignment horizontal="center" vertical="center"/>
    </xf>
    <xf numFmtId="10" fontId="20" fillId="79" borderId="1" xfId="0" applyNumberFormat="1" applyFont="1" applyFill="1" applyBorder="1" applyAlignment="1">
      <alignment horizontal="center" vertical="center"/>
    </xf>
    <xf numFmtId="10" fontId="11" fillId="80" borderId="1" xfId="0" applyNumberFormat="1" applyFont="1" applyFill="1" applyBorder="1" applyAlignment="1">
      <alignment horizontal="center" vertical="center"/>
    </xf>
    <xf numFmtId="10" fontId="11" fillId="81" borderId="1" xfId="0" applyNumberFormat="1" applyFont="1" applyFill="1" applyBorder="1" applyAlignment="1">
      <alignment horizontal="center" vertical="center"/>
    </xf>
    <xf numFmtId="10" fontId="11" fillId="82" borderId="1" xfId="0" applyNumberFormat="1" applyFont="1" applyFill="1" applyBorder="1" applyAlignment="1">
      <alignment horizontal="center" vertical="center"/>
    </xf>
    <xf numFmtId="0" fontId="13" fillId="3" borderId="1" xfId="0" applyFont="1" applyFill="1" applyBorder="1" applyAlignment="1">
      <alignment horizontal="center" vertical="center" wrapText="1"/>
    </xf>
    <xf numFmtId="4" fontId="17" fillId="3" borderId="1" xfId="0" applyNumberFormat="1" applyFont="1" applyFill="1" applyBorder="1" applyAlignment="1">
      <alignment horizontal="left" vertical="center" wrapText="1"/>
    </xf>
    <xf numFmtId="0" fontId="15" fillId="3" borderId="1" xfId="0" applyFont="1" applyFill="1" applyBorder="1" applyAlignment="1">
      <alignment vertical="center"/>
    </xf>
    <xf numFmtId="4" fontId="19" fillId="3" borderId="1" xfId="0" applyNumberFormat="1" applyFont="1" applyFill="1" applyBorder="1" applyAlignment="1">
      <alignment horizontal="center" vertical="center"/>
    </xf>
    <xf numFmtId="10" fontId="18" fillId="30"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177" fontId="16" fillId="83" borderId="1" xfId="0" applyNumberFormat="1" applyFont="1" applyFill="1" applyBorder="1" applyAlignment="1">
      <alignment horizontal="center" vertical="center"/>
    </xf>
    <xf numFmtId="0" fontId="26" fillId="3" borderId="1" xfId="0" applyFont="1" applyFill="1" applyBorder="1" applyAlignment="1">
      <alignment horizontal="left" vertical="center" wrapText="1"/>
    </xf>
    <xf numFmtId="177" fontId="16" fillId="84"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16" fillId="85" borderId="1" xfId="0" applyNumberFormat="1" applyFont="1" applyFill="1" applyBorder="1" applyAlignment="1">
      <alignment horizontal="center" vertical="center"/>
    </xf>
    <xf numFmtId="2" fontId="11" fillId="25" borderId="1" xfId="0" applyNumberFormat="1" applyFont="1" applyFill="1" applyBorder="1" applyAlignment="1">
      <alignment horizontal="center" vertical="center"/>
    </xf>
    <xf numFmtId="2" fontId="11" fillId="26" borderId="1" xfId="0" applyNumberFormat="1" applyFont="1" applyFill="1" applyBorder="1" applyAlignment="1">
      <alignment horizontal="center" vertical="center"/>
    </xf>
    <xf numFmtId="2" fontId="11" fillId="24" borderId="1" xfId="0" applyNumberFormat="1" applyFont="1" applyFill="1" applyBorder="1" applyAlignment="1">
      <alignment horizontal="center" vertical="center"/>
    </xf>
    <xf numFmtId="10" fontId="11" fillId="86" borderId="1" xfId="0" applyNumberFormat="1" applyFont="1" applyFill="1" applyBorder="1" applyAlignment="1">
      <alignment horizontal="center" vertical="center"/>
    </xf>
    <xf numFmtId="2" fontId="11" fillId="87" borderId="1" xfId="0" applyNumberFormat="1" applyFont="1" applyFill="1" applyBorder="1" applyAlignment="1">
      <alignment horizontal="center" vertical="center"/>
    </xf>
    <xf numFmtId="177" fontId="16" fillId="88" borderId="1" xfId="0" applyNumberFormat="1" applyFont="1" applyFill="1" applyBorder="1" applyAlignment="1">
      <alignment horizontal="center" vertical="center"/>
    </xf>
    <xf numFmtId="2" fontId="11" fillId="32" borderId="1" xfId="0" applyNumberFormat="1" applyFont="1" applyFill="1" applyBorder="1" applyAlignment="1">
      <alignment horizontal="center" vertical="center"/>
    </xf>
    <xf numFmtId="2" fontId="20" fillId="0" borderId="1" xfId="0" applyNumberFormat="1" applyFont="1" applyBorder="1" applyAlignment="1">
      <alignment horizontal="center" vertical="center"/>
    </xf>
    <xf numFmtId="10" fontId="20" fillId="89" borderId="1" xfId="0" applyNumberFormat="1" applyFont="1" applyFill="1" applyBorder="1" applyAlignment="1">
      <alignment horizontal="center" vertical="center"/>
    </xf>
    <xf numFmtId="0" fontId="3" fillId="0" borderId="1" xfId="0" applyFont="1" applyBorder="1" applyAlignment="1">
      <alignment vertical="center"/>
    </xf>
    <xf numFmtId="177" fontId="16" fillId="90" borderId="1" xfId="0" applyNumberFormat="1" applyFont="1" applyFill="1" applyBorder="1" applyAlignment="1">
      <alignment horizontal="center" vertical="center"/>
    </xf>
    <xf numFmtId="49" fontId="19" fillId="3" borderId="1" xfId="0" applyNumberFormat="1" applyFont="1" applyFill="1" applyBorder="1" applyAlignment="1">
      <alignment horizontal="center" vertical="center"/>
    </xf>
    <xf numFmtId="10" fontId="21" fillId="0" borderId="1" xfId="0" applyNumberFormat="1" applyFont="1" applyFill="1" applyBorder="1" applyAlignment="1">
      <alignment horizontal="center" vertical="center"/>
    </xf>
    <xf numFmtId="10" fontId="20" fillId="0" borderId="1" xfId="0" applyNumberFormat="1" applyFont="1" applyBorder="1" applyAlignment="1">
      <alignment horizontal="center" vertical="center"/>
    </xf>
    <xf numFmtId="10" fontId="11" fillId="91" borderId="1" xfId="0" applyNumberFormat="1" applyFont="1" applyFill="1" applyBorder="1" applyAlignment="1">
      <alignment horizontal="center" vertical="center"/>
    </xf>
    <xf numFmtId="0" fontId="2" fillId="0" borderId="1" xfId="0" applyFont="1" applyBorder="1" applyAlignment="1">
      <alignment vertical="center"/>
    </xf>
    <xf numFmtId="10" fontId="20" fillId="92" borderId="1" xfId="0" applyNumberFormat="1" applyFont="1" applyFill="1" applyBorder="1" applyAlignment="1">
      <alignment horizontal="center" vertical="center"/>
    </xf>
    <xf numFmtId="10" fontId="20" fillId="93" borderId="1" xfId="0" applyNumberFormat="1" applyFont="1" applyFill="1" applyBorder="1" applyAlignment="1">
      <alignment horizontal="center" vertical="center"/>
    </xf>
    <xf numFmtId="10" fontId="11" fillId="94" borderId="1" xfId="0" applyNumberFormat="1" applyFont="1" applyFill="1" applyBorder="1" applyAlignment="1">
      <alignment horizontal="center" vertical="center"/>
    </xf>
    <xf numFmtId="10" fontId="11" fillId="42" borderId="1" xfId="0" applyNumberFormat="1" applyFont="1" applyFill="1" applyBorder="1" applyAlignment="1">
      <alignment horizontal="center" vertical="center"/>
    </xf>
    <xf numFmtId="10" fontId="20" fillId="95" borderId="1" xfId="0" applyNumberFormat="1" applyFont="1" applyFill="1" applyBorder="1" applyAlignment="1">
      <alignment horizontal="center" vertical="center"/>
    </xf>
    <xf numFmtId="10" fontId="11" fillId="25" borderId="1" xfId="0" applyNumberFormat="1" applyFont="1" applyFill="1" applyBorder="1" applyAlignment="1">
      <alignment horizontal="center" vertical="center" wrapText="1"/>
    </xf>
    <xf numFmtId="10" fontId="20" fillId="96" borderId="1" xfId="0" applyNumberFormat="1" applyFont="1" applyFill="1" applyBorder="1" applyAlignment="1">
      <alignment horizontal="center" vertical="center" wrapText="1"/>
    </xf>
    <xf numFmtId="10" fontId="11" fillId="2" borderId="1" xfId="0" applyNumberFormat="1" applyFont="1" applyFill="1" applyBorder="1" applyAlignment="1">
      <alignment horizontal="center" vertical="center" wrapText="1"/>
    </xf>
    <xf numFmtId="10" fontId="20" fillId="31" borderId="1" xfId="0" applyNumberFormat="1" applyFont="1" applyFill="1" applyBorder="1" applyAlignment="1">
      <alignment horizontal="center" vertical="center"/>
    </xf>
    <xf numFmtId="10" fontId="11" fillId="97" borderId="1" xfId="0" applyNumberFormat="1" applyFont="1" applyFill="1" applyBorder="1" applyAlignment="1">
      <alignment horizontal="center" vertical="center"/>
    </xf>
    <xf numFmtId="2" fontId="11" fillId="98" borderId="1" xfId="0" applyNumberFormat="1" applyFont="1" applyFill="1" applyBorder="1" applyAlignment="1">
      <alignment horizontal="center" vertical="center"/>
    </xf>
    <xf numFmtId="10" fontId="11" fillId="99" borderId="1" xfId="0" applyNumberFormat="1" applyFont="1" applyFill="1" applyBorder="1" applyAlignment="1">
      <alignment horizontal="center" vertical="center"/>
    </xf>
    <xf numFmtId="10" fontId="20" fillId="100" borderId="1" xfId="0" applyNumberFormat="1" applyFont="1" applyFill="1" applyBorder="1" applyAlignment="1">
      <alignment horizontal="center" vertical="center"/>
    </xf>
    <xf numFmtId="2" fontId="20" fillId="101" borderId="1" xfId="0" applyNumberFormat="1" applyFont="1" applyFill="1" applyBorder="1" applyAlignment="1">
      <alignment horizontal="center" vertical="center"/>
    </xf>
    <xf numFmtId="10" fontId="11" fillId="102" borderId="1" xfId="0" applyNumberFormat="1" applyFont="1" applyFill="1" applyBorder="1" applyAlignment="1">
      <alignment horizontal="center" vertical="center"/>
    </xf>
    <xf numFmtId="2" fontId="24" fillId="0" borderId="1" xfId="0" applyNumberFormat="1" applyFont="1" applyFill="1" applyBorder="1" applyAlignment="1">
      <alignment horizontal="center" vertical="center"/>
    </xf>
    <xf numFmtId="177" fontId="16" fillId="103" borderId="1" xfId="0" applyNumberFormat="1" applyFont="1" applyFill="1" applyBorder="1" applyAlignment="1">
      <alignment horizontal="center" vertical="center"/>
    </xf>
    <xf numFmtId="10" fontId="11" fillId="104" borderId="1" xfId="0" applyNumberFormat="1" applyFont="1" applyFill="1" applyBorder="1" applyAlignment="1">
      <alignment horizontal="center" vertical="center"/>
    </xf>
    <xf numFmtId="10" fontId="20" fillId="69" borderId="1" xfId="0" applyNumberFormat="1" applyFont="1" applyFill="1" applyBorder="1" applyAlignment="1">
      <alignment horizontal="center" vertical="center"/>
    </xf>
    <xf numFmtId="10" fontId="20" fillId="6" borderId="1" xfId="0" applyNumberFormat="1" applyFont="1" applyFill="1" applyBorder="1" applyAlignment="1">
      <alignment horizontal="center" vertical="center"/>
    </xf>
    <xf numFmtId="10" fontId="19" fillId="3" borderId="1" xfId="0" applyNumberFormat="1" applyFont="1" applyFill="1" applyBorder="1" applyAlignment="1">
      <alignment horizontal="center" vertical="center" wrapText="1"/>
    </xf>
    <xf numFmtId="10" fontId="20" fillId="0" borderId="1" xfId="0" applyNumberFormat="1" applyFont="1" applyFill="1" applyBorder="1" applyAlignment="1">
      <alignment horizontal="center" vertical="center" wrapText="1"/>
    </xf>
    <xf numFmtId="10" fontId="20" fillId="105" borderId="1" xfId="0" applyNumberFormat="1" applyFont="1" applyFill="1" applyBorder="1" applyAlignment="1">
      <alignment horizontal="center" vertical="center"/>
    </xf>
    <xf numFmtId="2" fontId="11" fillId="106" borderId="1" xfId="0" applyNumberFormat="1" applyFont="1" applyFill="1" applyBorder="1" applyAlignment="1">
      <alignment horizontal="center" vertical="center"/>
    </xf>
    <xf numFmtId="177" fontId="16" fillId="107" borderId="1" xfId="0" applyNumberFormat="1" applyFont="1" applyFill="1" applyBorder="1" applyAlignment="1">
      <alignment horizontal="center" vertical="center"/>
    </xf>
    <xf numFmtId="10" fontId="11" fillId="13" borderId="1" xfId="0" applyNumberFormat="1" applyFont="1" applyFill="1" applyBorder="1" applyAlignment="1">
      <alignment horizontal="center" vertical="center" wrapText="1"/>
    </xf>
    <xf numFmtId="2" fontId="11" fillId="108" borderId="1" xfId="0" applyNumberFormat="1" applyFont="1" applyFill="1" applyBorder="1" applyAlignment="1">
      <alignment horizontal="center" vertical="center"/>
    </xf>
    <xf numFmtId="10" fontId="20" fillId="109" borderId="1" xfId="0" applyNumberFormat="1" applyFont="1" applyFill="1" applyBorder="1" applyAlignment="1">
      <alignment horizontal="center" vertical="center"/>
    </xf>
    <xf numFmtId="49" fontId="27" fillId="3" borderId="1" xfId="0" applyNumberFormat="1" applyFont="1" applyFill="1" applyBorder="1" applyAlignment="1">
      <alignment horizontal="center" vertical="center" wrapText="1"/>
    </xf>
    <xf numFmtId="2" fontId="28" fillId="0" borderId="1" xfId="0" applyNumberFormat="1" applyFont="1" applyFill="1" applyBorder="1" applyAlignment="1">
      <alignment horizontal="center" vertical="center"/>
    </xf>
    <xf numFmtId="2" fontId="29" fillId="2" borderId="1" xfId="0" applyNumberFormat="1" applyFont="1" applyFill="1" applyBorder="1" applyAlignment="1">
      <alignment horizontal="center" vertical="center"/>
    </xf>
    <xf numFmtId="10" fontId="11" fillId="110" borderId="1" xfId="0" applyNumberFormat="1" applyFont="1" applyFill="1" applyBorder="1" applyAlignment="1">
      <alignment horizontal="center" vertical="center"/>
    </xf>
    <xf numFmtId="2" fontId="11" fillId="25" borderId="1" xfId="0" applyNumberFormat="1" applyFont="1" applyFill="1" applyBorder="1" applyAlignment="1">
      <alignment horizontal="center" vertical="center" wrapText="1"/>
    </xf>
    <xf numFmtId="0" fontId="0" fillId="0" borderId="0" xfId="0" applyAlignment="1">
      <alignment horizontal="center" vertical="center" wrapText="1"/>
    </xf>
    <xf numFmtId="49" fontId="3" fillId="0" borderId="0" xfId="0" applyNumberFormat="1" applyFont="1" applyAlignment="1">
      <alignment horizontal="center" vertical="center" wrapText="1"/>
    </xf>
    <xf numFmtId="0" fontId="18" fillId="0" borderId="2" xfId="0" applyFont="1" applyBorder="1" applyAlignment="1">
      <alignment horizontal="center" vertical="center" wrapText="1"/>
    </xf>
    <xf numFmtId="2" fontId="20" fillId="6" borderId="1" xfId="0" applyNumberFormat="1" applyFont="1" applyFill="1" applyBorder="1" applyAlignment="1">
      <alignment horizontal="center" vertical="center"/>
    </xf>
    <xf numFmtId="2" fontId="20" fillId="7" borderId="1" xfId="0" applyNumberFormat="1" applyFont="1" applyFill="1" applyBorder="1" applyAlignment="1">
      <alignment horizontal="center" vertical="center"/>
    </xf>
    <xf numFmtId="10" fontId="20"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2" fontId="50" fillId="142" borderId="1" xfId="0" applyNumberFormat="1" applyFont="1" applyFill="1" applyBorder="1" applyAlignment="1">
      <alignment horizontal="center" vertical="center"/>
    </xf>
    <xf numFmtId="2" fontId="51" fillId="143" borderId="1" xfId="0" applyNumberFormat="1" applyFont="1" applyFill="1" applyBorder="1" applyAlignment="1">
      <alignment horizontal="center" vertical="center"/>
    </xf>
    <xf numFmtId="10" fontId="52" fillId="0" borderId="1" xfId="0" applyNumberFormat="1" applyFont="1" applyFill="1" applyBorder="1" applyAlignment="1">
      <alignment horizontal="center" vertical="center"/>
    </xf>
    <xf numFmtId="2" fontId="53" fillId="0" borderId="1" xfId="0" applyNumberFormat="1" applyFont="1" applyFill="1" applyBorder="1" applyAlignment="1">
      <alignment horizontal="center" vertical="center"/>
    </xf>
    <xf numFmtId="10" fontId="11" fillId="9" borderId="1" xfId="0" applyNumberFormat="1" applyFont="1" applyFill="1" applyBorder="1" applyAlignment="1">
      <alignment horizontal="center" vertical="center"/>
    </xf>
    <xf numFmtId="10" fontId="54" fillId="144" borderId="1" xfId="0" applyNumberFormat="1" applyFont="1" applyFill="1" applyBorder="1" applyAlignment="1">
      <alignment horizontal="center" vertical="center"/>
    </xf>
    <xf numFmtId="10" fontId="11" fillId="12" borderId="1" xfId="0" applyNumberFormat="1" applyFont="1" applyFill="1" applyBorder="1" applyAlignment="1">
      <alignment horizontal="center" vertical="center"/>
    </xf>
    <xf numFmtId="10" fontId="55" fillId="145" borderId="1" xfId="0" applyNumberFormat="1" applyFont="1" applyFill="1" applyBorder="1" applyAlignment="1">
      <alignment horizontal="center" vertical="center"/>
    </xf>
    <xf numFmtId="10" fontId="11" fillId="13" borderId="1" xfId="0" applyNumberFormat="1" applyFont="1" applyFill="1" applyBorder="1" applyAlignment="1">
      <alignment horizontal="center" vertical="center"/>
    </xf>
    <xf numFmtId="10" fontId="56" fillId="146" borderId="1" xfId="0" applyNumberFormat="1" applyFont="1" applyFill="1" applyBorder="1" applyAlignment="1">
      <alignment horizontal="center" vertical="center"/>
    </xf>
    <xf numFmtId="10" fontId="20" fillId="16" borderId="1" xfId="0" applyNumberFormat="1" applyFont="1" applyFill="1" applyBorder="1" applyAlignment="1">
      <alignment horizontal="center" vertical="center"/>
    </xf>
    <xf numFmtId="10" fontId="57" fillId="147" borderId="1" xfId="0" applyNumberFormat="1" applyFont="1" applyFill="1" applyBorder="1" applyAlignment="1">
      <alignment horizontal="center" vertical="center"/>
    </xf>
    <xf numFmtId="10" fontId="11" fillId="17" borderId="1" xfId="0" applyNumberFormat="1" applyFont="1" applyFill="1" applyBorder="1" applyAlignment="1">
      <alignment horizontal="center" vertical="center"/>
    </xf>
    <xf numFmtId="10" fontId="58" fillId="148" borderId="1" xfId="0" applyNumberFormat="1" applyFont="1" applyFill="1" applyBorder="1" applyAlignment="1">
      <alignment horizontal="center" vertical="center"/>
    </xf>
    <xf numFmtId="10" fontId="20" fillId="19" borderId="1" xfId="0" applyNumberFormat="1" applyFont="1" applyFill="1" applyBorder="1" applyAlignment="1">
      <alignment horizontal="center" vertical="center"/>
    </xf>
    <xf numFmtId="10" fontId="59" fillId="149" borderId="1" xfId="0" applyNumberFormat="1" applyFont="1" applyFill="1" applyBorder="1" applyAlignment="1">
      <alignment horizontal="center" vertical="center"/>
    </xf>
    <xf numFmtId="10" fontId="20" fillId="22" borderId="1" xfId="0" applyNumberFormat="1" applyFont="1" applyFill="1" applyBorder="1" applyAlignment="1">
      <alignment horizontal="center" vertical="center"/>
    </xf>
    <xf numFmtId="10" fontId="60" fillId="150" borderId="1" xfId="0" applyNumberFormat="1" applyFont="1" applyFill="1" applyBorder="1" applyAlignment="1">
      <alignment horizontal="center" vertical="center"/>
    </xf>
    <xf numFmtId="10" fontId="11" fillId="24" borderId="1" xfId="0" applyNumberFormat="1" applyFont="1" applyFill="1" applyBorder="1" applyAlignment="1">
      <alignment horizontal="center" vertical="center"/>
    </xf>
    <xf numFmtId="10" fontId="61" fillId="151" borderId="1" xfId="0" applyNumberFormat="1" applyFont="1" applyFill="1" applyBorder="1" applyAlignment="1">
      <alignment horizontal="center" vertical="center"/>
    </xf>
    <xf numFmtId="10" fontId="11" fillId="25" borderId="1" xfId="0" applyNumberFormat="1" applyFont="1" applyFill="1" applyBorder="1" applyAlignment="1">
      <alignment horizontal="center" vertical="center"/>
    </xf>
    <xf numFmtId="10" fontId="11" fillId="26" borderId="1" xfId="0" applyNumberFormat="1" applyFont="1" applyFill="1" applyBorder="1" applyAlignment="1">
      <alignment horizontal="center" vertical="center"/>
    </xf>
    <xf numFmtId="10" fontId="62" fillId="152" borderId="1" xfId="0" applyNumberFormat="1" applyFont="1" applyFill="1" applyBorder="1" applyAlignment="1">
      <alignment horizontal="center" vertical="center"/>
    </xf>
    <xf numFmtId="10" fontId="63" fillId="153" borderId="1" xfId="0" applyNumberFormat="1" applyFont="1" applyFill="1" applyBorder="1" applyAlignment="1">
      <alignment horizontal="center" vertical="center"/>
    </xf>
    <xf numFmtId="10" fontId="20" fillId="27" borderId="1" xfId="0" applyNumberFormat="1" applyFont="1" applyFill="1" applyBorder="1" applyAlignment="1">
      <alignment horizontal="center" vertical="center"/>
    </xf>
    <xf numFmtId="10" fontId="64" fillId="154" borderId="1" xfId="0" applyNumberFormat="1" applyFont="1" applyFill="1" applyBorder="1" applyAlignment="1">
      <alignment horizontal="center" vertical="center"/>
    </xf>
    <xf numFmtId="2" fontId="20" fillId="29" borderId="1" xfId="0" applyNumberFormat="1" applyFont="1" applyFill="1" applyBorder="1" applyAlignment="1">
      <alignment horizontal="center" vertical="center"/>
    </xf>
    <xf numFmtId="10" fontId="20" fillId="30" borderId="1" xfId="0" applyNumberFormat="1" applyFont="1" applyFill="1" applyBorder="1" applyAlignment="1">
      <alignment horizontal="center" vertical="center"/>
    </xf>
    <xf numFmtId="2" fontId="65" fillId="155" borderId="1" xfId="0" applyNumberFormat="1" applyFont="1" applyFill="1" applyBorder="1" applyAlignment="1">
      <alignment horizontal="center" vertical="center"/>
    </xf>
    <xf numFmtId="10" fontId="66" fillId="156" borderId="1" xfId="0" applyNumberFormat="1" applyFont="1" applyFill="1" applyBorder="1" applyAlignment="1">
      <alignment horizontal="center" vertical="center"/>
    </xf>
    <xf numFmtId="2" fontId="20" fillId="27" borderId="1" xfId="0" applyNumberFormat="1" applyFont="1" applyFill="1" applyBorder="1" applyAlignment="1">
      <alignment horizontal="center" vertical="center"/>
    </xf>
    <xf numFmtId="2" fontId="67" fillId="157" borderId="1" xfId="0" applyNumberFormat="1" applyFont="1" applyFill="1" applyBorder="1" applyAlignment="1">
      <alignment horizontal="center" vertical="center"/>
    </xf>
    <xf numFmtId="10" fontId="68" fillId="0" borderId="1" xfId="0" applyNumberFormat="1" applyFont="1" applyFill="1" applyBorder="1" applyAlignment="1">
      <alignment horizontal="center" vertical="center"/>
    </xf>
    <xf numFmtId="2" fontId="69" fillId="158" borderId="1" xfId="0" applyNumberFormat="1" applyFont="1" applyFill="1" applyBorder="1" applyAlignment="1">
      <alignment horizontal="center" vertical="center"/>
    </xf>
    <xf numFmtId="2" fontId="70" fillId="159" borderId="1" xfId="0" applyNumberFormat="1" applyFont="1" applyFill="1" applyBorder="1" applyAlignment="1">
      <alignment horizontal="center" vertical="center"/>
    </xf>
    <xf numFmtId="2" fontId="20" fillId="31" borderId="1" xfId="0" applyNumberFormat="1" applyFont="1" applyFill="1" applyBorder="1" applyAlignment="1">
      <alignment horizontal="center" vertical="center"/>
    </xf>
    <xf numFmtId="2" fontId="71" fillId="160" borderId="1" xfId="0" applyNumberFormat="1" applyFont="1" applyFill="1" applyBorder="1" applyAlignment="1">
      <alignment horizontal="center" vertical="center"/>
    </xf>
    <xf numFmtId="2" fontId="72" fillId="0" borderId="1" xfId="0" applyNumberFormat="1" applyFont="1" applyFill="1" applyBorder="1" applyAlignment="1">
      <alignment horizontal="center" vertical="center"/>
    </xf>
    <xf numFmtId="10" fontId="11" fillId="32" borderId="1" xfId="0" applyNumberFormat="1" applyFont="1" applyFill="1" applyBorder="1" applyAlignment="1">
      <alignment horizontal="center" vertical="center"/>
    </xf>
    <xf numFmtId="10" fontId="73" fillId="161" borderId="1" xfId="0" applyNumberFormat="1" applyFont="1" applyFill="1" applyBorder="1" applyAlignment="1">
      <alignment horizontal="center" vertical="center"/>
    </xf>
    <xf numFmtId="10" fontId="11" fillId="2" borderId="1" xfId="0" applyNumberFormat="1" applyFont="1" applyFill="1" applyBorder="1" applyAlignment="1">
      <alignment horizontal="center" vertical="center"/>
    </xf>
    <xf numFmtId="10" fontId="74" fillId="162" borderId="1" xfId="0" applyNumberFormat="1" applyFont="1" applyFill="1" applyBorder="1" applyAlignment="1">
      <alignment horizontal="center" vertical="center"/>
    </xf>
    <xf numFmtId="10" fontId="20" fillId="34" borderId="1" xfId="0" applyNumberFormat="1" applyFont="1" applyFill="1" applyBorder="1" applyAlignment="1">
      <alignment horizontal="center" vertical="center"/>
    </xf>
    <xf numFmtId="10" fontId="75" fillId="163" borderId="1" xfId="0" applyNumberFormat="1" applyFont="1" applyFill="1" applyBorder="1" applyAlignment="1">
      <alignment horizontal="center" vertical="center"/>
    </xf>
    <xf numFmtId="2" fontId="11" fillId="35" borderId="1" xfId="0" applyNumberFormat="1" applyFont="1" applyFill="1" applyBorder="1" applyAlignment="1">
      <alignment horizontal="center" vertical="center"/>
    </xf>
    <xf numFmtId="10" fontId="11" fillId="36" borderId="1" xfId="0" applyNumberFormat="1" applyFont="1" applyFill="1" applyBorder="1" applyAlignment="1">
      <alignment horizontal="center" vertical="center"/>
    </xf>
    <xf numFmtId="2" fontId="11" fillId="37" borderId="1" xfId="0" applyNumberFormat="1" applyFont="1" applyFill="1" applyBorder="1" applyAlignment="1">
      <alignment horizontal="center" vertical="center"/>
    </xf>
    <xf numFmtId="2" fontId="76" fillId="164" borderId="1" xfId="0" applyNumberFormat="1" applyFont="1" applyFill="1" applyBorder="1" applyAlignment="1">
      <alignment horizontal="center" vertical="center"/>
    </xf>
    <xf numFmtId="2" fontId="77" fillId="165" borderId="1" xfId="0" applyNumberFormat="1" applyFont="1" applyFill="1" applyBorder="1" applyAlignment="1">
      <alignment horizontal="center" vertical="center"/>
    </xf>
    <xf numFmtId="10" fontId="78" fillId="166" borderId="1" xfId="0" applyNumberFormat="1" applyFont="1" applyFill="1" applyBorder="1" applyAlignment="1">
      <alignment horizontal="center" vertical="center"/>
    </xf>
    <xf numFmtId="2" fontId="79" fillId="167" borderId="1" xfId="0" applyNumberFormat="1" applyFont="1" applyFill="1" applyBorder="1" applyAlignment="1">
      <alignment horizontal="center" vertical="center"/>
    </xf>
    <xf numFmtId="2" fontId="11" fillId="38" borderId="1" xfId="0" applyNumberFormat="1" applyFont="1" applyFill="1" applyBorder="1" applyAlignment="1">
      <alignment horizontal="center" vertical="center"/>
    </xf>
    <xf numFmtId="2" fontId="80" fillId="0" borderId="1" xfId="0" applyNumberFormat="1" applyFont="1" applyFill="1" applyBorder="1" applyAlignment="1">
      <alignment horizontal="center" vertical="center"/>
    </xf>
    <xf numFmtId="2" fontId="81" fillId="168" borderId="1" xfId="0" applyNumberFormat="1" applyFont="1" applyFill="1" applyBorder="1" applyAlignment="1">
      <alignment horizontal="center" vertical="center"/>
    </xf>
    <xf numFmtId="2" fontId="20" fillId="39" borderId="1" xfId="0" applyNumberFormat="1" applyFont="1" applyFill="1" applyBorder="1" applyAlignment="1">
      <alignment horizontal="center" vertical="center"/>
    </xf>
    <xf numFmtId="2" fontId="11" fillId="40" borderId="1" xfId="0" applyNumberFormat="1" applyFont="1" applyFill="1" applyBorder="1" applyAlignment="1">
      <alignment horizontal="center" vertical="center"/>
    </xf>
    <xf numFmtId="2" fontId="11" fillId="2" borderId="1" xfId="0" applyNumberFormat="1" applyFont="1" applyFill="1" applyBorder="1" applyAlignment="1">
      <alignment horizontal="center" vertical="center"/>
    </xf>
    <xf numFmtId="2" fontId="82" fillId="0" borderId="1" xfId="0" applyNumberFormat="1" applyFont="1" applyFill="1" applyBorder="1" applyAlignment="1">
      <alignment horizontal="center" vertical="center"/>
    </xf>
    <xf numFmtId="2" fontId="83" fillId="169" borderId="1" xfId="0" applyNumberFormat="1" applyFont="1" applyFill="1" applyBorder="1" applyAlignment="1">
      <alignment horizontal="center" vertical="center"/>
    </xf>
    <xf numFmtId="2" fontId="84" fillId="170" borderId="1" xfId="0" applyNumberFormat="1" applyFont="1" applyFill="1" applyBorder="1" applyAlignment="1">
      <alignment horizontal="center" vertical="center"/>
    </xf>
    <xf numFmtId="10" fontId="23" fillId="42" borderId="1" xfId="0" applyNumberFormat="1" applyFont="1" applyFill="1" applyBorder="1" applyAlignment="1">
      <alignment horizontal="center" vertical="center"/>
    </xf>
    <xf numFmtId="10" fontId="24" fillId="0" borderId="1" xfId="0" applyNumberFormat="1" applyFont="1" applyFill="1" applyBorder="1" applyAlignment="1">
      <alignment horizontal="center" vertical="center"/>
    </xf>
    <xf numFmtId="10" fontId="85" fillId="171" borderId="1" xfId="0" applyNumberFormat="1" applyFont="1" applyFill="1" applyBorder="1" applyAlignment="1">
      <alignment horizontal="center" vertical="center"/>
    </xf>
    <xf numFmtId="10" fontId="86" fillId="0" borderId="1" xfId="0" applyNumberFormat="1" applyFont="1" applyFill="1" applyBorder="1" applyAlignment="1">
      <alignment horizontal="center" vertical="center"/>
    </xf>
    <xf numFmtId="10" fontId="11" fillId="43" borderId="1" xfId="0" applyNumberFormat="1" applyFont="1" applyFill="1" applyBorder="1" applyAlignment="1">
      <alignment horizontal="center" vertical="center"/>
    </xf>
    <xf numFmtId="10" fontId="87" fillId="172" borderId="1" xfId="0" applyNumberFormat="1" applyFont="1" applyFill="1" applyBorder="1" applyAlignment="1">
      <alignment horizontal="center" vertical="center"/>
    </xf>
    <xf numFmtId="2" fontId="11" fillId="13" borderId="1" xfId="0" applyNumberFormat="1" applyFont="1" applyFill="1" applyBorder="1" applyAlignment="1">
      <alignment horizontal="center" vertical="center"/>
    </xf>
    <xf numFmtId="2" fontId="88" fillId="173" borderId="1" xfId="0" applyNumberFormat="1" applyFont="1" applyFill="1" applyBorder="1" applyAlignment="1">
      <alignment horizontal="center" vertical="center"/>
    </xf>
    <xf numFmtId="2" fontId="11" fillId="17" borderId="1" xfId="0" applyNumberFormat="1" applyFont="1" applyFill="1" applyBorder="1" applyAlignment="1">
      <alignment horizontal="center" vertical="center"/>
    </xf>
    <xf numFmtId="2" fontId="89" fillId="174" borderId="1" xfId="0" applyNumberFormat="1" applyFont="1" applyFill="1" applyBorder="1" applyAlignment="1">
      <alignment horizontal="center" vertical="center"/>
    </xf>
    <xf numFmtId="0" fontId="90" fillId="0" borderId="1" xfId="0" applyFont="1" applyFill="1" applyBorder="1" applyAlignment="1">
      <alignment horizontal="center" vertical="center"/>
    </xf>
    <xf numFmtId="2" fontId="11" fillId="48" borderId="1" xfId="0" applyNumberFormat="1" applyFont="1" applyFill="1" applyBorder="1" applyAlignment="1">
      <alignment horizontal="center" vertical="center"/>
    </xf>
    <xf numFmtId="2" fontId="11" fillId="49" borderId="1" xfId="0" applyNumberFormat="1" applyFont="1" applyFill="1" applyBorder="1" applyAlignment="1">
      <alignment horizontal="center" vertical="center"/>
    </xf>
    <xf numFmtId="2" fontId="11" fillId="50" borderId="1" xfId="0" applyNumberFormat="1" applyFont="1" applyFill="1" applyBorder="1" applyAlignment="1">
      <alignment horizontal="center" vertical="center"/>
    </xf>
    <xf numFmtId="2" fontId="91" fillId="175" borderId="1" xfId="0" applyNumberFormat="1" applyFont="1" applyFill="1" applyBorder="1" applyAlignment="1">
      <alignment horizontal="center" vertical="center"/>
    </xf>
    <xf numFmtId="2" fontId="92" fillId="176" borderId="1" xfId="0" applyNumberFormat="1" applyFont="1" applyFill="1" applyBorder="1" applyAlignment="1">
      <alignment horizontal="center" vertical="center"/>
    </xf>
    <xf numFmtId="2" fontId="93" fillId="177" borderId="1" xfId="0" applyNumberFormat="1" applyFont="1" applyFill="1" applyBorder="1" applyAlignment="1">
      <alignment horizontal="center" vertical="center"/>
    </xf>
    <xf numFmtId="0" fontId="94" fillId="0" borderId="1" xfId="0" applyFont="1" applyFill="1" applyBorder="1" applyAlignment="1">
      <alignment horizontal="center" vertical="center" wrapText="1"/>
    </xf>
    <xf numFmtId="2" fontId="95" fillId="178" borderId="1" xfId="0" applyNumberFormat="1" applyFont="1" applyFill="1" applyBorder="1" applyAlignment="1">
      <alignment horizontal="center" vertical="center"/>
    </xf>
    <xf numFmtId="2" fontId="20" fillId="22" borderId="1" xfId="0" applyNumberFormat="1" applyFont="1" applyFill="1" applyBorder="1" applyAlignment="1">
      <alignment horizontal="center" vertical="center"/>
    </xf>
    <xf numFmtId="2" fontId="96" fillId="179" borderId="1" xfId="0" applyNumberFormat="1" applyFont="1" applyFill="1" applyBorder="1" applyAlignment="1">
      <alignment horizontal="center" vertical="center"/>
    </xf>
    <xf numFmtId="10" fontId="20" fillId="29" borderId="1" xfId="0" applyNumberFormat="1" applyFont="1" applyFill="1" applyBorder="1" applyAlignment="1">
      <alignment horizontal="center" vertical="center"/>
    </xf>
    <xf numFmtId="10" fontId="20" fillId="56" borderId="1" xfId="0" applyNumberFormat="1" applyFont="1" applyFill="1" applyBorder="1" applyAlignment="1">
      <alignment horizontal="center" vertical="center"/>
    </xf>
    <xf numFmtId="10" fontId="11" fillId="57" borderId="1" xfId="0" applyNumberFormat="1" applyFont="1" applyFill="1" applyBorder="1" applyAlignment="1">
      <alignment horizontal="center" vertical="center"/>
    </xf>
    <xf numFmtId="10" fontId="97" fillId="180" borderId="1" xfId="0" applyNumberFormat="1" applyFont="1" applyFill="1" applyBorder="1" applyAlignment="1">
      <alignment horizontal="center" vertical="center"/>
    </xf>
    <xf numFmtId="10" fontId="98" fillId="181" borderId="1" xfId="0" applyNumberFormat="1" applyFont="1" applyFill="1" applyBorder="1" applyAlignment="1">
      <alignment horizontal="center" vertical="center"/>
    </xf>
    <xf numFmtId="10" fontId="99" fillId="182" borderId="1" xfId="0" applyNumberFormat="1" applyFont="1" applyFill="1" applyBorder="1" applyAlignment="1">
      <alignment horizontal="center" vertical="center"/>
    </xf>
    <xf numFmtId="10" fontId="100" fillId="183" borderId="1" xfId="0" applyNumberFormat="1" applyFont="1" applyFill="1" applyBorder="1" applyAlignment="1">
      <alignment horizontal="center" vertical="center"/>
    </xf>
    <xf numFmtId="10" fontId="20" fillId="59" borderId="1" xfId="0" applyNumberFormat="1" applyFont="1" applyFill="1" applyBorder="1" applyAlignment="1">
      <alignment horizontal="center" vertical="center"/>
    </xf>
    <xf numFmtId="10" fontId="11" fillId="60" borderId="1" xfId="0" applyNumberFormat="1" applyFont="1" applyFill="1" applyBorder="1" applyAlignment="1">
      <alignment horizontal="center" vertical="center"/>
    </xf>
    <xf numFmtId="10" fontId="101" fillId="184" borderId="1" xfId="0" applyNumberFormat="1" applyFont="1" applyFill="1" applyBorder="1" applyAlignment="1">
      <alignment horizontal="center" vertical="center"/>
    </xf>
    <xf numFmtId="10" fontId="102" fillId="185" borderId="1" xfId="0" applyNumberFormat="1" applyFont="1" applyFill="1" applyBorder="1" applyAlignment="1">
      <alignment horizontal="center" vertical="center"/>
    </xf>
    <xf numFmtId="10" fontId="11" fillId="62" borderId="1" xfId="0" applyNumberFormat="1" applyFont="1" applyFill="1" applyBorder="1" applyAlignment="1">
      <alignment horizontal="center" vertical="center"/>
    </xf>
    <xf numFmtId="10" fontId="11" fillId="63" borderId="1" xfId="0" applyNumberFormat="1" applyFont="1" applyFill="1" applyBorder="1" applyAlignment="1">
      <alignment horizontal="center" vertical="center"/>
    </xf>
    <xf numFmtId="10" fontId="103" fillId="186" borderId="1" xfId="0" applyNumberFormat="1" applyFont="1" applyFill="1" applyBorder="1" applyAlignment="1">
      <alignment horizontal="center" vertical="center"/>
    </xf>
    <xf numFmtId="10" fontId="104" fillId="187" borderId="1" xfId="0" applyNumberFormat="1" applyFont="1" applyFill="1" applyBorder="1" applyAlignment="1">
      <alignment horizontal="center" vertical="center"/>
    </xf>
    <xf numFmtId="10" fontId="105" fillId="188" borderId="1" xfId="0" applyNumberFormat="1" applyFont="1" applyFill="1" applyBorder="1" applyAlignment="1">
      <alignment horizontal="center" vertical="center"/>
    </xf>
    <xf numFmtId="10" fontId="106" fillId="0" borderId="1" xfId="0" applyNumberFormat="1" applyFont="1" applyFill="1" applyBorder="1" applyAlignment="1">
      <alignment horizontal="center" vertical="center"/>
    </xf>
    <xf numFmtId="10" fontId="20" fillId="65" borderId="1" xfId="0" applyNumberFormat="1" applyFont="1" applyFill="1" applyBorder="1" applyAlignment="1">
      <alignment horizontal="center" vertical="center"/>
    </xf>
    <xf numFmtId="10" fontId="107" fillId="189" borderId="1" xfId="0" applyNumberFormat="1" applyFont="1" applyFill="1" applyBorder="1" applyAlignment="1">
      <alignment horizontal="center" vertical="center"/>
    </xf>
    <xf numFmtId="10" fontId="108" fillId="190" borderId="1" xfId="0" applyNumberFormat="1" applyFont="1" applyFill="1" applyBorder="1" applyAlignment="1">
      <alignment horizontal="center" vertical="center"/>
    </xf>
    <xf numFmtId="10" fontId="109" fillId="191" borderId="1" xfId="0" applyNumberFormat="1" applyFont="1" applyFill="1" applyBorder="1" applyAlignment="1">
      <alignment horizontal="center" vertical="center"/>
    </xf>
    <xf numFmtId="10" fontId="20" fillId="66" borderId="1" xfId="0" applyNumberFormat="1" applyFont="1" applyFill="1" applyBorder="1" applyAlignment="1">
      <alignment horizontal="center" vertical="center"/>
    </xf>
    <xf numFmtId="10" fontId="20" fillId="67" borderId="1" xfId="0" applyNumberFormat="1" applyFont="1" applyFill="1" applyBorder="1" applyAlignment="1">
      <alignment horizontal="center" vertical="center"/>
    </xf>
    <xf numFmtId="10" fontId="11" fillId="37" borderId="1" xfId="0" applyNumberFormat="1" applyFont="1" applyFill="1" applyBorder="1" applyAlignment="1">
      <alignment horizontal="center" vertical="center"/>
    </xf>
    <xf numFmtId="10" fontId="110" fillId="192" borderId="1" xfId="0" applyNumberFormat="1" applyFont="1" applyFill="1" applyBorder="1" applyAlignment="1">
      <alignment horizontal="center" vertical="center"/>
    </xf>
    <xf numFmtId="10" fontId="111" fillId="0" borderId="1" xfId="0" applyNumberFormat="1" applyFont="1" applyFill="1" applyBorder="1" applyAlignment="1">
      <alignment horizontal="center" vertical="center"/>
    </xf>
    <xf numFmtId="10" fontId="112" fillId="193" borderId="1" xfId="0" applyNumberFormat="1" applyFont="1" applyFill="1" applyBorder="1" applyAlignment="1">
      <alignment horizontal="center" vertical="center"/>
    </xf>
    <xf numFmtId="2" fontId="20" fillId="69" borderId="1" xfId="0" applyNumberFormat="1" applyFont="1" applyFill="1" applyBorder="1" applyAlignment="1">
      <alignment horizontal="center" vertical="center"/>
    </xf>
    <xf numFmtId="2" fontId="113" fillId="194" borderId="1" xfId="0" applyNumberFormat="1" applyFont="1" applyFill="1" applyBorder="1" applyAlignment="1">
      <alignment horizontal="center" vertical="center"/>
    </xf>
    <xf numFmtId="2" fontId="20" fillId="72" borderId="1" xfId="0" applyNumberFormat="1" applyFont="1" applyFill="1" applyBorder="1" applyAlignment="1">
      <alignment horizontal="center" vertical="center"/>
    </xf>
    <xf numFmtId="2" fontId="114" fillId="195" borderId="1" xfId="0" applyNumberFormat="1" applyFont="1" applyFill="1" applyBorder="1" applyAlignment="1">
      <alignment horizontal="center" vertical="center"/>
    </xf>
    <xf numFmtId="10" fontId="11" fillId="75" borderId="1" xfId="0" applyNumberFormat="1" applyFont="1" applyFill="1" applyBorder="1" applyAlignment="1">
      <alignment horizontal="center" vertical="center"/>
    </xf>
    <xf numFmtId="10" fontId="115" fillId="196" borderId="1" xfId="0" applyNumberFormat="1" applyFont="1" applyFill="1" applyBorder="1" applyAlignment="1">
      <alignment horizontal="center" vertical="center"/>
    </xf>
    <xf numFmtId="10" fontId="20" fillId="76" borderId="1" xfId="0" applyNumberFormat="1" applyFont="1" applyFill="1" applyBorder="1" applyAlignment="1">
      <alignment horizontal="center" vertical="center"/>
    </xf>
    <xf numFmtId="10" fontId="20" fillId="77" borderId="1" xfId="0" applyNumberFormat="1" applyFont="1" applyFill="1" applyBorder="1" applyAlignment="1">
      <alignment horizontal="center" vertical="center"/>
    </xf>
    <xf numFmtId="10" fontId="11" fillId="78" borderId="1" xfId="0" applyNumberFormat="1" applyFont="1" applyFill="1" applyBorder="1" applyAlignment="1">
      <alignment horizontal="center" vertical="center"/>
    </xf>
    <xf numFmtId="10" fontId="116" fillId="197" borderId="1" xfId="0" applyNumberFormat="1" applyFont="1" applyFill="1" applyBorder="1" applyAlignment="1">
      <alignment horizontal="center" vertical="center"/>
    </xf>
    <xf numFmtId="10" fontId="117" fillId="198" borderId="1" xfId="0" applyNumberFormat="1" applyFont="1" applyFill="1" applyBorder="1" applyAlignment="1">
      <alignment horizontal="center" vertical="center"/>
    </xf>
    <xf numFmtId="10" fontId="118" fillId="199" borderId="1" xfId="0" applyNumberFormat="1" applyFont="1" applyFill="1" applyBorder="1" applyAlignment="1">
      <alignment horizontal="center" vertical="center"/>
    </xf>
    <xf numFmtId="10" fontId="20" fillId="79" borderId="1" xfId="0" applyNumberFormat="1" applyFont="1" applyFill="1" applyBorder="1" applyAlignment="1">
      <alignment horizontal="center" vertical="center"/>
    </xf>
    <xf numFmtId="10" fontId="11" fillId="80" borderId="1" xfId="0" applyNumberFormat="1" applyFont="1" applyFill="1" applyBorder="1" applyAlignment="1">
      <alignment horizontal="center" vertical="center"/>
    </xf>
    <xf numFmtId="10" fontId="119" fillId="200" borderId="1" xfId="0" applyNumberFormat="1" applyFont="1" applyFill="1" applyBorder="1" applyAlignment="1">
      <alignment horizontal="center" vertical="center"/>
    </xf>
    <xf numFmtId="10" fontId="120" fillId="201" borderId="1" xfId="0" applyNumberFormat="1" applyFont="1" applyFill="1" applyBorder="1" applyAlignment="1">
      <alignment horizontal="center" vertical="center"/>
    </xf>
    <xf numFmtId="10" fontId="121" fillId="202" borderId="1" xfId="0" applyNumberFormat="1" applyFont="1" applyFill="1" applyBorder="1" applyAlignment="1">
      <alignment horizontal="center" vertical="center"/>
    </xf>
    <xf numFmtId="10" fontId="11" fillId="81" borderId="1" xfId="0" applyNumberFormat="1" applyFont="1" applyFill="1" applyBorder="1" applyAlignment="1">
      <alignment horizontal="center" vertical="center"/>
    </xf>
    <xf numFmtId="10" fontId="11" fillId="82" borderId="1" xfId="0" applyNumberFormat="1" applyFont="1" applyFill="1" applyBorder="1" applyAlignment="1">
      <alignment horizontal="center" vertical="center"/>
    </xf>
    <xf numFmtId="10" fontId="122" fillId="203" borderId="1" xfId="0" applyNumberFormat="1" applyFont="1" applyFill="1" applyBorder="1" applyAlignment="1">
      <alignment horizontal="center" vertical="center"/>
    </xf>
    <xf numFmtId="10" fontId="123" fillId="204" borderId="1" xfId="0" applyNumberFormat="1" applyFont="1" applyFill="1" applyBorder="1" applyAlignment="1">
      <alignment horizontal="center" vertical="center"/>
    </xf>
    <xf numFmtId="2" fontId="124" fillId="0" borderId="1" xfId="0" applyNumberFormat="1" applyFont="1" applyFill="1" applyBorder="1" applyAlignment="1">
      <alignment horizontal="center" vertical="center"/>
    </xf>
    <xf numFmtId="10" fontId="125" fillId="0" borderId="1" xfId="0" applyNumberFormat="1" applyFont="1" applyFill="1" applyBorder="1" applyAlignment="1">
      <alignment horizontal="center" vertical="center" wrapText="1"/>
    </xf>
    <xf numFmtId="2" fontId="126" fillId="0" borderId="1" xfId="0" applyNumberFormat="1" applyFont="1" applyFill="1" applyBorder="1" applyAlignment="1">
      <alignment horizontal="center" vertical="center"/>
    </xf>
    <xf numFmtId="2" fontId="11" fillId="25" borderId="1" xfId="0" applyNumberFormat="1" applyFont="1" applyFill="1" applyBorder="1" applyAlignment="1">
      <alignment horizontal="center" vertical="center"/>
    </xf>
    <xf numFmtId="2" fontId="11" fillId="26" borderId="1" xfId="0" applyNumberFormat="1" applyFont="1" applyFill="1" applyBorder="1" applyAlignment="1">
      <alignment horizontal="center" vertical="center"/>
    </xf>
    <xf numFmtId="2" fontId="127" fillId="205" borderId="1" xfId="0" applyNumberFormat="1" applyFont="1" applyFill="1" applyBorder="1" applyAlignment="1">
      <alignment horizontal="center" vertical="center"/>
    </xf>
    <xf numFmtId="2" fontId="128" fillId="206" borderId="1" xfId="0" applyNumberFormat="1" applyFont="1" applyFill="1" applyBorder="1" applyAlignment="1">
      <alignment horizontal="center" vertical="center"/>
    </xf>
    <xf numFmtId="2" fontId="11" fillId="24" borderId="1" xfId="0" applyNumberFormat="1" applyFont="1" applyFill="1" applyBorder="1" applyAlignment="1">
      <alignment horizontal="center" vertical="center"/>
    </xf>
    <xf numFmtId="2" fontId="129" fillId="207" borderId="1" xfId="0" applyNumberFormat="1" applyFont="1" applyFill="1" applyBorder="1" applyAlignment="1">
      <alignment horizontal="center" vertical="center"/>
    </xf>
    <xf numFmtId="2" fontId="130" fillId="208" borderId="1" xfId="0" applyNumberFormat="1" applyFont="1" applyFill="1" applyBorder="1" applyAlignment="1">
      <alignment horizontal="center" vertical="center"/>
    </xf>
    <xf numFmtId="10" fontId="11" fillId="86" borderId="1" xfId="0" applyNumberFormat="1" applyFont="1" applyFill="1" applyBorder="1" applyAlignment="1">
      <alignment horizontal="center" vertical="center"/>
    </xf>
    <xf numFmtId="10" fontId="131" fillId="209" borderId="1" xfId="0" applyNumberFormat="1" applyFont="1" applyFill="1" applyBorder="1" applyAlignment="1">
      <alignment horizontal="center" vertical="center"/>
    </xf>
    <xf numFmtId="2" fontId="11" fillId="87" borderId="1" xfId="0" applyNumberFormat="1" applyFont="1" applyFill="1" applyBorder="1" applyAlignment="1">
      <alignment horizontal="center" vertical="center"/>
    </xf>
    <xf numFmtId="2" fontId="132" fillId="210" borderId="1" xfId="0" applyNumberFormat="1" applyFont="1" applyFill="1" applyBorder="1" applyAlignment="1">
      <alignment horizontal="center" vertical="center"/>
    </xf>
    <xf numFmtId="2" fontId="11" fillId="32" borderId="1" xfId="0" applyNumberFormat="1" applyFont="1" applyFill="1" applyBorder="1" applyAlignment="1">
      <alignment horizontal="center" vertical="center"/>
    </xf>
    <xf numFmtId="2" fontId="133" fillId="211" borderId="1" xfId="0" applyNumberFormat="1" applyFont="1" applyFill="1" applyBorder="1" applyAlignment="1">
      <alignment horizontal="center" vertical="center"/>
    </xf>
    <xf numFmtId="2" fontId="134" fillId="212" borderId="1" xfId="0" applyNumberFormat="1" applyFont="1" applyFill="1" applyBorder="1" applyAlignment="1">
      <alignment horizontal="center" vertical="center"/>
    </xf>
    <xf numFmtId="10" fontId="20" fillId="92" borderId="1" xfId="0" applyNumberFormat="1" applyFont="1" applyFill="1" applyBorder="1" applyAlignment="1">
      <alignment horizontal="center" vertical="center"/>
    </xf>
    <xf numFmtId="10" fontId="20" fillId="93" borderId="1" xfId="0" applyNumberFormat="1" applyFont="1" applyFill="1" applyBorder="1" applyAlignment="1">
      <alignment horizontal="center" vertical="center"/>
    </xf>
    <xf numFmtId="10" fontId="135" fillId="213" borderId="1" xfId="0" applyNumberFormat="1" applyFont="1" applyFill="1" applyBorder="1" applyAlignment="1">
      <alignment horizontal="center" vertical="center"/>
    </xf>
    <xf numFmtId="10" fontId="136" fillId="214" borderId="1" xfId="0" applyNumberFormat="1" applyFont="1" applyFill="1" applyBorder="1" applyAlignment="1">
      <alignment horizontal="center" vertical="center"/>
    </xf>
    <xf numFmtId="10" fontId="11" fillId="94" borderId="1" xfId="0" applyNumberFormat="1" applyFont="1" applyFill="1" applyBorder="1" applyAlignment="1">
      <alignment horizontal="center" vertical="center"/>
    </xf>
    <xf numFmtId="10" fontId="137" fillId="215" borderId="1" xfId="0" applyNumberFormat="1" applyFont="1" applyFill="1" applyBorder="1" applyAlignment="1">
      <alignment horizontal="center" vertical="center"/>
    </xf>
    <xf numFmtId="10" fontId="11" fillId="42" borderId="1" xfId="0" applyNumberFormat="1" applyFont="1" applyFill="1" applyBorder="1" applyAlignment="1">
      <alignment horizontal="center" vertical="center"/>
    </xf>
    <xf numFmtId="10" fontId="20" fillId="95" borderId="1" xfId="0" applyNumberFormat="1" applyFont="1" applyFill="1" applyBorder="1" applyAlignment="1">
      <alignment horizontal="center" vertical="center"/>
    </xf>
    <xf numFmtId="10" fontId="138" fillId="216" borderId="1" xfId="0" applyNumberFormat="1" applyFont="1" applyFill="1" applyBorder="1" applyAlignment="1">
      <alignment horizontal="center" vertical="center"/>
    </xf>
    <xf numFmtId="10" fontId="139" fillId="217" borderId="1" xfId="0" applyNumberFormat="1" applyFont="1" applyFill="1" applyBorder="1" applyAlignment="1">
      <alignment horizontal="center" vertical="center"/>
    </xf>
    <xf numFmtId="10" fontId="11" fillId="25" borderId="1" xfId="0" applyNumberFormat="1" applyFont="1" applyFill="1" applyBorder="1" applyAlignment="1">
      <alignment horizontal="center" vertical="center" wrapText="1"/>
    </xf>
    <xf numFmtId="10" fontId="20" fillId="96" borderId="1" xfId="0" applyNumberFormat="1" applyFont="1" applyFill="1" applyBorder="1" applyAlignment="1">
      <alignment horizontal="center" vertical="center" wrapText="1"/>
    </xf>
    <xf numFmtId="10" fontId="11" fillId="2" borderId="1" xfId="0" applyNumberFormat="1" applyFont="1" applyFill="1" applyBorder="1" applyAlignment="1">
      <alignment horizontal="center" vertical="center" wrapText="1"/>
    </xf>
    <xf numFmtId="10" fontId="140" fillId="218" borderId="1" xfId="0" applyNumberFormat="1" applyFont="1" applyFill="1" applyBorder="1" applyAlignment="1">
      <alignment horizontal="center" vertical="center" wrapText="1"/>
    </xf>
    <xf numFmtId="10" fontId="141" fillId="219" borderId="1" xfId="0" applyNumberFormat="1" applyFont="1" applyFill="1" applyBorder="1" applyAlignment="1">
      <alignment horizontal="center" vertical="center" wrapText="1"/>
    </xf>
    <xf numFmtId="10" fontId="142" fillId="220" borderId="1" xfId="0" applyNumberFormat="1" applyFont="1" applyFill="1" applyBorder="1" applyAlignment="1">
      <alignment horizontal="center" vertical="center" wrapText="1"/>
    </xf>
    <xf numFmtId="10" fontId="20" fillId="31" borderId="1" xfId="0" applyNumberFormat="1" applyFont="1" applyFill="1" applyBorder="1" applyAlignment="1">
      <alignment horizontal="center" vertical="center"/>
    </xf>
    <xf numFmtId="10" fontId="143" fillId="221" borderId="1" xfId="0" applyNumberFormat="1" applyFont="1" applyFill="1" applyBorder="1" applyAlignment="1">
      <alignment horizontal="center" vertical="center"/>
    </xf>
    <xf numFmtId="10" fontId="11" fillId="97" borderId="1" xfId="0" applyNumberFormat="1" applyFont="1" applyFill="1" applyBorder="1" applyAlignment="1">
      <alignment horizontal="center" vertical="center"/>
    </xf>
    <xf numFmtId="10" fontId="144" fillId="222" borderId="1" xfId="0" applyNumberFormat="1" applyFont="1" applyFill="1" applyBorder="1" applyAlignment="1">
      <alignment horizontal="center" vertical="center"/>
    </xf>
    <xf numFmtId="2" fontId="11" fillId="98" borderId="1" xfId="0" applyNumberFormat="1" applyFont="1" applyFill="1" applyBorder="1" applyAlignment="1">
      <alignment horizontal="center" vertical="center"/>
    </xf>
    <xf numFmtId="10" fontId="11" fillId="99" borderId="1" xfId="0" applyNumberFormat="1" applyFont="1" applyFill="1" applyBorder="1" applyAlignment="1">
      <alignment horizontal="center" vertical="center"/>
    </xf>
    <xf numFmtId="2" fontId="145" fillId="223" borderId="1" xfId="0" applyNumberFormat="1" applyFont="1" applyFill="1" applyBorder="1" applyAlignment="1">
      <alignment horizontal="center" vertical="center"/>
    </xf>
    <xf numFmtId="10" fontId="146" fillId="224" borderId="1" xfId="0" applyNumberFormat="1" applyFont="1" applyFill="1" applyBorder="1" applyAlignment="1">
      <alignment horizontal="center" vertical="center"/>
    </xf>
    <xf numFmtId="10" fontId="20" fillId="100" borderId="1" xfId="0" applyNumberFormat="1" applyFont="1" applyFill="1" applyBorder="1" applyAlignment="1">
      <alignment horizontal="center" vertical="center"/>
    </xf>
    <xf numFmtId="10" fontId="147" fillId="225" borderId="1" xfId="0" applyNumberFormat="1" applyFont="1" applyFill="1" applyBorder="1" applyAlignment="1">
      <alignment horizontal="center" vertical="center"/>
    </xf>
    <xf numFmtId="2" fontId="20" fillId="101" borderId="1" xfId="0" applyNumberFormat="1" applyFont="1" applyFill="1" applyBorder="1" applyAlignment="1">
      <alignment horizontal="center" vertical="center"/>
    </xf>
    <xf numFmtId="10" fontId="11" fillId="102" borderId="1" xfId="0" applyNumberFormat="1" applyFont="1" applyFill="1" applyBorder="1" applyAlignment="1">
      <alignment horizontal="center" vertical="center"/>
    </xf>
    <xf numFmtId="2" fontId="148" fillId="226" borderId="1" xfId="0" applyNumberFormat="1" applyFont="1" applyFill="1" applyBorder="1" applyAlignment="1">
      <alignment horizontal="center" vertical="center"/>
    </xf>
    <xf numFmtId="10" fontId="149" fillId="227" borderId="1" xfId="0" applyNumberFormat="1" applyFont="1" applyFill="1" applyBorder="1" applyAlignment="1">
      <alignment horizontal="center" vertical="center"/>
    </xf>
    <xf numFmtId="2" fontId="24" fillId="0" borderId="1" xfId="0" applyNumberFormat="1" applyFont="1" applyFill="1" applyBorder="1" applyAlignment="1">
      <alignment horizontal="center" vertical="center"/>
    </xf>
    <xf numFmtId="2" fontId="150" fillId="228" borderId="1" xfId="0" applyNumberFormat="1" applyFont="1" applyFill="1" applyBorder="1" applyAlignment="1">
      <alignment horizontal="center" vertical="center"/>
    </xf>
    <xf numFmtId="2" fontId="151" fillId="229" borderId="1" xfId="0" applyNumberFormat="1" applyFont="1" applyFill="1" applyBorder="1" applyAlignment="1">
      <alignment horizontal="center" vertical="center"/>
    </xf>
    <xf numFmtId="10" fontId="152" fillId="230" borderId="1" xfId="0" applyNumberFormat="1" applyFont="1" applyFill="1" applyBorder="1" applyAlignment="1">
      <alignment horizontal="center" vertical="center"/>
    </xf>
    <xf numFmtId="10" fontId="11" fillId="104" borderId="1" xfId="0" applyNumberFormat="1" applyFont="1" applyFill="1" applyBorder="1" applyAlignment="1">
      <alignment horizontal="center" vertical="center"/>
    </xf>
    <xf numFmtId="10" fontId="153" fillId="0" borderId="1" xfId="0" applyNumberFormat="1" applyFont="1" applyFill="1" applyBorder="1" applyAlignment="1">
      <alignment horizontal="center" vertical="center"/>
    </xf>
    <xf numFmtId="10" fontId="154" fillId="231" borderId="1" xfId="0" applyNumberFormat="1" applyFont="1" applyFill="1" applyBorder="1" applyAlignment="1">
      <alignment horizontal="center" vertical="center"/>
    </xf>
    <xf numFmtId="10" fontId="20" fillId="69" borderId="1" xfId="0" applyNumberFormat="1" applyFont="1" applyFill="1" applyBorder="1" applyAlignment="1">
      <alignment horizontal="center" vertical="center"/>
    </xf>
    <xf numFmtId="10" fontId="20" fillId="6" borderId="1" xfId="0" applyNumberFormat="1" applyFont="1" applyFill="1" applyBorder="1" applyAlignment="1">
      <alignment horizontal="center" vertical="center"/>
    </xf>
    <xf numFmtId="10" fontId="155" fillId="232" borderId="1" xfId="0" applyNumberFormat="1" applyFont="1" applyFill="1" applyBorder="1" applyAlignment="1">
      <alignment horizontal="center" vertical="center"/>
    </xf>
    <xf numFmtId="10" fontId="156" fillId="0" borderId="1" xfId="0" applyNumberFormat="1" applyFont="1" applyFill="1" applyBorder="1" applyAlignment="1">
      <alignment horizontal="center" vertical="center"/>
    </xf>
    <xf numFmtId="10" fontId="20" fillId="0" borderId="1" xfId="0" applyNumberFormat="1" applyFont="1" applyFill="1" applyBorder="1" applyAlignment="1">
      <alignment horizontal="center" vertical="center" wrapText="1"/>
    </xf>
    <xf numFmtId="10" fontId="20" fillId="105" borderId="1" xfId="0" applyNumberFormat="1" applyFont="1" applyFill="1" applyBorder="1" applyAlignment="1">
      <alignment horizontal="center" vertical="center"/>
    </xf>
    <xf numFmtId="10" fontId="157" fillId="0" borderId="1" xfId="0" applyNumberFormat="1" applyFont="1" applyFill="1" applyBorder="1" applyAlignment="1">
      <alignment horizontal="center" vertical="center" wrapText="1"/>
    </xf>
    <xf numFmtId="10" fontId="158" fillId="0" borderId="1" xfId="0" applyNumberFormat="1" applyFont="1" applyFill="1" applyBorder="1" applyAlignment="1">
      <alignment horizontal="center" vertical="center"/>
    </xf>
    <xf numFmtId="2" fontId="11" fillId="106" borderId="1" xfId="0" applyNumberFormat="1" applyFont="1" applyFill="1" applyBorder="1" applyAlignment="1">
      <alignment horizontal="center" vertical="center"/>
    </xf>
    <xf numFmtId="2" fontId="159" fillId="233" borderId="1" xfId="0" applyNumberFormat="1" applyFont="1" applyFill="1" applyBorder="1" applyAlignment="1">
      <alignment horizontal="center" vertical="center"/>
    </xf>
    <xf numFmtId="10" fontId="11" fillId="13" borderId="1" xfId="0" applyNumberFormat="1" applyFont="1" applyFill="1" applyBorder="1" applyAlignment="1">
      <alignment horizontal="center" vertical="center" wrapText="1"/>
    </xf>
    <xf numFmtId="10" fontId="160" fillId="234" borderId="1" xfId="0" applyNumberFormat="1" applyFont="1" applyFill="1" applyBorder="1" applyAlignment="1">
      <alignment horizontal="center" vertical="center" wrapText="1"/>
    </xf>
    <xf numFmtId="2" fontId="11" fillId="108" borderId="1" xfId="0" applyNumberFormat="1" applyFont="1" applyFill="1" applyBorder="1" applyAlignment="1">
      <alignment horizontal="center" vertical="center"/>
    </xf>
    <xf numFmtId="10" fontId="20" fillId="109" borderId="1" xfId="0" applyNumberFormat="1" applyFont="1" applyFill="1" applyBorder="1" applyAlignment="1">
      <alignment horizontal="center" vertical="center"/>
    </xf>
    <xf numFmtId="2" fontId="161" fillId="235" borderId="1" xfId="0" applyNumberFormat="1" applyFont="1" applyFill="1" applyBorder="1" applyAlignment="1">
      <alignment horizontal="center" vertical="center"/>
    </xf>
    <xf numFmtId="10" fontId="162" fillId="236" borderId="1" xfId="0" applyNumberFormat="1" applyFont="1" applyFill="1" applyBorder="1" applyAlignment="1">
      <alignment horizontal="center" vertical="center"/>
    </xf>
    <xf numFmtId="2" fontId="28" fillId="0" borderId="1" xfId="0" applyNumberFormat="1" applyFont="1" applyFill="1" applyBorder="1" applyAlignment="1">
      <alignment horizontal="center" vertical="center"/>
    </xf>
    <xf numFmtId="2" fontId="29" fillId="2" borderId="1" xfId="0" applyNumberFormat="1" applyFont="1" applyFill="1" applyBorder="1" applyAlignment="1">
      <alignment horizontal="center" vertical="center"/>
    </xf>
    <xf numFmtId="2" fontId="163" fillId="0" borderId="1" xfId="0" applyNumberFormat="1" applyFont="1" applyFill="1" applyBorder="1" applyAlignment="1">
      <alignment horizontal="center" vertical="center"/>
    </xf>
    <xf numFmtId="2" fontId="164" fillId="237" borderId="1" xfId="0" applyNumberFormat="1" applyFont="1" applyFill="1" applyBorder="1" applyAlignment="1">
      <alignment horizontal="center" vertical="center"/>
    </xf>
    <xf numFmtId="10" fontId="11" fillId="110" borderId="1" xfId="0" applyNumberFormat="1" applyFont="1" applyFill="1" applyBorder="1" applyAlignment="1">
      <alignment horizontal="center" vertical="center"/>
    </xf>
    <xf numFmtId="10" fontId="165" fillId="238" borderId="1" xfId="0" applyNumberFormat="1" applyFont="1" applyFill="1" applyBorder="1" applyAlignment="1">
      <alignment horizontal="center" vertical="center"/>
    </xf>
    <xf numFmtId="2" fontId="11" fillId="25" borderId="1" xfId="0" applyNumberFormat="1" applyFont="1" applyFill="1" applyBorder="1" applyAlignment="1">
      <alignment horizontal="center" vertical="center" wrapText="1"/>
    </xf>
    <xf numFmtId="2" fontId="166" fillId="239" borderId="1" xfId="0" applyNumberFormat="1" applyFont="1" applyFill="1" applyBorder="1" applyAlignment="1">
      <alignment horizontal="center" vertical="center" wrapText="1"/>
    </xf>
    <xf numFmtId="2" fontId="167" fillId="240" borderId="1" xfId="0" applyNumberFormat="1" applyFont="1" applyFill="1" applyBorder="1" applyAlignment="1">
      <alignment horizontal="center" vertical="center"/>
    </xf>
    <xf numFmtId="2" fontId="168" fillId="241" borderId="1" xfId="0" applyNumberFormat="1" applyFont="1" applyFill="1" applyBorder="1" applyAlignment="1">
      <alignment horizontal="center" vertical="center"/>
    </xf>
    <xf numFmtId="10" fontId="169" fillId="0" borderId="1" xfId="0" applyNumberFormat="1" applyFont="1" applyFill="1" applyBorder="1" applyAlignment="1">
      <alignment horizontal="center" vertical="center"/>
    </xf>
    <xf numFmtId="2" fontId="170" fillId="0" borderId="1" xfId="0" applyNumberFormat="1" applyFont="1" applyFill="1" applyBorder="1" applyAlignment="1">
      <alignment horizontal="center" vertical="center"/>
    </xf>
    <xf numFmtId="10" fontId="171" fillId="242" borderId="1" xfId="0" applyNumberFormat="1" applyFont="1" applyFill="1" applyBorder="1" applyAlignment="1">
      <alignment horizontal="center" vertical="center"/>
    </xf>
    <xf numFmtId="10" fontId="172" fillId="243" borderId="1" xfId="0" applyNumberFormat="1" applyFont="1" applyFill="1" applyBorder="1" applyAlignment="1">
      <alignment horizontal="center" vertical="center"/>
    </xf>
    <xf numFmtId="10" fontId="173" fillId="244" borderId="1" xfId="0" applyNumberFormat="1" applyFont="1" applyFill="1" applyBorder="1" applyAlignment="1">
      <alignment horizontal="center" vertical="center"/>
    </xf>
    <xf numFmtId="10" fontId="174" fillId="245" borderId="1" xfId="0" applyNumberFormat="1" applyFont="1" applyFill="1" applyBorder="1" applyAlignment="1">
      <alignment horizontal="center" vertical="center"/>
    </xf>
    <xf numFmtId="10" fontId="175" fillId="246" borderId="1" xfId="0" applyNumberFormat="1" applyFont="1" applyFill="1" applyBorder="1" applyAlignment="1">
      <alignment horizontal="center" vertical="center"/>
    </xf>
    <xf numFmtId="10" fontId="176" fillId="247" borderId="1" xfId="0" applyNumberFormat="1" applyFont="1" applyFill="1" applyBorder="1" applyAlignment="1">
      <alignment horizontal="center" vertical="center"/>
    </xf>
    <xf numFmtId="10" fontId="177" fillId="248" borderId="1" xfId="0" applyNumberFormat="1" applyFont="1" applyFill="1" applyBorder="1" applyAlignment="1">
      <alignment horizontal="center" vertical="center"/>
    </xf>
    <xf numFmtId="10" fontId="178" fillId="249" borderId="1" xfId="0" applyNumberFormat="1" applyFont="1" applyFill="1" applyBorder="1" applyAlignment="1">
      <alignment horizontal="center" vertical="center"/>
    </xf>
    <xf numFmtId="10" fontId="179" fillId="250" borderId="1" xfId="0" applyNumberFormat="1" applyFont="1" applyFill="1" applyBorder="1" applyAlignment="1">
      <alignment horizontal="center" vertical="center"/>
    </xf>
    <xf numFmtId="10" fontId="180" fillId="251" borderId="1" xfId="0" applyNumberFormat="1" applyFont="1" applyFill="1" applyBorder="1" applyAlignment="1">
      <alignment horizontal="center" vertical="center"/>
    </xf>
    <xf numFmtId="10" fontId="181" fillId="252" borderId="1" xfId="0" applyNumberFormat="1" applyFont="1" applyFill="1" applyBorder="1" applyAlignment="1">
      <alignment horizontal="center" vertical="center"/>
    </xf>
    <xf numFmtId="2" fontId="182" fillId="253" borderId="1" xfId="0" applyNumberFormat="1" applyFont="1" applyFill="1" applyBorder="1" applyAlignment="1">
      <alignment horizontal="center" vertical="center"/>
    </xf>
    <xf numFmtId="10" fontId="183" fillId="254" borderId="1" xfId="0" applyNumberFormat="1" applyFont="1" applyFill="1" applyBorder="1" applyAlignment="1">
      <alignment horizontal="center" vertical="center"/>
    </xf>
    <xf numFmtId="2" fontId="184" fillId="255" borderId="1" xfId="0" applyNumberFormat="1" applyFont="1" applyFill="1" applyBorder="1" applyAlignment="1">
      <alignment horizontal="center" vertical="center"/>
    </xf>
    <xf numFmtId="10" fontId="185" fillId="0" borderId="1" xfId="0" applyNumberFormat="1" applyFont="1" applyFill="1" applyBorder="1" applyAlignment="1">
      <alignment horizontal="center" vertical="center"/>
    </xf>
    <xf numFmtId="2" fontId="186" fillId="256" borderId="1" xfId="0" applyNumberFormat="1" applyFont="1" applyFill="1" applyBorder="1" applyAlignment="1">
      <alignment horizontal="center" vertical="center"/>
    </xf>
    <xf numFmtId="2" fontId="187" fillId="257" borderId="1" xfId="0" applyNumberFormat="1" applyFont="1" applyFill="1" applyBorder="1" applyAlignment="1">
      <alignment horizontal="center" vertical="center"/>
    </xf>
    <xf numFmtId="2" fontId="188" fillId="258" borderId="1" xfId="0" applyNumberFormat="1" applyFont="1" applyFill="1" applyBorder="1" applyAlignment="1">
      <alignment horizontal="center" vertical="center"/>
    </xf>
    <xf numFmtId="2" fontId="189" fillId="0" borderId="1" xfId="0" applyNumberFormat="1" applyFont="1" applyFill="1" applyBorder="1" applyAlignment="1">
      <alignment horizontal="center" vertical="center"/>
    </xf>
    <xf numFmtId="10" fontId="190" fillId="259" borderId="1" xfId="0" applyNumberFormat="1" applyFont="1" applyFill="1" applyBorder="1" applyAlignment="1">
      <alignment horizontal="center" vertical="center"/>
    </xf>
    <xf numFmtId="10" fontId="191" fillId="260" borderId="1" xfId="0" applyNumberFormat="1" applyFont="1" applyFill="1" applyBorder="1" applyAlignment="1">
      <alignment horizontal="center" vertical="center"/>
    </xf>
    <xf numFmtId="10" fontId="192" fillId="261" borderId="1" xfId="0" applyNumberFormat="1" applyFont="1" applyFill="1" applyBorder="1" applyAlignment="1">
      <alignment horizontal="center" vertical="center"/>
    </xf>
    <xf numFmtId="2" fontId="193" fillId="262" borderId="1" xfId="0" applyNumberFormat="1" applyFont="1" applyFill="1" applyBorder="1" applyAlignment="1">
      <alignment horizontal="center" vertical="center"/>
    </xf>
    <xf numFmtId="2" fontId="194" fillId="263" borderId="1" xfId="0" applyNumberFormat="1" applyFont="1" applyFill="1" applyBorder="1" applyAlignment="1">
      <alignment horizontal="center" vertical="center"/>
    </xf>
    <xf numFmtId="10" fontId="195" fillId="264" borderId="1" xfId="0" applyNumberFormat="1" applyFont="1" applyFill="1" applyBorder="1" applyAlignment="1">
      <alignment horizontal="center" vertical="center"/>
    </xf>
    <xf numFmtId="2" fontId="196" fillId="265" borderId="1" xfId="0" applyNumberFormat="1" applyFont="1" applyFill="1" applyBorder="1" applyAlignment="1">
      <alignment horizontal="center" vertical="center"/>
    </xf>
    <xf numFmtId="2" fontId="197" fillId="0" borderId="1" xfId="0" applyNumberFormat="1" applyFont="1" applyFill="1" applyBorder="1" applyAlignment="1">
      <alignment horizontal="center" vertical="center"/>
    </xf>
    <xf numFmtId="2" fontId="198" fillId="266" borderId="1" xfId="0" applyNumberFormat="1" applyFont="1" applyFill="1" applyBorder="1" applyAlignment="1">
      <alignment horizontal="center" vertical="center"/>
    </xf>
    <xf numFmtId="2" fontId="199" fillId="0" borderId="1" xfId="0" applyNumberFormat="1" applyFont="1" applyFill="1" applyBorder="1" applyAlignment="1">
      <alignment horizontal="center" vertical="center"/>
    </xf>
    <xf numFmtId="2" fontId="200" fillId="267" borderId="1" xfId="0" applyNumberFormat="1" applyFont="1" applyFill="1" applyBorder="1" applyAlignment="1">
      <alignment horizontal="center" vertical="center"/>
    </xf>
    <xf numFmtId="2" fontId="201" fillId="268" borderId="1" xfId="0" applyNumberFormat="1" applyFont="1" applyFill="1" applyBorder="1" applyAlignment="1">
      <alignment horizontal="center" vertical="center"/>
    </xf>
    <xf numFmtId="10" fontId="202" fillId="269" borderId="1" xfId="0" applyNumberFormat="1" applyFont="1" applyFill="1" applyBorder="1" applyAlignment="1">
      <alignment horizontal="center" vertical="center"/>
    </xf>
    <xf numFmtId="10" fontId="203" fillId="0" borderId="1" xfId="0" applyNumberFormat="1" applyFont="1" applyFill="1" applyBorder="1" applyAlignment="1">
      <alignment horizontal="center" vertical="center"/>
    </xf>
    <xf numFmtId="10" fontId="204" fillId="270" borderId="1" xfId="0" applyNumberFormat="1" applyFont="1" applyFill="1" applyBorder="1" applyAlignment="1">
      <alignment horizontal="center" vertical="center"/>
    </xf>
    <xf numFmtId="2" fontId="205" fillId="271" borderId="1" xfId="0" applyNumberFormat="1" applyFont="1" applyFill="1" applyBorder="1" applyAlignment="1">
      <alignment horizontal="center" vertical="center"/>
    </xf>
    <xf numFmtId="2" fontId="206" fillId="272" borderId="1" xfId="0" applyNumberFormat="1" applyFont="1" applyFill="1" applyBorder="1" applyAlignment="1">
      <alignment horizontal="center" vertical="center"/>
    </xf>
    <xf numFmtId="0" fontId="207" fillId="0" borderId="1" xfId="0" applyFont="1" applyFill="1" applyBorder="1" applyAlignment="1">
      <alignment horizontal="center" vertical="center"/>
    </xf>
    <xf numFmtId="2" fontId="208" fillId="273" borderId="1" xfId="0" applyNumberFormat="1" applyFont="1" applyFill="1" applyBorder="1" applyAlignment="1">
      <alignment horizontal="center" vertical="center"/>
    </xf>
    <xf numFmtId="2" fontId="209" fillId="274" borderId="1" xfId="0" applyNumberFormat="1" applyFont="1" applyFill="1" applyBorder="1" applyAlignment="1">
      <alignment horizontal="center" vertical="center"/>
    </xf>
    <xf numFmtId="2" fontId="210" fillId="275" borderId="1" xfId="0" applyNumberFormat="1" applyFont="1" applyFill="1" applyBorder="1" applyAlignment="1">
      <alignment horizontal="center" vertical="center"/>
    </xf>
    <xf numFmtId="0" fontId="211" fillId="0" borderId="1" xfId="0" applyFont="1" applyFill="1" applyBorder="1" applyAlignment="1">
      <alignment horizontal="center" vertical="center" wrapText="1"/>
    </xf>
    <xf numFmtId="2" fontId="212" fillId="276" borderId="1" xfId="0" applyNumberFormat="1" applyFont="1" applyFill="1" applyBorder="1" applyAlignment="1">
      <alignment horizontal="center" vertical="center"/>
    </xf>
    <xf numFmtId="2" fontId="213" fillId="277" borderId="1" xfId="0" applyNumberFormat="1" applyFont="1" applyFill="1" applyBorder="1" applyAlignment="1">
      <alignment horizontal="center" vertical="center"/>
    </xf>
    <xf numFmtId="10" fontId="214" fillId="278" borderId="1" xfId="0" applyNumberFormat="1" applyFont="1" applyFill="1" applyBorder="1" applyAlignment="1">
      <alignment horizontal="center" vertical="center"/>
    </xf>
    <xf numFmtId="10" fontId="215" fillId="279" borderId="1" xfId="0" applyNumberFormat="1" applyFont="1" applyFill="1" applyBorder="1" applyAlignment="1">
      <alignment horizontal="center" vertical="center"/>
    </xf>
    <xf numFmtId="10" fontId="216" fillId="280" borderId="1" xfId="0" applyNumberFormat="1" applyFont="1" applyFill="1" applyBorder="1" applyAlignment="1">
      <alignment horizontal="center" vertical="center"/>
    </xf>
    <xf numFmtId="10" fontId="217" fillId="281" borderId="1" xfId="0" applyNumberFormat="1" applyFont="1" applyFill="1" applyBorder="1" applyAlignment="1">
      <alignment horizontal="center" vertical="center"/>
    </xf>
    <xf numFmtId="10" fontId="218" fillId="282" borderId="1" xfId="0" applyNumberFormat="1" applyFont="1" applyFill="1" applyBorder="1" applyAlignment="1">
      <alignment horizontal="center" vertical="center"/>
    </xf>
    <xf numFmtId="10" fontId="219" fillId="283" borderId="1" xfId="0" applyNumberFormat="1" applyFont="1" applyFill="1" applyBorder="1" applyAlignment="1">
      <alignment horizontal="center" vertical="center"/>
    </xf>
    <xf numFmtId="10" fontId="220" fillId="284" borderId="1" xfId="0" applyNumberFormat="1" applyFont="1" applyFill="1" applyBorder="1" applyAlignment="1">
      <alignment horizontal="center" vertical="center"/>
    </xf>
    <xf numFmtId="10" fontId="221" fillId="285" borderId="1" xfId="0" applyNumberFormat="1" applyFont="1" applyFill="1" applyBorder="1" applyAlignment="1">
      <alignment horizontal="center" vertical="center"/>
    </xf>
    <xf numFmtId="10" fontId="222" fillId="286" borderId="1" xfId="0" applyNumberFormat="1" applyFont="1" applyFill="1" applyBorder="1" applyAlignment="1">
      <alignment horizontal="center" vertical="center"/>
    </xf>
    <xf numFmtId="10" fontId="223" fillId="0" borderId="1" xfId="0" applyNumberFormat="1" applyFont="1" applyFill="1" applyBorder="1" applyAlignment="1">
      <alignment horizontal="center" vertical="center"/>
    </xf>
    <xf numFmtId="10" fontId="224" fillId="287" borderId="1" xfId="0" applyNumberFormat="1" applyFont="1" applyFill="1" applyBorder="1" applyAlignment="1">
      <alignment horizontal="center" vertical="center"/>
    </xf>
    <xf numFmtId="10" fontId="225" fillId="288" borderId="1" xfId="0" applyNumberFormat="1" applyFont="1" applyFill="1" applyBorder="1" applyAlignment="1">
      <alignment horizontal="center" vertical="center"/>
    </xf>
    <xf numFmtId="10" fontId="226" fillId="289" borderId="1" xfId="0" applyNumberFormat="1" applyFont="1" applyFill="1" applyBorder="1" applyAlignment="1">
      <alignment horizontal="center" vertical="center"/>
    </xf>
    <xf numFmtId="10" fontId="227" fillId="290" borderId="1" xfId="0" applyNumberFormat="1" applyFont="1" applyFill="1" applyBorder="1" applyAlignment="1">
      <alignment horizontal="center" vertical="center"/>
    </xf>
    <xf numFmtId="10" fontId="228" fillId="0" borderId="1" xfId="0" applyNumberFormat="1" applyFont="1" applyFill="1" applyBorder="1" applyAlignment="1">
      <alignment horizontal="center" vertical="center"/>
    </xf>
    <xf numFmtId="10" fontId="229" fillId="291" borderId="1" xfId="0" applyNumberFormat="1" applyFont="1" applyFill="1" applyBorder="1" applyAlignment="1">
      <alignment horizontal="center" vertical="center"/>
    </xf>
    <xf numFmtId="2" fontId="230" fillId="292" borderId="1" xfId="0" applyNumberFormat="1" applyFont="1" applyFill="1" applyBorder="1" applyAlignment="1">
      <alignment horizontal="center" vertical="center"/>
    </xf>
    <xf numFmtId="2" fontId="231" fillId="293" borderId="1" xfId="0" applyNumberFormat="1" applyFont="1" applyFill="1" applyBorder="1" applyAlignment="1">
      <alignment horizontal="center" vertical="center"/>
    </xf>
    <xf numFmtId="10" fontId="232" fillId="294" borderId="1" xfId="0" applyNumberFormat="1" applyFont="1" applyFill="1" applyBorder="1" applyAlignment="1">
      <alignment horizontal="center" vertical="center"/>
    </xf>
    <xf numFmtId="10" fontId="233" fillId="295" borderId="1" xfId="0" applyNumberFormat="1" applyFont="1" applyFill="1" applyBorder="1" applyAlignment="1">
      <alignment horizontal="center" vertical="center"/>
    </xf>
    <xf numFmtId="10" fontId="234" fillId="296" borderId="1" xfId="0" applyNumberFormat="1" applyFont="1" applyFill="1" applyBorder="1" applyAlignment="1">
      <alignment horizontal="center" vertical="center"/>
    </xf>
    <xf numFmtId="10" fontId="235" fillId="297" borderId="1" xfId="0" applyNumberFormat="1" applyFont="1" applyFill="1" applyBorder="1" applyAlignment="1">
      <alignment horizontal="center" vertical="center"/>
    </xf>
    <xf numFmtId="10" fontId="236" fillId="298" borderId="1" xfId="0" applyNumberFormat="1" applyFont="1" applyFill="1" applyBorder="1" applyAlignment="1">
      <alignment horizontal="center" vertical="center"/>
    </xf>
    <xf numFmtId="10" fontId="237" fillId="299" borderId="1" xfId="0" applyNumberFormat="1" applyFont="1" applyFill="1" applyBorder="1" applyAlignment="1">
      <alignment horizontal="center" vertical="center"/>
    </xf>
    <xf numFmtId="10" fontId="238" fillId="300" borderId="1" xfId="0" applyNumberFormat="1" applyFont="1" applyFill="1" applyBorder="1" applyAlignment="1">
      <alignment horizontal="center" vertical="center"/>
    </xf>
    <xf numFmtId="10" fontId="239" fillId="301" borderId="1" xfId="0" applyNumberFormat="1" applyFont="1" applyFill="1" applyBorder="1" applyAlignment="1">
      <alignment horizontal="center" vertical="center"/>
    </xf>
    <xf numFmtId="10" fontId="240" fillId="302" borderId="1" xfId="0" applyNumberFormat="1" applyFont="1" applyFill="1" applyBorder="1" applyAlignment="1">
      <alignment horizontal="center" vertical="center"/>
    </xf>
    <xf numFmtId="2" fontId="241" fillId="303" borderId="1" xfId="0" applyNumberFormat="1" applyFont="1" applyFill="1" applyBorder="1" applyAlignment="1">
      <alignment horizontal="center" vertical="center"/>
    </xf>
    <xf numFmtId="10" fontId="242" fillId="304" borderId="1" xfId="0" applyNumberFormat="1" applyFont="1" applyFill="1" applyBorder="1" applyAlignment="1">
      <alignment horizontal="center" vertical="center" wrapText="1"/>
    </xf>
    <xf numFmtId="2" fontId="243" fillId="0" borderId="1" xfId="0" applyNumberFormat="1" applyFont="1" applyFill="1" applyBorder="1" applyAlignment="1">
      <alignment horizontal="center" vertical="center"/>
    </xf>
    <xf numFmtId="2" fontId="244" fillId="305" borderId="1" xfId="0" applyNumberFormat="1" applyFont="1" applyFill="1" applyBorder="1" applyAlignment="1">
      <alignment horizontal="center" vertical="center"/>
    </xf>
    <xf numFmtId="2" fontId="245" fillId="306" borderId="1" xfId="0" applyNumberFormat="1" applyFont="1" applyFill="1" applyBorder="1" applyAlignment="1">
      <alignment horizontal="center" vertical="center"/>
    </xf>
    <xf numFmtId="2" fontId="246" fillId="307" borderId="1" xfId="0" applyNumberFormat="1" applyFont="1" applyFill="1" applyBorder="1" applyAlignment="1">
      <alignment horizontal="center" vertical="center"/>
    </xf>
    <xf numFmtId="2" fontId="247" fillId="308" borderId="1" xfId="0" applyNumberFormat="1" applyFont="1" applyFill="1" applyBorder="1" applyAlignment="1">
      <alignment horizontal="center" vertical="center"/>
    </xf>
    <xf numFmtId="10" fontId="248" fillId="309" borderId="1" xfId="0" applyNumberFormat="1" applyFont="1" applyFill="1" applyBorder="1" applyAlignment="1">
      <alignment horizontal="center" vertical="center"/>
    </xf>
    <xf numFmtId="2" fontId="249" fillId="310" borderId="1" xfId="0" applyNumberFormat="1" applyFont="1" applyFill="1" applyBorder="1" applyAlignment="1">
      <alignment horizontal="center" vertical="center"/>
    </xf>
    <xf numFmtId="2" fontId="250" fillId="311" borderId="1" xfId="0" applyNumberFormat="1" applyFont="1" applyFill="1" applyBorder="1" applyAlignment="1">
      <alignment horizontal="center" vertical="center"/>
    </xf>
    <xf numFmtId="2" fontId="251" fillId="312" borderId="1" xfId="0" applyNumberFormat="1" applyFont="1" applyFill="1" applyBorder="1" applyAlignment="1">
      <alignment horizontal="center" vertical="center"/>
    </xf>
    <xf numFmtId="10" fontId="252" fillId="313" borderId="1" xfId="0" applyNumberFormat="1" applyFont="1" applyFill="1" applyBorder="1" applyAlignment="1">
      <alignment horizontal="center" vertical="center"/>
    </xf>
    <xf numFmtId="10" fontId="253" fillId="314" borderId="1" xfId="0" applyNumberFormat="1" applyFont="1" applyFill="1" applyBorder="1" applyAlignment="1">
      <alignment horizontal="center" vertical="center"/>
    </xf>
    <xf numFmtId="10" fontId="254" fillId="315" borderId="1" xfId="0" applyNumberFormat="1" applyFont="1" applyFill="1" applyBorder="1" applyAlignment="1">
      <alignment horizontal="center" vertical="center"/>
    </xf>
    <xf numFmtId="10" fontId="255" fillId="316" borderId="1" xfId="0" applyNumberFormat="1" applyFont="1" applyFill="1" applyBorder="1" applyAlignment="1">
      <alignment horizontal="center" vertical="center"/>
    </xf>
    <xf numFmtId="10" fontId="256" fillId="317" borderId="1" xfId="0" applyNumberFormat="1" applyFont="1" applyFill="1" applyBorder="1" applyAlignment="1">
      <alignment horizontal="center" vertical="center"/>
    </xf>
    <xf numFmtId="10" fontId="257" fillId="318" borderId="1" xfId="0" applyNumberFormat="1" applyFont="1" applyFill="1" applyBorder="1" applyAlignment="1">
      <alignment horizontal="center" vertical="center" wrapText="1"/>
    </xf>
    <xf numFmtId="10" fontId="258" fillId="319" borderId="1" xfId="0" applyNumberFormat="1" applyFont="1" applyFill="1" applyBorder="1" applyAlignment="1">
      <alignment horizontal="center" vertical="center" wrapText="1"/>
    </xf>
    <xf numFmtId="10" fontId="259" fillId="320" borderId="1" xfId="0" applyNumberFormat="1" applyFont="1" applyFill="1" applyBorder="1" applyAlignment="1">
      <alignment horizontal="center" vertical="center" wrapText="1"/>
    </xf>
    <xf numFmtId="10" fontId="260" fillId="321" borderId="1" xfId="0" applyNumberFormat="1" applyFont="1" applyFill="1" applyBorder="1" applyAlignment="1">
      <alignment horizontal="center" vertical="center"/>
    </xf>
    <xf numFmtId="10" fontId="261" fillId="322" borderId="1" xfId="0" applyNumberFormat="1" applyFont="1" applyFill="1" applyBorder="1" applyAlignment="1">
      <alignment horizontal="center" vertical="center"/>
    </xf>
    <xf numFmtId="2" fontId="262" fillId="323" borderId="1" xfId="0" applyNumberFormat="1" applyFont="1" applyFill="1" applyBorder="1" applyAlignment="1">
      <alignment horizontal="center" vertical="center"/>
    </xf>
    <xf numFmtId="10" fontId="263" fillId="324" borderId="1" xfId="0" applyNumberFormat="1" applyFont="1" applyFill="1" applyBorder="1" applyAlignment="1">
      <alignment horizontal="center" vertical="center"/>
    </xf>
    <xf numFmtId="10" fontId="264" fillId="325" borderId="1" xfId="0" applyNumberFormat="1" applyFont="1" applyFill="1" applyBorder="1" applyAlignment="1">
      <alignment horizontal="center" vertical="center"/>
    </xf>
    <xf numFmtId="2" fontId="265" fillId="326" borderId="1" xfId="0" applyNumberFormat="1" applyFont="1" applyFill="1" applyBorder="1" applyAlignment="1">
      <alignment horizontal="center" vertical="center"/>
    </xf>
    <xf numFmtId="10" fontId="266" fillId="327" borderId="1" xfId="0" applyNumberFormat="1" applyFont="1" applyFill="1" applyBorder="1" applyAlignment="1">
      <alignment horizontal="center" vertical="center"/>
    </xf>
    <xf numFmtId="2" fontId="267" fillId="328" borderId="1" xfId="0" applyNumberFormat="1" applyFont="1" applyFill="1" applyBorder="1" applyAlignment="1">
      <alignment horizontal="center" vertical="center"/>
    </xf>
    <xf numFmtId="2" fontId="268" fillId="329" borderId="1" xfId="0" applyNumberFormat="1" applyFont="1" applyFill="1" applyBorder="1" applyAlignment="1">
      <alignment horizontal="center" vertical="center"/>
    </xf>
    <xf numFmtId="10" fontId="269" fillId="330" borderId="1" xfId="0" applyNumberFormat="1" applyFont="1" applyFill="1" applyBorder="1" applyAlignment="1">
      <alignment horizontal="center" vertical="center"/>
    </xf>
    <xf numFmtId="10" fontId="270" fillId="0" borderId="1" xfId="0" applyNumberFormat="1" applyFont="1" applyFill="1" applyBorder="1" applyAlignment="1">
      <alignment horizontal="center" vertical="center"/>
    </xf>
    <xf numFmtId="10" fontId="271" fillId="331" borderId="1" xfId="0" applyNumberFormat="1" applyFont="1" applyFill="1" applyBorder="1" applyAlignment="1">
      <alignment horizontal="center" vertical="center"/>
    </xf>
    <xf numFmtId="10" fontId="272" fillId="332" borderId="1" xfId="0" applyNumberFormat="1" applyFont="1" applyFill="1" applyBorder="1" applyAlignment="1">
      <alignment horizontal="center" vertical="center"/>
    </xf>
    <xf numFmtId="10" fontId="273" fillId="0" borderId="1" xfId="0" applyNumberFormat="1" applyFont="1" applyFill="1" applyBorder="1" applyAlignment="1">
      <alignment horizontal="center" vertical="center"/>
    </xf>
    <xf numFmtId="10" fontId="274" fillId="0" borderId="1" xfId="0" applyNumberFormat="1" applyFont="1" applyFill="1" applyBorder="1" applyAlignment="1">
      <alignment horizontal="center" vertical="center" wrapText="1"/>
    </xf>
    <xf numFmtId="10" fontId="275" fillId="0" borderId="1" xfId="0" applyNumberFormat="1" applyFont="1" applyFill="1" applyBorder="1" applyAlignment="1">
      <alignment horizontal="center" vertical="center"/>
    </xf>
    <xf numFmtId="2" fontId="276" fillId="333" borderId="1" xfId="0" applyNumberFormat="1" applyFont="1" applyFill="1" applyBorder="1" applyAlignment="1">
      <alignment horizontal="center" vertical="center"/>
    </xf>
    <xf numFmtId="10" fontId="277" fillId="334" borderId="1" xfId="0" applyNumberFormat="1" applyFont="1" applyFill="1" applyBorder="1" applyAlignment="1">
      <alignment horizontal="center" vertical="center" wrapText="1"/>
    </xf>
    <xf numFmtId="2" fontId="278" fillId="335" borderId="1" xfId="0" applyNumberFormat="1" applyFont="1" applyFill="1" applyBorder="1" applyAlignment="1">
      <alignment horizontal="center" vertical="center"/>
    </xf>
    <xf numFmtId="10" fontId="279" fillId="336" borderId="1" xfId="0" applyNumberFormat="1" applyFont="1" applyFill="1" applyBorder="1" applyAlignment="1">
      <alignment horizontal="center" vertical="center"/>
    </xf>
    <xf numFmtId="2" fontId="280" fillId="0" borderId="1" xfId="0" applyNumberFormat="1" applyFont="1" applyFill="1" applyBorder="1" applyAlignment="1">
      <alignment horizontal="center" vertical="center"/>
    </xf>
    <xf numFmtId="2" fontId="281" fillId="337" borderId="1" xfId="0" applyNumberFormat="1" applyFont="1" applyFill="1" applyBorder="1" applyAlignment="1">
      <alignment horizontal="center" vertical="center"/>
    </xf>
    <xf numFmtId="10" fontId="282" fillId="338" borderId="1" xfId="0" applyNumberFormat="1" applyFont="1" applyFill="1" applyBorder="1" applyAlignment="1">
      <alignment horizontal="center" vertical="center"/>
    </xf>
    <xf numFmtId="2" fontId="283" fillId="339" borderId="1" xfId="0" applyNumberFormat="1" applyFont="1" applyFill="1" applyBorder="1" applyAlignment="1">
      <alignment horizontal="center" vertical="center" wrapText="1"/>
    </xf>
    <xf numFmtId="2" fontId="284" fillId="340" borderId="1" xfId="0" applyNumberFormat="1" applyFont="1" applyFill="1" applyBorder="1" applyAlignment="1">
      <alignment horizontal="center" vertical="center"/>
    </xf>
    <xf numFmtId="2" fontId="285" fillId="341" borderId="1" xfId="0" applyNumberFormat="1" applyFont="1" applyFill="1" applyBorder="1" applyAlignment="1">
      <alignment horizontal="center" vertical="center"/>
    </xf>
    <xf numFmtId="10" fontId="286" fillId="0" borderId="1" xfId="0" applyNumberFormat="1" applyFont="1" applyFill="1" applyBorder="1" applyAlignment="1">
      <alignment horizontal="center" vertical="center"/>
    </xf>
    <xf numFmtId="2" fontId="287" fillId="0" borderId="1" xfId="0" applyNumberFormat="1" applyFont="1" applyFill="1" applyBorder="1" applyAlignment="1">
      <alignment horizontal="center" vertical="center"/>
    </xf>
    <xf numFmtId="10" fontId="288" fillId="342" borderId="1" xfId="0" applyNumberFormat="1" applyFont="1" applyFill="1" applyBorder="1" applyAlignment="1">
      <alignment horizontal="center" vertical="center"/>
    </xf>
    <xf numFmtId="10" fontId="289" fillId="343" borderId="1" xfId="0" applyNumberFormat="1" applyFont="1" applyFill="1" applyBorder="1" applyAlignment="1">
      <alignment horizontal="center" vertical="center"/>
    </xf>
    <xf numFmtId="10" fontId="290" fillId="344" borderId="1" xfId="0" applyNumberFormat="1" applyFont="1" applyFill="1" applyBorder="1" applyAlignment="1">
      <alignment horizontal="center" vertical="center"/>
    </xf>
    <xf numFmtId="10" fontId="291" fillId="345" borderId="1" xfId="0" applyNumberFormat="1" applyFont="1" applyFill="1" applyBorder="1" applyAlignment="1">
      <alignment horizontal="center" vertical="center"/>
    </xf>
    <xf numFmtId="10" fontId="292" fillId="346" borderId="1" xfId="0" applyNumberFormat="1" applyFont="1" applyFill="1" applyBorder="1" applyAlignment="1">
      <alignment horizontal="center" vertical="center"/>
    </xf>
    <xf numFmtId="10" fontId="293" fillId="347" borderId="1" xfId="0" applyNumberFormat="1" applyFont="1" applyFill="1" applyBorder="1" applyAlignment="1">
      <alignment horizontal="center" vertical="center"/>
    </xf>
    <xf numFmtId="10" fontId="294" fillId="348" borderId="1" xfId="0" applyNumberFormat="1" applyFont="1" applyFill="1" applyBorder="1" applyAlignment="1">
      <alignment horizontal="center" vertical="center"/>
    </xf>
    <xf numFmtId="10" fontId="295" fillId="349" borderId="1" xfId="0" applyNumberFormat="1" applyFont="1" applyFill="1" applyBorder="1" applyAlignment="1">
      <alignment horizontal="center" vertical="center"/>
    </xf>
    <xf numFmtId="10" fontId="296" fillId="350" borderId="1" xfId="0" applyNumberFormat="1" applyFont="1" applyFill="1" applyBorder="1" applyAlignment="1">
      <alignment horizontal="center" vertical="center"/>
    </xf>
    <xf numFmtId="10" fontId="297" fillId="351" borderId="1" xfId="0" applyNumberFormat="1" applyFont="1" applyFill="1" applyBorder="1" applyAlignment="1">
      <alignment horizontal="center" vertical="center"/>
    </xf>
    <xf numFmtId="10" fontId="298" fillId="352" borderId="1" xfId="0" applyNumberFormat="1" applyFont="1" applyFill="1" applyBorder="1" applyAlignment="1">
      <alignment horizontal="center" vertical="center"/>
    </xf>
    <xf numFmtId="2" fontId="299" fillId="353" borderId="1" xfId="0" applyNumberFormat="1" applyFont="1" applyFill="1" applyBorder="1" applyAlignment="1">
      <alignment horizontal="center" vertical="center"/>
    </xf>
    <xf numFmtId="10" fontId="300" fillId="354" borderId="1" xfId="0" applyNumberFormat="1" applyFont="1" applyFill="1" applyBorder="1" applyAlignment="1">
      <alignment horizontal="center" vertical="center"/>
    </xf>
    <xf numFmtId="2" fontId="301" fillId="355" borderId="1" xfId="0" applyNumberFormat="1" applyFont="1" applyFill="1" applyBorder="1" applyAlignment="1">
      <alignment horizontal="center" vertical="center"/>
    </xf>
    <xf numFmtId="10" fontId="302" fillId="0" borderId="1" xfId="0" applyNumberFormat="1" applyFont="1" applyFill="1" applyBorder="1" applyAlignment="1">
      <alignment horizontal="center" vertical="center"/>
    </xf>
    <xf numFmtId="2" fontId="303" fillId="356" borderId="1" xfId="0" applyNumberFormat="1" applyFont="1" applyFill="1" applyBorder="1" applyAlignment="1">
      <alignment horizontal="center" vertical="center"/>
    </xf>
    <xf numFmtId="2" fontId="304" fillId="357" borderId="1" xfId="0" applyNumberFormat="1" applyFont="1" applyFill="1" applyBorder="1" applyAlignment="1">
      <alignment horizontal="center" vertical="center"/>
    </xf>
    <xf numFmtId="2" fontId="305" fillId="358" borderId="1" xfId="0" applyNumberFormat="1" applyFont="1" applyFill="1" applyBorder="1" applyAlignment="1">
      <alignment horizontal="center" vertical="center"/>
    </xf>
    <xf numFmtId="2" fontId="306" fillId="0" borderId="1" xfId="0" applyNumberFormat="1" applyFont="1" applyFill="1" applyBorder="1" applyAlignment="1">
      <alignment horizontal="center" vertical="center"/>
    </xf>
    <xf numFmtId="10" fontId="307" fillId="359" borderId="1" xfId="0" applyNumberFormat="1" applyFont="1" applyFill="1" applyBorder="1" applyAlignment="1">
      <alignment horizontal="center" vertical="center"/>
    </xf>
    <xf numFmtId="10" fontId="308" fillId="360" borderId="1" xfId="0" applyNumberFormat="1" applyFont="1" applyFill="1" applyBorder="1" applyAlignment="1">
      <alignment horizontal="center" vertical="center"/>
    </xf>
    <xf numFmtId="10" fontId="309" fillId="361" borderId="1" xfId="0" applyNumberFormat="1" applyFont="1" applyFill="1" applyBorder="1" applyAlignment="1">
      <alignment horizontal="center" vertical="center"/>
    </xf>
    <xf numFmtId="2" fontId="310" fillId="362" borderId="1" xfId="0" applyNumberFormat="1" applyFont="1" applyFill="1" applyBorder="1" applyAlignment="1">
      <alignment horizontal="center" vertical="center"/>
    </xf>
    <xf numFmtId="2" fontId="311" fillId="363" borderId="1" xfId="0" applyNumberFormat="1" applyFont="1" applyFill="1" applyBorder="1" applyAlignment="1">
      <alignment horizontal="center" vertical="center"/>
    </xf>
    <xf numFmtId="10" fontId="312" fillId="364" borderId="1" xfId="0" applyNumberFormat="1" applyFont="1" applyFill="1" applyBorder="1" applyAlignment="1">
      <alignment horizontal="center" vertical="center"/>
    </xf>
    <xf numFmtId="2" fontId="313" fillId="365" borderId="1" xfId="0" applyNumberFormat="1" applyFont="1" applyFill="1" applyBorder="1" applyAlignment="1">
      <alignment horizontal="center" vertical="center"/>
    </xf>
    <xf numFmtId="2" fontId="314" fillId="0" borderId="1" xfId="0" applyNumberFormat="1" applyFont="1" applyFill="1" applyBorder="1" applyAlignment="1">
      <alignment horizontal="center" vertical="center"/>
    </xf>
    <xf numFmtId="2" fontId="315" fillId="366" borderId="1" xfId="0" applyNumberFormat="1" applyFont="1" applyFill="1" applyBorder="1" applyAlignment="1">
      <alignment horizontal="center" vertical="center"/>
    </xf>
    <xf numFmtId="2" fontId="316" fillId="0" borderId="1" xfId="0" applyNumberFormat="1" applyFont="1" applyFill="1" applyBorder="1" applyAlignment="1">
      <alignment horizontal="center" vertical="center"/>
    </xf>
    <xf numFmtId="2" fontId="317" fillId="367" borderId="1" xfId="0" applyNumberFormat="1" applyFont="1" applyFill="1" applyBorder="1" applyAlignment="1">
      <alignment horizontal="center" vertical="center"/>
    </xf>
    <xf numFmtId="2" fontId="318" fillId="368" borderId="1" xfId="0" applyNumberFormat="1" applyFont="1" applyFill="1" applyBorder="1" applyAlignment="1">
      <alignment horizontal="center" vertical="center"/>
    </xf>
    <xf numFmtId="10" fontId="319" fillId="369" borderId="1" xfId="0" applyNumberFormat="1" applyFont="1" applyFill="1" applyBorder="1" applyAlignment="1">
      <alignment horizontal="center" vertical="center"/>
    </xf>
    <xf numFmtId="10" fontId="320" fillId="0" borderId="1" xfId="0" applyNumberFormat="1" applyFont="1" applyFill="1" applyBorder="1" applyAlignment="1">
      <alignment horizontal="center" vertical="center"/>
    </xf>
    <xf numFmtId="10" fontId="321" fillId="370" borderId="1" xfId="0" applyNumberFormat="1" applyFont="1" applyFill="1" applyBorder="1" applyAlignment="1">
      <alignment horizontal="center" vertical="center"/>
    </xf>
    <xf numFmtId="2" fontId="322" fillId="371" borderId="1" xfId="0" applyNumberFormat="1" applyFont="1" applyFill="1" applyBorder="1" applyAlignment="1">
      <alignment horizontal="center" vertical="center"/>
    </xf>
    <xf numFmtId="2" fontId="323" fillId="372" borderId="1" xfId="0" applyNumberFormat="1" applyFont="1" applyFill="1" applyBorder="1" applyAlignment="1">
      <alignment horizontal="center" vertical="center"/>
    </xf>
    <xf numFmtId="0" fontId="324" fillId="0" borderId="1" xfId="0" applyFont="1" applyFill="1" applyBorder="1" applyAlignment="1">
      <alignment horizontal="center" vertical="center"/>
    </xf>
    <xf numFmtId="2" fontId="325" fillId="373" borderId="1" xfId="0" applyNumberFormat="1" applyFont="1" applyFill="1" applyBorder="1" applyAlignment="1">
      <alignment horizontal="center" vertical="center"/>
    </xf>
    <xf numFmtId="2" fontId="326" fillId="374" borderId="1" xfId="0" applyNumberFormat="1" applyFont="1" applyFill="1" applyBorder="1" applyAlignment="1">
      <alignment horizontal="center" vertical="center"/>
    </xf>
    <xf numFmtId="2" fontId="327" fillId="375" borderId="1" xfId="0" applyNumberFormat="1" applyFont="1" applyFill="1" applyBorder="1" applyAlignment="1">
      <alignment horizontal="center" vertical="center"/>
    </xf>
    <xf numFmtId="0" fontId="328" fillId="0" borderId="1" xfId="0" applyFont="1" applyFill="1" applyBorder="1" applyAlignment="1">
      <alignment horizontal="center" vertical="center" wrapText="1"/>
    </xf>
    <xf numFmtId="2" fontId="329" fillId="376" borderId="1" xfId="0" applyNumberFormat="1" applyFont="1" applyFill="1" applyBorder="1" applyAlignment="1">
      <alignment horizontal="center" vertical="center"/>
    </xf>
    <xf numFmtId="2" fontId="330" fillId="377" borderId="1" xfId="0" applyNumberFormat="1" applyFont="1" applyFill="1" applyBorder="1" applyAlignment="1">
      <alignment horizontal="center" vertical="center"/>
    </xf>
    <xf numFmtId="10" fontId="331" fillId="378" borderId="1" xfId="0" applyNumberFormat="1" applyFont="1" applyFill="1" applyBorder="1" applyAlignment="1">
      <alignment horizontal="center" vertical="center"/>
    </xf>
    <xf numFmtId="10" fontId="332" fillId="379" borderId="1" xfId="0" applyNumberFormat="1" applyFont="1" applyFill="1" applyBorder="1" applyAlignment="1">
      <alignment horizontal="center" vertical="center"/>
    </xf>
    <xf numFmtId="10" fontId="333" fillId="380" borderId="1" xfId="0" applyNumberFormat="1" applyFont="1" applyFill="1" applyBorder="1" applyAlignment="1">
      <alignment horizontal="center" vertical="center"/>
    </xf>
    <xf numFmtId="10" fontId="334" fillId="381" borderId="1" xfId="0" applyNumberFormat="1" applyFont="1" applyFill="1" applyBorder="1" applyAlignment="1">
      <alignment horizontal="center" vertical="center"/>
    </xf>
    <xf numFmtId="10" fontId="335" fillId="382" borderId="1" xfId="0" applyNumberFormat="1" applyFont="1" applyFill="1" applyBorder="1" applyAlignment="1">
      <alignment horizontal="center" vertical="center"/>
    </xf>
    <xf numFmtId="10" fontId="336" fillId="383" borderId="1" xfId="0" applyNumberFormat="1" applyFont="1" applyFill="1" applyBorder="1" applyAlignment="1">
      <alignment horizontal="center" vertical="center"/>
    </xf>
    <xf numFmtId="10" fontId="337" fillId="384" borderId="1" xfId="0" applyNumberFormat="1" applyFont="1" applyFill="1" applyBorder="1" applyAlignment="1">
      <alignment horizontal="center" vertical="center"/>
    </xf>
    <xf numFmtId="10" fontId="338" fillId="385" borderId="1" xfId="0" applyNumberFormat="1" applyFont="1" applyFill="1" applyBorder="1" applyAlignment="1">
      <alignment horizontal="center" vertical="center"/>
    </xf>
    <xf numFmtId="10" fontId="339" fillId="386" borderId="1" xfId="0" applyNumberFormat="1" applyFont="1" applyFill="1" applyBorder="1" applyAlignment="1">
      <alignment horizontal="center" vertical="center"/>
    </xf>
    <xf numFmtId="10" fontId="340" fillId="0" borderId="1" xfId="0" applyNumberFormat="1" applyFont="1" applyFill="1" applyBorder="1" applyAlignment="1">
      <alignment horizontal="center" vertical="center"/>
    </xf>
    <xf numFmtId="10" fontId="341" fillId="387" borderId="1" xfId="0" applyNumberFormat="1" applyFont="1" applyFill="1" applyBorder="1" applyAlignment="1">
      <alignment horizontal="center" vertical="center"/>
    </xf>
    <xf numFmtId="10" fontId="342" fillId="388" borderId="1" xfId="0" applyNumberFormat="1" applyFont="1" applyFill="1" applyBorder="1" applyAlignment="1">
      <alignment horizontal="center" vertical="center"/>
    </xf>
    <xf numFmtId="10" fontId="343" fillId="389" borderId="1" xfId="0" applyNumberFormat="1" applyFont="1" applyFill="1" applyBorder="1" applyAlignment="1">
      <alignment horizontal="center" vertical="center"/>
    </xf>
    <xf numFmtId="10" fontId="344" fillId="390" borderId="1" xfId="0" applyNumberFormat="1" applyFont="1" applyFill="1" applyBorder="1" applyAlignment="1">
      <alignment horizontal="center" vertical="center"/>
    </xf>
    <xf numFmtId="10" fontId="345" fillId="0" borderId="1" xfId="0" applyNumberFormat="1" applyFont="1" applyFill="1" applyBorder="1" applyAlignment="1">
      <alignment horizontal="center" vertical="center"/>
    </xf>
    <xf numFmtId="10" fontId="346" fillId="391" borderId="1" xfId="0" applyNumberFormat="1" applyFont="1" applyFill="1" applyBorder="1" applyAlignment="1">
      <alignment horizontal="center" vertical="center"/>
    </xf>
    <xf numFmtId="2" fontId="347" fillId="392" borderId="1" xfId="0" applyNumberFormat="1" applyFont="1" applyFill="1" applyBorder="1" applyAlignment="1">
      <alignment horizontal="center" vertical="center"/>
    </xf>
    <xf numFmtId="2" fontId="348" fillId="393" borderId="1" xfId="0" applyNumberFormat="1" applyFont="1" applyFill="1" applyBorder="1" applyAlignment="1">
      <alignment horizontal="center" vertical="center"/>
    </xf>
    <xf numFmtId="10" fontId="349" fillId="394" borderId="1" xfId="0" applyNumberFormat="1" applyFont="1" applyFill="1" applyBorder="1" applyAlignment="1">
      <alignment horizontal="center" vertical="center"/>
    </xf>
    <xf numFmtId="10" fontId="350" fillId="395" borderId="1" xfId="0" applyNumberFormat="1" applyFont="1" applyFill="1" applyBorder="1" applyAlignment="1">
      <alignment horizontal="center" vertical="center"/>
    </xf>
    <xf numFmtId="10" fontId="351" fillId="396" borderId="1" xfId="0" applyNumberFormat="1" applyFont="1" applyFill="1" applyBorder="1" applyAlignment="1">
      <alignment horizontal="center" vertical="center"/>
    </xf>
    <xf numFmtId="10" fontId="352" fillId="397" borderId="1" xfId="0" applyNumberFormat="1" applyFont="1" applyFill="1" applyBorder="1" applyAlignment="1">
      <alignment horizontal="center" vertical="center"/>
    </xf>
    <xf numFmtId="10" fontId="353" fillId="398" borderId="1" xfId="0" applyNumberFormat="1" applyFont="1" applyFill="1" applyBorder="1" applyAlignment="1">
      <alignment horizontal="center" vertical="center"/>
    </xf>
    <xf numFmtId="10" fontId="354" fillId="399" borderId="1" xfId="0" applyNumberFormat="1" applyFont="1" applyFill="1" applyBorder="1" applyAlignment="1">
      <alignment horizontal="center" vertical="center"/>
    </xf>
    <xf numFmtId="10" fontId="355" fillId="400" borderId="1" xfId="0" applyNumberFormat="1" applyFont="1" applyFill="1" applyBorder="1" applyAlignment="1">
      <alignment horizontal="center" vertical="center"/>
    </xf>
    <xf numFmtId="10" fontId="356" fillId="401" borderId="1" xfId="0" applyNumberFormat="1" applyFont="1" applyFill="1" applyBorder="1" applyAlignment="1">
      <alignment horizontal="center" vertical="center"/>
    </xf>
    <xf numFmtId="10" fontId="357" fillId="402" borderId="1" xfId="0" applyNumberFormat="1" applyFont="1" applyFill="1" applyBorder="1" applyAlignment="1">
      <alignment horizontal="center" vertical="center"/>
    </xf>
    <xf numFmtId="2" fontId="358" fillId="403" borderId="1" xfId="0" applyNumberFormat="1" applyFont="1" applyFill="1" applyBorder="1" applyAlignment="1">
      <alignment horizontal="center" vertical="center"/>
    </xf>
    <xf numFmtId="10" fontId="359" fillId="404" borderId="1" xfId="0" applyNumberFormat="1" applyFont="1" applyFill="1" applyBorder="1" applyAlignment="1">
      <alignment horizontal="center" vertical="center" wrapText="1"/>
    </xf>
    <xf numFmtId="2" fontId="360" fillId="0" borderId="1" xfId="0" applyNumberFormat="1" applyFont="1" applyFill="1" applyBorder="1" applyAlignment="1">
      <alignment horizontal="center" vertical="center"/>
    </xf>
    <xf numFmtId="2" fontId="361" fillId="405" borderId="1" xfId="0" applyNumberFormat="1" applyFont="1" applyFill="1" applyBorder="1" applyAlignment="1">
      <alignment horizontal="center" vertical="center"/>
    </xf>
    <xf numFmtId="2" fontId="362" fillId="0" borderId="1" xfId="0" applyNumberFormat="1" applyFont="1" applyFill="1" applyBorder="1" applyAlignment="1">
      <alignment horizontal="center" vertical="center"/>
    </xf>
    <xf numFmtId="2" fontId="363" fillId="406" borderId="1" xfId="0" applyNumberFormat="1" applyFont="1" applyFill="1" applyBorder="1" applyAlignment="1">
      <alignment horizontal="center" vertical="center"/>
    </xf>
    <xf numFmtId="2" fontId="364" fillId="407" borderId="1" xfId="0" applyNumberFormat="1" applyFont="1" applyFill="1" applyBorder="1" applyAlignment="1">
      <alignment horizontal="center" vertical="center"/>
    </xf>
    <xf numFmtId="10" fontId="365" fillId="408" borderId="1" xfId="0" applyNumberFormat="1" applyFont="1" applyFill="1" applyBorder="1" applyAlignment="1">
      <alignment horizontal="center" vertical="center"/>
    </xf>
    <xf numFmtId="2" fontId="366" fillId="409" borderId="1" xfId="0" applyNumberFormat="1" applyFont="1" applyFill="1" applyBorder="1" applyAlignment="1">
      <alignment horizontal="center" vertical="center"/>
    </xf>
    <xf numFmtId="2" fontId="367" fillId="410" borderId="1" xfId="0" applyNumberFormat="1" applyFont="1" applyFill="1" applyBorder="1" applyAlignment="1">
      <alignment horizontal="center" vertical="center"/>
    </xf>
    <xf numFmtId="2" fontId="368" fillId="411" borderId="1" xfId="0" applyNumberFormat="1" applyFont="1" applyFill="1" applyBorder="1" applyAlignment="1">
      <alignment horizontal="center" vertical="center"/>
    </xf>
    <xf numFmtId="10" fontId="369" fillId="412" borderId="1" xfId="0" applyNumberFormat="1" applyFont="1" applyFill="1" applyBorder="1" applyAlignment="1">
      <alignment horizontal="center" vertical="center"/>
    </xf>
    <xf numFmtId="10" fontId="370" fillId="413" borderId="1" xfId="0" applyNumberFormat="1" applyFont="1" applyFill="1" applyBorder="1" applyAlignment="1">
      <alignment horizontal="center" vertical="center"/>
    </xf>
    <xf numFmtId="10" fontId="371" fillId="414" borderId="1" xfId="0" applyNumberFormat="1" applyFont="1" applyFill="1" applyBorder="1" applyAlignment="1">
      <alignment horizontal="center" vertical="center"/>
    </xf>
    <xf numFmtId="10" fontId="372" fillId="415" borderId="1" xfId="0" applyNumberFormat="1" applyFont="1" applyFill="1" applyBorder="1" applyAlignment="1">
      <alignment horizontal="center" vertical="center"/>
    </xf>
    <xf numFmtId="10" fontId="373" fillId="416" borderId="1" xfId="0" applyNumberFormat="1" applyFont="1" applyFill="1" applyBorder="1" applyAlignment="1">
      <alignment horizontal="center" vertical="center"/>
    </xf>
    <xf numFmtId="10" fontId="374" fillId="417" borderId="1" xfId="0" applyNumberFormat="1" applyFont="1" applyFill="1" applyBorder="1" applyAlignment="1">
      <alignment horizontal="center" vertical="center" wrapText="1"/>
    </xf>
    <xf numFmtId="10" fontId="375" fillId="418" borderId="1" xfId="0" applyNumberFormat="1" applyFont="1" applyFill="1" applyBorder="1" applyAlignment="1">
      <alignment horizontal="center" vertical="center" wrapText="1"/>
    </xf>
    <xf numFmtId="10" fontId="376" fillId="419" borderId="1" xfId="0" applyNumberFormat="1" applyFont="1" applyFill="1" applyBorder="1" applyAlignment="1">
      <alignment horizontal="center" vertical="center" wrapText="1"/>
    </xf>
    <xf numFmtId="10" fontId="377" fillId="420" borderId="1" xfId="0" applyNumberFormat="1" applyFont="1" applyFill="1" applyBorder="1" applyAlignment="1">
      <alignment horizontal="center" vertical="center"/>
    </xf>
    <xf numFmtId="10" fontId="378" fillId="421" borderId="1" xfId="0" applyNumberFormat="1" applyFont="1" applyFill="1" applyBorder="1" applyAlignment="1">
      <alignment horizontal="center" vertical="center"/>
    </xf>
    <xf numFmtId="2" fontId="379" fillId="422" borderId="1" xfId="0" applyNumberFormat="1" applyFont="1" applyFill="1" applyBorder="1" applyAlignment="1">
      <alignment horizontal="center" vertical="center"/>
    </xf>
    <xf numFmtId="10" fontId="380" fillId="423" borderId="1" xfId="0" applyNumberFormat="1" applyFont="1" applyFill="1" applyBorder="1" applyAlignment="1">
      <alignment horizontal="center" vertical="center"/>
    </xf>
    <xf numFmtId="10" fontId="381" fillId="424" borderId="1" xfId="0" applyNumberFormat="1" applyFont="1" applyFill="1" applyBorder="1" applyAlignment="1">
      <alignment horizontal="center" vertical="center"/>
    </xf>
    <xf numFmtId="2" fontId="382" fillId="425" borderId="1" xfId="0" applyNumberFormat="1" applyFont="1" applyFill="1" applyBorder="1" applyAlignment="1">
      <alignment horizontal="center" vertical="center"/>
    </xf>
    <xf numFmtId="10" fontId="383" fillId="426" borderId="1" xfId="0" applyNumberFormat="1" applyFont="1" applyFill="1" applyBorder="1" applyAlignment="1">
      <alignment horizontal="center" vertical="center"/>
    </xf>
    <xf numFmtId="2" fontId="384" fillId="427" borderId="1" xfId="0" applyNumberFormat="1" applyFont="1" applyFill="1" applyBorder="1" applyAlignment="1">
      <alignment horizontal="center" vertical="center"/>
    </xf>
    <xf numFmtId="2" fontId="385" fillId="428" borderId="1" xfId="0" applyNumberFormat="1" applyFont="1" applyFill="1" applyBorder="1" applyAlignment="1">
      <alignment horizontal="center" vertical="center"/>
    </xf>
    <xf numFmtId="10" fontId="386" fillId="429" borderId="1" xfId="0" applyNumberFormat="1" applyFont="1" applyFill="1" applyBorder="1" applyAlignment="1">
      <alignment horizontal="center" vertical="center"/>
    </xf>
    <xf numFmtId="10" fontId="387" fillId="0" borderId="1" xfId="0" applyNumberFormat="1" applyFont="1" applyFill="1" applyBorder="1" applyAlignment="1">
      <alignment horizontal="center" vertical="center"/>
    </xf>
    <xf numFmtId="10" fontId="388" fillId="430" borderId="1" xfId="0" applyNumberFormat="1" applyFont="1" applyFill="1" applyBorder="1" applyAlignment="1">
      <alignment horizontal="center" vertical="center"/>
    </xf>
    <xf numFmtId="10" fontId="389" fillId="431" borderId="1" xfId="0" applyNumberFormat="1" applyFont="1" applyFill="1" applyBorder="1" applyAlignment="1">
      <alignment horizontal="center" vertical="center"/>
    </xf>
    <xf numFmtId="10" fontId="390" fillId="0" borderId="1" xfId="0" applyNumberFormat="1" applyFont="1" applyFill="1" applyBorder="1" applyAlignment="1">
      <alignment horizontal="center" vertical="center"/>
    </xf>
    <xf numFmtId="10" fontId="391" fillId="0" borderId="1" xfId="0" applyNumberFormat="1" applyFont="1" applyFill="1" applyBorder="1" applyAlignment="1">
      <alignment horizontal="center" vertical="center" wrapText="1"/>
    </xf>
    <xf numFmtId="10" fontId="392" fillId="0" borderId="1" xfId="0" applyNumberFormat="1" applyFont="1" applyFill="1" applyBorder="1" applyAlignment="1">
      <alignment horizontal="center" vertical="center"/>
    </xf>
    <xf numFmtId="2" fontId="393" fillId="432" borderId="1" xfId="0" applyNumberFormat="1" applyFont="1" applyFill="1" applyBorder="1" applyAlignment="1">
      <alignment horizontal="center" vertical="center"/>
    </xf>
    <xf numFmtId="10" fontId="394" fillId="433" borderId="1" xfId="0" applyNumberFormat="1" applyFont="1" applyFill="1" applyBorder="1" applyAlignment="1">
      <alignment horizontal="center" vertical="center" wrapText="1"/>
    </xf>
    <xf numFmtId="2" fontId="395" fillId="434" borderId="1" xfId="0" applyNumberFormat="1" applyFont="1" applyFill="1" applyBorder="1" applyAlignment="1">
      <alignment horizontal="center" vertical="center"/>
    </xf>
    <xf numFmtId="10" fontId="396" fillId="435" borderId="1" xfId="0" applyNumberFormat="1" applyFont="1" applyFill="1" applyBorder="1" applyAlignment="1">
      <alignment horizontal="center" vertical="center"/>
    </xf>
    <xf numFmtId="2" fontId="397" fillId="0" borderId="1" xfId="0" applyNumberFormat="1" applyFont="1" applyFill="1" applyBorder="1" applyAlignment="1">
      <alignment horizontal="center" vertical="center"/>
    </xf>
    <xf numFmtId="2" fontId="398" fillId="436" borderId="1" xfId="0" applyNumberFormat="1" applyFont="1" applyFill="1" applyBorder="1" applyAlignment="1">
      <alignment horizontal="center" vertical="center"/>
    </xf>
    <xf numFmtId="10" fontId="399" fillId="437" borderId="1" xfId="0" applyNumberFormat="1" applyFont="1" applyFill="1" applyBorder="1" applyAlignment="1">
      <alignment horizontal="center" vertical="center"/>
    </xf>
    <xf numFmtId="2" fontId="400" fillId="438" borderId="1" xfId="0" applyNumberFormat="1" applyFont="1" applyFill="1" applyBorder="1" applyAlignment="1">
      <alignment horizontal="center" vertical="center" wrapText="1"/>
    </xf>
    <xf numFmtId="0" fontId="401" fillId="0" borderId="0" xfId="0" applyNumberFormat="1" applyFont="1" applyFill="1" applyBorder="1" applyAlignment="1">
      <alignment vertical="center"/>
    </xf>
    <xf numFmtId="0" fontId="401" fillId="0" borderId="11" xfId="0" applyNumberFormat="1" applyFont="1" applyFill="1" applyBorder="1" applyAlignment="1">
      <alignment vertical="center"/>
    </xf>
    <xf numFmtId="0" fontId="401" fillId="0" borderId="11" xfId="0" applyNumberFormat="1" applyFont="1" applyFill="1" applyBorder="1" applyAlignment="1">
      <alignment vertical="center" wrapText="1"/>
    </xf>
    <xf numFmtId="0" fontId="401" fillId="0" borderId="11" xfId="0" applyNumberFormat="1" applyFont="1" applyFill="1" applyBorder="1" applyAlignment="1">
      <alignment vertical="top" wrapText="1"/>
    </xf>
    <xf numFmtId="0" fontId="401" fillId="439" borderId="11" xfId="0" applyNumberFormat="1" applyFont="1" applyFill="1" applyBorder="1" applyAlignment="1">
      <alignment vertical="top" wrapText="1"/>
    </xf>
    <xf numFmtId="0" fontId="402" fillId="439" borderId="11" xfId="0" applyNumberFormat="1" applyFont="1" applyFill="1" applyBorder="1" applyAlignment="1">
      <alignment vertical="top" wrapText="1"/>
    </xf>
    <xf numFmtId="0" fontId="402" fillId="439" borderId="12" xfId="0" applyNumberFormat="1" applyFont="1" applyFill="1" applyBorder="1" applyAlignment="1">
      <alignment vertical="top" wrapText="1"/>
    </xf>
    <xf numFmtId="0" fontId="402" fillId="439" borderId="12" xfId="0" applyNumberFormat="1" applyFont="1" applyFill="1" applyBorder="1" applyAlignment="1">
      <alignment horizontal="center" vertical="top" wrapText="1"/>
    </xf>
    <xf numFmtId="0" fontId="402" fillId="439" borderId="12" xfId="0" applyNumberFormat="1" applyFont="1" applyFill="1" applyBorder="1" applyAlignment="1">
      <alignment horizontal="center" vertical="center" wrapText="1"/>
    </xf>
    <xf numFmtId="0" fontId="401" fillId="440" borderId="11" xfId="0" applyNumberFormat="1" applyFont="1" applyFill="1" applyBorder="1" applyAlignment="1">
      <alignment vertical="top" wrapText="1"/>
    </xf>
    <xf numFmtId="0" fontId="403" fillId="440" borderId="11" xfId="0" applyNumberFormat="1" applyFont="1" applyFill="1" applyBorder="1" applyAlignment="1">
      <alignment vertical="top" wrapText="1"/>
    </xf>
    <xf numFmtId="0" fontId="403" fillId="440" borderId="13" xfId="0" applyNumberFormat="1" applyFont="1" applyFill="1" applyBorder="1" applyAlignment="1">
      <alignment vertical="top" wrapText="1"/>
    </xf>
    <xf numFmtId="0" fontId="401" fillId="441" borderId="11" xfId="0" applyNumberFormat="1" applyFont="1" applyFill="1" applyBorder="1" applyAlignment="1">
      <alignment vertical="top" wrapText="1"/>
    </xf>
    <xf numFmtId="0" fontId="401" fillId="441" borderId="11" xfId="0" applyNumberFormat="1" applyFont="1" applyFill="1" applyBorder="1" applyAlignment="1">
      <alignment horizontal="center" vertical="top" wrapText="1"/>
    </xf>
    <xf numFmtId="0" fontId="401" fillId="441" borderId="11" xfId="0" applyNumberFormat="1" applyFont="1" applyFill="1" applyBorder="1" applyAlignment="1">
      <alignment horizontal="center" vertical="center" wrapText="1"/>
    </xf>
    <xf numFmtId="0" fontId="401" fillId="442" borderId="11" xfId="0" applyNumberFormat="1" applyFont="1" applyFill="1" applyBorder="1" applyAlignment="1">
      <alignment vertical="top" wrapText="1"/>
    </xf>
    <xf numFmtId="0" fontId="404" fillId="442" borderId="11" xfId="0" applyNumberFormat="1" applyFont="1" applyFill="1" applyBorder="1" applyAlignment="1">
      <alignment vertical="top" wrapText="1"/>
    </xf>
    <xf numFmtId="0" fontId="404" fillId="442" borderId="11" xfId="0" applyNumberFormat="1" applyFont="1" applyFill="1" applyBorder="1" applyAlignment="1">
      <alignment horizontal="center" vertical="top" wrapText="1"/>
    </xf>
    <xf numFmtId="0" fontId="404" fillId="442" borderId="11" xfId="0" applyNumberFormat="1" applyFont="1" applyFill="1" applyBorder="1" applyAlignment="1">
      <alignment horizontal="center" vertical="center" wrapText="1"/>
    </xf>
    <xf numFmtId="0" fontId="405" fillId="441" borderId="11" xfId="0" applyNumberFormat="1" applyFont="1" applyFill="1" applyBorder="1" applyAlignment="1">
      <alignment vertical="top" wrapText="1"/>
    </xf>
    <xf numFmtId="0" fontId="405" fillId="441" borderId="11" xfId="0" applyNumberFormat="1" applyFont="1" applyFill="1" applyBorder="1" applyAlignment="1">
      <alignment horizontal="center" vertical="top" wrapText="1"/>
    </xf>
    <xf numFmtId="0" fontId="405" fillId="441" borderId="11" xfId="0" applyNumberFormat="1" applyFont="1" applyFill="1" applyBorder="1" applyAlignment="1">
      <alignment horizontal="center" vertical="center" wrapText="1"/>
    </xf>
    <xf numFmtId="0" fontId="401" fillId="443" borderId="11" xfId="0" applyNumberFormat="1" applyFont="1" applyFill="1" applyBorder="1" applyAlignment="1">
      <alignment vertical="top" wrapText="1"/>
    </xf>
    <xf numFmtId="0" fontId="406" fillId="443" borderId="11" xfId="0" applyNumberFormat="1" applyFont="1" applyFill="1" applyBorder="1" applyAlignment="1">
      <alignment vertical="top" wrapText="1"/>
    </xf>
    <xf numFmtId="0" fontId="406" fillId="443" borderId="11" xfId="0" applyNumberFormat="1" applyFont="1" applyFill="1" applyBorder="1" applyAlignment="1">
      <alignment horizontal="center" vertical="top" wrapText="1"/>
    </xf>
    <xf numFmtId="0" fontId="406" fillId="443" borderId="11" xfId="0" applyNumberFormat="1" applyFont="1" applyFill="1" applyBorder="1" applyAlignment="1">
      <alignment horizontal="center" vertical="center" wrapText="1"/>
    </xf>
    <xf numFmtId="0" fontId="401" fillId="444" borderId="11" xfId="0" applyNumberFormat="1" applyFont="1" applyFill="1" applyBorder="1" applyAlignment="1">
      <alignment vertical="top" wrapText="1"/>
    </xf>
    <xf numFmtId="0" fontId="401" fillId="444" borderId="11" xfId="0" applyNumberFormat="1" applyFont="1" applyFill="1" applyBorder="1" applyAlignment="1">
      <alignment horizontal="center" vertical="top" wrapText="1"/>
    </xf>
    <xf numFmtId="0" fontId="401" fillId="444" borderId="11" xfId="0" applyNumberFormat="1" applyFont="1" applyFill="1" applyBorder="1" applyAlignment="1">
      <alignment horizontal="center" vertical="center" wrapText="1"/>
    </xf>
    <xf numFmtId="0" fontId="401" fillId="445" borderId="11" xfId="0" applyNumberFormat="1" applyFont="1" applyFill="1" applyBorder="1" applyAlignment="1">
      <alignment vertical="top" wrapText="1"/>
    </xf>
    <xf numFmtId="0" fontId="401" fillId="445" borderId="11" xfId="0" applyNumberFormat="1" applyFont="1" applyFill="1" applyBorder="1" applyAlignment="1">
      <alignment horizontal="center" vertical="top" wrapText="1"/>
    </xf>
    <xf numFmtId="0" fontId="401" fillId="445" borderId="11" xfId="0" applyNumberFormat="1" applyFont="1" applyFill="1" applyBorder="1" applyAlignment="1">
      <alignment horizontal="center" vertical="center" wrapText="1"/>
    </xf>
    <xf numFmtId="0" fontId="401" fillId="446" borderId="11" xfId="0" applyNumberFormat="1" applyFont="1" applyFill="1" applyBorder="1" applyAlignment="1">
      <alignment vertical="top" wrapText="1"/>
    </xf>
    <xf numFmtId="0" fontId="407" fillId="446" borderId="11" xfId="0" applyNumberFormat="1" applyFont="1" applyFill="1" applyBorder="1" applyAlignment="1">
      <alignment vertical="top" wrapText="1"/>
    </xf>
    <xf numFmtId="0" fontId="407" fillId="446" borderId="11" xfId="0" applyNumberFormat="1" applyFont="1" applyFill="1" applyBorder="1" applyAlignment="1">
      <alignment horizontal="center" vertical="top" wrapText="1"/>
    </xf>
    <xf numFmtId="0" fontId="407" fillId="446" borderId="11" xfId="0" applyNumberFormat="1" applyFont="1" applyFill="1" applyBorder="1" applyAlignment="1">
      <alignment horizontal="center" vertical="center" wrapText="1"/>
    </xf>
    <xf numFmtId="0" fontId="401" fillId="447" borderId="11" xfId="0" applyNumberFormat="1" applyFont="1" applyFill="1" applyBorder="1" applyAlignment="1">
      <alignment vertical="top" wrapText="1"/>
    </xf>
    <xf numFmtId="0" fontId="401" fillId="447" borderId="11" xfId="0" applyNumberFormat="1" applyFont="1" applyFill="1" applyBorder="1" applyAlignment="1">
      <alignment horizontal="center" vertical="top" wrapText="1"/>
    </xf>
    <xf numFmtId="0" fontId="401" fillId="447" borderId="11" xfId="0" applyNumberFormat="1" applyFont="1" applyFill="1" applyBorder="1" applyAlignment="1">
      <alignment horizontal="center" vertical="center" wrapText="1"/>
    </xf>
    <xf numFmtId="0" fontId="401" fillId="448" borderId="11" xfId="0" applyNumberFormat="1" applyFont="1" applyFill="1" applyBorder="1" applyAlignment="1">
      <alignment vertical="top" wrapText="1"/>
    </xf>
    <xf numFmtId="0" fontId="408" fillId="448" borderId="11" xfId="0" applyNumberFormat="1" applyFont="1" applyFill="1" applyBorder="1" applyAlignment="1">
      <alignment vertical="top" wrapText="1"/>
    </xf>
    <xf numFmtId="0" fontId="408" fillId="448" borderId="11" xfId="0" applyNumberFormat="1" applyFont="1" applyFill="1" applyBorder="1" applyAlignment="1">
      <alignment horizontal="center" vertical="top" wrapText="1"/>
    </xf>
    <xf numFmtId="0" fontId="408" fillId="448" borderId="11" xfId="0" applyNumberFormat="1" applyFont="1" applyFill="1" applyBorder="1" applyAlignment="1">
      <alignment horizontal="center" vertical="center" wrapText="1"/>
    </xf>
    <xf numFmtId="2" fontId="284" fillId="340" borderId="1" xfId="0" applyNumberFormat="1" applyFont="1" applyFill="1" applyBorder="1" applyAlignment="1">
      <alignment horizontal="center" vertical="center"/>
    </xf>
    <xf numFmtId="2" fontId="285" fillId="341" borderId="1" xfId="0" applyNumberFormat="1" applyFont="1" applyFill="1" applyBorder="1" applyAlignment="1">
      <alignment horizontal="center" vertical="center"/>
    </xf>
    <xf numFmtId="10" fontId="286" fillId="0" borderId="1" xfId="0" applyNumberFormat="1" applyFont="1" applyFill="1" applyBorder="1" applyAlignment="1">
      <alignment horizontal="center" vertical="center"/>
    </xf>
    <xf numFmtId="2" fontId="287" fillId="0" borderId="1" xfId="0" applyNumberFormat="1" applyFont="1" applyFill="1" applyBorder="1" applyAlignment="1">
      <alignment horizontal="center" vertical="center"/>
    </xf>
    <xf numFmtId="2" fontId="409" fillId="449" borderId="1" xfId="0" applyNumberFormat="1" applyFont="1" applyFill="1" applyBorder="1" applyAlignment="1">
      <alignment horizontal="center" vertical="center"/>
    </xf>
    <xf numFmtId="2" fontId="410" fillId="450" borderId="1" xfId="0" applyNumberFormat="1" applyFont="1" applyFill="1" applyBorder="1" applyAlignment="1">
      <alignment horizontal="center" vertical="center"/>
    </xf>
    <xf numFmtId="10" fontId="411" fillId="0" borderId="1" xfId="0" applyNumberFormat="1" applyFont="1" applyFill="1" applyBorder="1" applyAlignment="1">
      <alignment horizontal="center" vertical="center"/>
    </xf>
    <xf numFmtId="2" fontId="412" fillId="0" borderId="1" xfId="0" applyNumberFormat="1" applyFont="1" applyFill="1" applyBorder="1" applyAlignment="1">
      <alignment horizontal="center" vertical="center"/>
    </xf>
    <xf numFmtId="10" fontId="288" fillId="342" borderId="1" xfId="0" applyNumberFormat="1" applyFont="1" applyFill="1" applyBorder="1" applyAlignment="1">
      <alignment horizontal="center" vertical="center"/>
    </xf>
    <xf numFmtId="10" fontId="413" fillId="451" borderId="1" xfId="0" applyNumberFormat="1" applyFont="1" applyFill="1" applyBorder="1" applyAlignment="1">
      <alignment horizontal="center" vertical="center"/>
    </xf>
    <xf numFmtId="10" fontId="289" fillId="343" borderId="1" xfId="0" applyNumberFormat="1" applyFont="1" applyFill="1" applyBorder="1" applyAlignment="1">
      <alignment horizontal="center" vertical="center"/>
    </xf>
    <xf numFmtId="10" fontId="414" fillId="452" borderId="1" xfId="0" applyNumberFormat="1" applyFont="1" applyFill="1" applyBorder="1" applyAlignment="1">
      <alignment horizontal="center" vertical="center"/>
    </xf>
    <xf numFmtId="10" fontId="290" fillId="344" borderId="1" xfId="0" applyNumberFormat="1" applyFont="1" applyFill="1" applyBorder="1" applyAlignment="1">
      <alignment horizontal="center" vertical="center"/>
    </xf>
    <xf numFmtId="10" fontId="415" fillId="453" borderId="1" xfId="0" applyNumberFormat="1" applyFont="1" applyFill="1" applyBorder="1" applyAlignment="1">
      <alignment horizontal="center" vertical="center"/>
    </xf>
    <xf numFmtId="10" fontId="291" fillId="345" borderId="1" xfId="0" applyNumberFormat="1" applyFont="1" applyFill="1" applyBorder="1" applyAlignment="1">
      <alignment horizontal="center" vertical="center"/>
    </xf>
    <xf numFmtId="10" fontId="416" fillId="454" borderId="1" xfId="0" applyNumberFormat="1" applyFont="1" applyFill="1" applyBorder="1" applyAlignment="1">
      <alignment horizontal="center" vertical="center"/>
    </xf>
    <xf numFmtId="10" fontId="292" fillId="346" borderId="1" xfId="0" applyNumberFormat="1" applyFont="1" applyFill="1" applyBorder="1" applyAlignment="1">
      <alignment horizontal="center" vertical="center"/>
    </xf>
    <xf numFmtId="10" fontId="417" fillId="455" borderId="1" xfId="0" applyNumberFormat="1" applyFont="1" applyFill="1" applyBorder="1" applyAlignment="1">
      <alignment horizontal="center" vertical="center"/>
    </xf>
    <xf numFmtId="10" fontId="293" fillId="347" borderId="1" xfId="0" applyNumberFormat="1" applyFont="1" applyFill="1" applyBorder="1" applyAlignment="1">
      <alignment horizontal="center" vertical="center"/>
    </xf>
    <xf numFmtId="10" fontId="418" fillId="456" borderId="1" xfId="0" applyNumberFormat="1" applyFont="1" applyFill="1" applyBorder="1" applyAlignment="1">
      <alignment horizontal="center" vertical="center"/>
    </xf>
    <xf numFmtId="10" fontId="294" fillId="348" borderId="1" xfId="0" applyNumberFormat="1" applyFont="1" applyFill="1" applyBorder="1" applyAlignment="1">
      <alignment horizontal="center" vertical="center"/>
    </xf>
    <xf numFmtId="10" fontId="419" fillId="457" borderId="1" xfId="0" applyNumberFormat="1" applyFont="1" applyFill="1" applyBorder="1" applyAlignment="1">
      <alignment horizontal="center" vertical="center"/>
    </xf>
    <xf numFmtId="10" fontId="295" fillId="349" borderId="1" xfId="0" applyNumberFormat="1" applyFont="1" applyFill="1" applyBorder="1" applyAlignment="1">
      <alignment horizontal="center" vertical="center"/>
    </xf>
    <xf numFmtId="10" fontId="420" fillId="458" borderId="1" xfId="0" applyNumberFormat="1" applyFont="1" applyFill="1" applyBorder="1" applyAlignment="1">
      <alignment horizontal="center" vertical="center"/>
    </xf>
    <xf numFmtId="10" fontId="296" fillId="350" borderId="1" xfId="0" applyNumberFormat="1" applyFont="1" applyFill="1" applyBorder="1" applyAlignment="1">
      <alignment horizontal="center" vertical="center"/>
    </xf>
    <xf numFmtId="10" fontId="297" fillId="351" borderId="1" xfId="0" applyNumberFormat="1" applyFont="1" applyFill="1" applyBorder="1" applyAlignment="1">
      <alignment horizontal="center" vertical="center"/>
    </xf>
    <xf numFmtId="10" fontId="421" fillId="459" borderId="1" xfId="0" applyNumberFormat="1" applyFont="1" applyFill="1" applyBorder="1" applyAlignment="1">
      <alignment horizontal="center" vertical="center"/>
    </xf>
    <xf numFmtId="10" fontId="422" fillId="460" borderId="1" xfId="0" applyNumberFormat="1" applyFont="1" applyFill="1" applyBorder="1" applyAlignment="1">
      <alignment horizontal="center" vertical="center"/>
    </xf>
    <xf numFmtId="10" fontId="298" fillId="352" borderId="1" xfId="0" applyNumberFormat="1" applyFont="1" applyFill="1" applyBorder="1" applyAlignment="1">
      <alignment horizontal="center" vertical="center"/>
    </xf>
    <xf numFmtId="10" fontId="423" fillId="461" borderId="1" xfId="0" applyNumberFormat="1" applyFont="1" applyFill="1" applyBorder="1" applyAlignment="1">
      <alignment horizontal="center" vertical="center"/>
    </xf>
    <xf numFmtId="2" fontId="299" fillId="353" borderId="1" xfId="0" applyNumberFormat="1" applyFont="1" applyFill="1" applyBorder="1" applyAlignment="1">
      <alignment horizontal="center" vertical="center"/>
    </xf>
    <xf numFmtId="10" fontId="300" fillId="354" borderId="1" xfId="0" applyNumberFormat="1" applyFont="1" applyFill="1" applyBorder="1" applyAlignment="1">
      <alignment horizontal="center" vertical="center"/>
    </xf>
    <xf numFmtId="2" fontId="424" fillId="462" borderId="1" xfId="0" applyNumberFormat="1" applyFont="1" applyFill="1" applyBorder="1" applyAlignment="1">
      <alignment horizontal="center" vertical="center"/>
    </xf>
    <xf numFmtId="10" fontId="425" fillId="463" borderId="1" xfId="0" applyNumberFormat="1" applyFont="1" applyFill="1" applyBorder="1" applyAlignment="1">
      <alignment horizontal="center" vertical="center"/>
    </xf>
    <xf numFmtId="2" fontId="301" fillId="355" borderId="1" xfId="0" applyNumberFormat="1" applyFont="1" applyFill="1" applyBorder="1" applyAlignment="1">
      <alignment horizontal="center" vertical="center"/>
    </xf>
    <xf numFmtId="2" fontId="426" fillId="464" borderId="1" xfId="0" applyNumberFormat="1" applyFont="1" applyFill="1" applyBorder="1" applyAlignment="1">
      <alignment horizontal="center" vertical="center"/>
    </xf>
    <xf numFmtId="10" fontId="427" fillId="0" borderId="1" xfId="0" applyNumberFormat="1" applyFont="1" applyFill="1" applyBorder="1" applyAlignment="1">
      <alignment horizontal="center" vertical="center"/>
    </xf>
    <xf numFmtId="2" fontId="303" fillId="356" borderId="1" xfId="0" applyNumberFormat="1" applyFont="1" applyFill="1" applyBorder="1" applyAlignment="1">
      <alignment horizontal="center" vertical="center"/>
    </xf>
    <xf numFmtId="2" fontId="304" fillId="357" borderId="1" xfId="0" applyNumberFormat="1" applyFont="1" applyFill="1" applyBorder="1" applyAlignment="1">
      <alignment horizontal="center" vertical="center"/>
    </xf>
    <xf numFmtId="2" fontId="428" fillId="465" borderId="1" xfId="0" applyNumberFormat="1" applyFont="1" applyFill="1" applyBorder="1" applyAlignment="1">
      <alignment horizontal="center" vertical="center"/>
    </xf>
    <xf numFmtId="2" fontId="429" fillId="466" borderId="1" xfId="0" applyNumberFormat="1" applyFont="1" applyFill="1" applyBorder="1" applyAlignment="1">
      <alignment horizontal="center" vertical="center"/>
    </xf>
    <xf numFmtId="2" fontId="305" fillId="358" borderId="1" xfId="0" applyNumberFormat="1" applyFont="1" applyFill="1" applyBorder="1" applyAlignment="1">
      <alignment horizontal="center" vertical="center"/>
    </xf>
    <xf numFmtId="2" fontId="306" fillId="0" borderId="1" xfId="0" applyNumberFormat="1" applyFont="1" applyFill="1" applyBorder="1" applyAlignment="1">
      <alignment horizontal="center" vertical="center"/>
    </xf>
    <xf numFmtId="2" fontId="430" fillId="467" borderId="1" xfId="0" applyNumberFormat="1" applyFont="1" applyFill="1" applyBorder="1" applyAlignment="1">
      <alignment horizontal="center" vertical="center"/>
    </xf>
    <xf numFmtId="2" fontId="431" fillId="0" borderId="1" xfId="0" applyNumberFormat="1" applyFont="1" applyFill="1" applyBorder="1" applyAlignment="1">
      <alignment horizontal="center" vertical="center"/>
    </xf>
    <xf numFmtId="10" fontId="307" fillId="359" borderId="1" xfId="0" applyNumberFormat="1" applyFont="1" applyFill="1" applyBorder="1" applyAlignment="1">
      <alignment horizontal="center" vertical="center"/>
    </xf>
    <xf numFmtId="10" fontId="432" fillId="468" borderId="1" xfId="0" applyNumberFormat="1" applyFont="1" applyFill="1" applyBorder="1" applyAlignment="1">
      <alignment horizontal="center" vertical="center"/>
    </xf>
    <xf numFmtId="10" fontId="308" fillId="360" borderId="1" xfId="0" applyNumberFormat="1" applyFont="1" applyFill="1" applyBorder="1" applyAlignment="1">
      <alignment horizontal="center" vertical="center"/>
    </xf>
    <xf numFmtId="10" fontId="433" fillId="469" borderId="1" xfId="0" applyNumberFormat="1" applyFont="1" applyFill="1" applyBorder="1" applyAlignment="1">
      <alignment horizontal="center" vertical="center"/>
    </xf>
    <xf numFmtId="10" fontId="309" fillId="361" borderId="1" xfId="0" applyNumberFormat="1" applyFont="1" applyFill="1" applyBorder="1" applyAlignment="1">
      <alignment horizontal="center" vertical="center"/>
    </xf>
    <xf numFmtId="10" fontId="434" fillId="470" borderId="1" xfId="0" applyNumberFormat="1" applyFont="1" applyFill="1" applyBorder="1" applyAlignment="1">
      <alignment horizontal="center" vertical="center"/>
    </xf>
    <xf numFmtId="2" fontId="310" fillId="362" borderId="1" xfId="0" applyNumberFormat="1" applyFont="1" applyFill="1" applyBorder="1" applyAlignment="1">
      <alignment horizontal="center" vertical="center"/>
    </xf>
    <xf numFmtId="2" fontId="311" fillId="363" borderId="1" xfId="0" applyNumberFormat="1" applyFont="1" applyFill="1" applyBorder="1" applyAlignment="1">
      <alignment horizontal="center" vertical="center"/>
    </xf>
    <xf numFmtId="10" fontId="312" fillId="364" borderId="1" xfId="0" applyNumberFormat="1" applyFont="1" applyFill="1" applyBorder="1" applyAlignment="1">
      <alignment horizontal="center" vertical="center"/>
    </xf>
    <xf numFmtId="2" fontId="313" fillId="365" borderId="1" xfId="0" applyNumberFormat="1" applyFont="1" applyFill="1" applyBorder="1" applyAlignment="1">
      <alignment horizontal="center" vertical="center"/>
    </xf>
    <xf numFmtId="2" fontId="435" fillId="471" borderId="1" xfId="0" applyNumberFormat="1" applyFont="1" applyFill="1" applyBorder="1" applyAlignment="1">
      <alignment horizontal="center" vertical="center"/>
    </xf>
    <xf numFmtId="2" fontId="436" fillId="0" borderId="1" xfId="0" applyNumberFormat="1" applyFont="1" applyFill="1" applyBorder="1" applyAlignment="1">
      <alignment horizontal="center" vertical="center"/>
    </xf>
    <xf numFmtId="10" fontId="437" fillId="472" borderId="1" xfId="0" applyNumberFormat="1" applyFont="1" applyFill="1" applyBorder="1" applyAlignment="1">
      <alignment horizontal="center" vertical="center"/>
    </xf>
    <xf numFmtId="2" fontId="438" fillId="473" borderId="1" xfId="0" applyNumberFormat="1" applyFont="1" applyFill="1" applyBorder="1" applyAlignment="1">
      <alignment horizontal="center" vertical="center"/>
    </xf>
    <xf numFmtId="2" fontId="314" fillId="0" borderId="1" xfId="0" applyNumberFormat="1" applyFont="1" applyFill="1" applyBorder="1" applyAlignment="1">
      <alignment horizontal="center" vertical="center"/>
    </xf>
    <xf numFmtId="2" fontId="315" fillId="366" borderId="1" xfId="0" applyNumberFormat="1" applyFont="1" applyFill="1" applyBorder="1" applyAlignment="1">
      <alignment horizontal="center" vertical="center"/>
    </xf>
    <xf numFmtId="2" fontId="439" fillId="474" borderId="1" xfId="0" applyNumberFormat="1" applyFont="1" applyFill="1" applyBorder="1" applyAlignment="1">
      <alignment horizontal="center" vertical="center"/>
    </xf>
    <xf numFmtId="2" fontId="440" fillId="475" borderId="1" xfId="0" applyNumberFormat="1" applyFont="1" applyFill="1" applyBorder="1" applyAlignment="1">
      <alignment horizontal="center" vertical="center"/>
    </xf>
    <xf numFmtId="2" fontId="316" fillId="0" borderId="1" xfId="0" applyNumberFormat="1" applyFont="1" applyFill="1" applyBorder="1" applyAlignment="1">
      <alignment horizontal="center" vertical="center"/>
    </xf>
    <xf numFmtId="2" fontId="317" fillId="367" borderId="1" xfId="0" applyNumberFormat="1" applyFont="1" applyFill="1" applyBorder="1" applyAlignment="1">
      <alignment horizontal="center" vertical="center"/>
    </xf>
    <xf numFmtId="2" fontId="318" fillId="368" borderId="1" xfId="0" applyNumberFormat="1" applyFont="1" applyFill="1" applyBorder="1" applyAlignment="1">
      <alignment horizontal="center" vertical="center"/>
    </xf>
    <xf numFmtId="2" fontId="441" fillId="0" borderId="1" xfId="0" applyNumberFormat="1" applyFont="1" applyFill="1" applyBorder="1" applyAlignment="1">
      <alignment horizontal="center" vertical="center"/>
    </xf>
    <xf numFmtId="2" fontId="442" fillId="476" borderId="1" xfId="0" applyNumberFormat="1" applyFont="1" applyFill="1" applyBorder="1" applyAlignment="1">
      <alignment horizontal="center" vertical="center"/>
    </xf>
    <xf numFmtId="2" fontId="443" fillId="477" borderId="1" xfId="0" applyNumberFormat="1" applyFont="1" applyFill="1" applyBorder="1" applyAlignment="1">
      <alignment horizontal="center" vertical="center"/>
    </xf>
    <xf numFmtId="10" fontId="319" fillId="369" borderId="1" xfId="0" applyNumberFormat="1" applyFont="1" applyFill="1" applyBorder="1" applyAlignment="1">
      <alignment horizontal="center" vertical="center"/>
    </xf>
    <xf numFmtId="10" fontId="320" fillId="0" borderId="1" xfId="0" applyNumberFormat="1" applyFont="1" applyFill="1" applyBorder="1" applyAlignment="1">
      <alignment horizontal="center" vertical="center"/>
    </xf>
    <xf numFmtId="10" fontId="444" fillId="478" borderId="1" xfId="0" applyNumberFormat="1" applyFont="1" applyFill="1" applyBorder="1" applyAlignment="1">
      <alignment horizontal="center" vertical="center"/>
    </xf>
    <xf numFmtId="10" fontId="445" fillId="0" borderId="1" xfId="0" applyNumberFormat="1" applyFont="1" applyFill="1" applyBorder="1" applyAlignment="1">
      <alignment horizontal="center" vertical="center"/>
    </xf>
    <xf numFmtId="10" fontId="321" fillId="370" borderId="1" xfId="0" applyNumberFormat="1" applyFont="1" applyFill="1" applyBorder="1" applyAlignment="1">
      <alignment horizontal="center" vertical="center"/>
    </xf>
    <xf numFmtId="10" fontId="446" fillId="479" borderId="1" xfId="0" applyNumberFormat="1" applyFont="1" applyFill="1" applyBorder="1" applyAlignment="1">
      <alignment horizontal="center" vertical="center"/>
    </xf>
    <xf numFmtId="2" fontId="322" fillId="371" borderId="1" xfId="0" applyNumberFormat="1" applyFont="1" applyFill="1" applyBorder="1" applyAlignment="1">
      <alignment horizontal="center" vertical="center"/>
    </xf>
    <xf numFmtId="2" fontId="447" fillId="480" borderId="1" xfId="0" applyNumberFormat="1" applyFont="1" applyFill="1" applyBorder="1" applyAlignment="1">
      <alignment horizontal="center" vertical="center"/>
    </xf>
    <xf numFmtId="2" fontId="323" fillId="372" borderId="1" xfId="0" applyNumberFormat="1" applyFont="1" applyFill="1" applyBorder="1" applyAlignment="1">
      <alignment horizontal="center" vertical="center"/>
    </xf>
    <xf numFmtId="2" fontId="448" fillId="481" borderId="1" xfId="0" applyNumberFormat="1" applyFont="1" applyFill="1" applyBorder="1" applyAlignment="1">
      <alignment horizontal="center" vertical="center"/>
    </xf>
    <xf numFmtId="0" fontId="449" fillId="0" borderId="1" xfId="0" applyFont="1" applyFill="1" applyBorder="1" applyAlignment="1">
      <alignment horizontal="center" vertical="center"/>
    </xf>
    <xf numFmtId="2" fontId="325" fillId="373" borderId="1" xfId="0" applyNumberFormat="1" applyFont="1" applyFill="1" applyBorder="1" applyAlignment="1">
      <alignment horizontal="center" vertical="center"/>
    </xf>
    <xf numFmtId="2" fontId="326" fillId="374" borderId="1" xfId="0" applyNumberFormat="1" applyFont="1" applyFill="1" applyBorder="1" applyAlignment="1">
      <alignment horizontal="center" vertical="center"/>
    </xf>
    <xf numFmtId="2" fontId="327" fillId="375" borderId="1" xfId="0" applyNumberFormat="1" applyFont="1" applyFill="1" applyBorder="1" applyAlignment="1">
      <alignment horizontal="center" vertical="center"/>
    </xf>
    <xf numFmtId="2" fontId="450" fillId="482" borderId="1" xfId="0" applyNumberFormat="1" applyFont="1" applyFill="1" applyBorder="1" applyAlignment="1">
      <alignment horizontal="center" vertical="center"/>
    </xf>
    <xf numFmtId="2" fontId="451" fillId="483" borderId="1" xfId="0" applyNumberFormat="1" applyFont="1" applyFill="1" applyBorder="1" applyAlignment="1">
      <alignment horizontal="center" vertical="center"/>
    </xf>
    <xf numFmtId="2" fontId="452" fillId="484" borderId="1" xfId="0" applyNumberFormat="1" applyFont="1" applyFill="1" applyBorder="1" applyAlignment="1">
      <alignment horizontal="center" vertical="center"/>
    </xf>
    <xf numFmtId="0" fontId="453" fillId="0" borderId="1" xfId="0" applyFont="1" applyFill="1" applyBorder="1" applyAlignment="1">
      <alignment horizontal="center" vertical="center" wrapText="1"/>
    </xf>
    <xf numFmtId="2" fontId="329" fillId="376" borderId="1" xfId="0" applyNumberFormat="1" applyFont="1" applyFill="1" applyBorder="1" applyAlignment="1">
      <alignment horizontal="center" vertical="center"/>
    </xf>
    <xf numFmtId="2" fontId="454" fillId="0" borderId="1" xfId="0" applyNumberFormat="1" applyFont="1" applyFill="1" applyBorder="1" applyAlignment="1">
      <alignment horizontal="center" vertical="center"/>
    </xf>
    <xf numFmtId="2" fontId="330" fillId="377" borderId="1" xfId="0" applyNumberFormat="1" applyFont="1" applyFill="1" applyBorder="1" applyAlignment="1">
      <alignment horizontal="center" vertical="center"/>
    </xf>
    <xf numFmtId="2" fontId="455" fillId="0" borderId="1" xfId="0" applyNumberFormat="1" applyFont="1" applyFill="1" applyBorder="1" applyAlignment="1">
      <alignment horizontal="center" vertical="center"/>
    </xf>
    <xf numFmtId="2" fontId="456" fillId="0" borderId="1" xfId="0" applyNumberFormat="1" applyFont="1" applyFill="1" applyBorder="1" applyAlignment="1">
      <alignment horizontal="center" vertical="center"/>
    </xf>
    <xf numFmtId="2" fontId="457" fillId="485" borderId="1" xfId="0" applyNumberFormat="1" applyFont="1" applyFill="1" applyBorder="1" applyAlignment="1">
      <alignment horizontal="center" vertical="center"/>
    </xf>
    <xf numFmtId="2" fontId="458" fillId="486" borderId="1" xfId="0" applyNumberFormat="1" applyFont="1" applyFill="1" applyBorder="1" applyAlignment="1">
      <alignment horizontal="center" vertical="center"/>
    </xf>
    <xf numFmtId="2" fontId="459" fillId="487" borderId="1" xfId="0" applyNumberFormat="1" applyFont="1" applyFill="1" applyBorder="1" applyAlignment="1">
      <alignment horizontal="center" vertical="center"/>
    </xf>
    <xf numFmtId="2" fontId="460" fillId="488" borderId="1" xfId="0" applyNumberFormat="1" applyFont="1" applyFill="1" applyBorder="1" applyAlignment="1">
      <alignment horizontal="center" vertical="center"/>
    </xf>
    <xf numFmtId="10" fontId="331" fillId="378" borderId="1" xfId="0" applyNumberFormat="1" applyFont="1" applyFill="1" applyBorder="1" applyAlignment="1">
      <alignment horizontal="center" vertical="center"/>
    </xf>
    <xf numFmtId="10" fontId="332" fillId="379" borderId="1" xfId="0" applyNumberFormat="1" applyFont="1" applyFill="1" applyBorder="1" applyAlignment="1">
      <alignment horizontal="center" vertical="center"/>
    </xf>
    <xf numFmtId="10" fontId="333" fillId="380" borderId="1" xfId="0" applyNumberFormat="1" applyFont="1" applyFill="1" applyBorder="1" applyAlignment="1">
      <alignment horizontal="center" vertical="center"/>
    </xf>
    <xf numFmtId="10" fontId="334" fillId="381" borderId="1" xfId="0" applyNumberFormat="1" applyFont="1" applyFill="1" applyBorder="1" applyAlignment="1">
      <alignment horizontal="center" vertical="center"/>
    </xf>
    <xf numFmtId="10" fontId="461" fillId="489" borderId="1" xfId="0" applyNumberFormat="1" applyFont="1" applyFill="1" applyBorder="1" applyAlignment="1">
      <alignment horizontal="center" vertical="center"/>
    </xf>
    <xf numFmtId="10" fontId="462" fillId="0" borderId="1" xfId="0" applyNumberFormat="1" applyFont="1" applyFill="1" applyBorder="1" applyAlignment="1">
      <alignment horizontal="center" vertical="center"/>
    </xf>
    <xf numFmtId="10" fontId="463" fillId="490" borderId="1" xfId="0" applyNumberFormat="1" applyFont="1" applyFill="1" applyBorder="1" applyAlignment="1">
      <alignment horizontal="center" vertical="center"/>
    </xf>
    <xf numFmtId="10" fontId="464" fillId="491" borderId="1" xfId="0" applyNumberFormat="1" applyFont="1" applyFill="1" applyBorder="1" applyAlignment="1">
      <alignment horizontal="center" vertical="center"/>
    </xf>
    <xf numFmtId="10" fontId="335" fillId="382" borderId="1" xfId="0" applyNumberFormat="1" applyFont="1" applyFill="1" applyBorder="1" applyAlignment="1">
      <alignment horizontal="center" vertical="center"/>
    </xf>
    <xf numFmtId="10" fontId="336" fillId="383" borderId="1" xfId="0" applyNumberFormat="1" applyFont="1" applyFill="1" applyBorder="1" applyAlignment="1">
      <alignment horizontal="center" vertical="center"/>
    </xf>
    <xf numFmtId="10" fontId="465" fillId="492" borderId="1" xfId="0" applyNumberFormat="1" applyFont="1" applyFill="1" applyBorder="1" applyAlignment="1">
      <alignment horizontal="center" vertical="center"/>
    </xf>
    <xf numFmtId="10" fontId="466" fillId="493" borderId="1" xfId="0" applyNumberFormat="1" applyFont="1" applyFill="1" applyBorder="1" applyAlignment="1">
      <alignment horizontal="center" vertical="center"/>
    </xf>
    <xf numFmtId="10" fontId="467" fillId="494" borderId="1" xfId="0" applyNumberFormat="1" applyFont="1" applyFill="1" applyBorder="1" applyAlignment="1">
      <alignment horizontal="center" vertical="center"/>
    </xf>
    <xf numFmtId="10" fontId="337" fillId="384" borderId="1" xfId="0" applyNumberFormat="1" applyFont="1" applyFill="1" applyBorder="1" applyAlignment="1">
      <alignment horizontal="center" vertical="center"/>
    </xf>
    <xf numFmtId="10" fontId="338" fillId="385" borderId="1" xfId="0" applyNumberFormat="1" applyFont="1" applyFill="1" applyBorder="1" applyAlignment="1">
      <alignment horizontal="center" vertical="center"/>
    </xf>
    <xf numFmtId="10" fontId="339" fillId="386" borderId="1" xfId="0" applyNumberFormat="1" applyFont="1" applyFill="1" applyBorder="1" applyAlignment="1">
      <alignment horizontal="center" vertical="center"/>
    </xf>
    <xf numFmtId="10" fontId="340" fillId="0" borderId="1" xfId="0" applyNumberFormat="1" applyFont="1" applyFill="1" applyBorder="1" applyAlignment="1">
      <alignment horizontal="center" vertical="center"/>
    </xf>
    <xf numFmtId="10" fontId="468" fillId="495" borderId="1" xfId="0" applyNumberFormat="1" applyFont="1" applyFill="1" applyBorder="1" applyAlignment="1">
      <alignment horizontal="center" vertical="center"/>
    </xf>
    <xf numFmtId="10" fontId="469" fillId="496" borderId="1" xfId="0" applyNumberFormat="1" applyFont="1" applyFill="1" applyBorder="1" applyAlignment="1">
      <alignment horizontal="center" vertical="center"/>
    </xf>
    <xf numFmtId="10" fontId="470" fillId="497" borderId="1" xfId="0" applyNumberFormat="1" applyFont="1" applyFill="1" applyBorder="1" applyAlignment="1">
      <alignment horizontal="center" vertical="center"/>
    </xf>
    <xf numFmtId="10" fontId="471" fillId="0" borderId="1" xfId="0" applyNumberFormat="1" applyFont="1" applyFill="1" applyBorder="1" applyAlignment="1">
      <alignment horizontal="center" vertical="center"/>
    </xf>
    <xf numFmtId="10" fontId="341" fillId="387" borderId="1" xfId="0" applyNumberFormat="1" applyFont="1" applyFill="1" applyBorder="1" applyAlignment="1">
      <alignment horizontal="center" vertical="center"/>
    </xf>
    <xf numFmtId="10" fontId="342" fillId="388" borderId="1" xfId="0" applyNumberFormat="1" applyFont="1" applyFill="1" applyBorder="1" applyAlignment="1">
      <alignment horizontal="center" vertical="center"/>
    </xf>
    <xf numFmtId="10" fontId="343" fillId="389" borderId="1" xfId="0" applyNumberFormat="1" applyFont="1" applyFill="1" applyBorder="1" applyAlignment="1">
      <alignment horizontal="center" vertical="center"/>
    </xf>
    <xf numFmtId="10" fontId="472" fillId="0" borderId="1" xfId="0" applyNumberFormat="1" applyFont="1" applyFill="1" applyBorder="1" applyAlignment="1">
      <alignment horizontal="center" vertical="center"/>
    </xf>
    <xf numFmtId="10" fontId="473" fillId="498" borderId="1" xfId="0" applyNumberFormat="1" applyFont="1" applyFill="1" applyBorder="1" applyAlignment="1">
      <alignment horizontal="center" vertical="center"/>
    </xf>
    <xf numFmtId="10" fontId="474" fillId="499" borderId="1" xfId="0" applyNumberFormat="1" applyFont="1" applyFill="1" applyBorder="1" applyAlignment="1">
      <alignment horizontal="center" vertical="center"/>
    </xf>
    <xf numFmtId="10" fontId="344" fillId="390" borderId="1" xfId="0" applyNumberFormat="1" applyFont="1" applyFill="1" applyBorder="1" applyAlignment="1">
      <alignment horizontal="center" vertical="center"/>
    </xf>
    <xf numFmtId="10" fontId="345" fillId="0" borderId="1" xfId="0" applyNumberFormat="1" applyFont="1" applyFill="1" applyBorder="1" applyAlignment="1">
      <alignment horizontal="center" vertical="center"/>
    </xf>
    <xf numFmtId="10" fontId="346" fillId="391" borderId="1" xfId="0" applyNumberFormat="1" applyFont="1" applyFill="1" applyBorder="1" applyAlignment="1">
      <alignment horizontal="center" vertical="center"/>
    </xf>
    <xf numFmtId="10" fontId="475" fillId="500" borderId="1" xfId="0" applyNumberFormat="1" applyFont="1" applyFill="1" applyBorder="1" applyAlignment="1">
      <alignment horizontal="center" vertical="center"/>
    </xf>
    <xf numFmtId="10" fontId="476" fillId="0" borderId="1" xfId="0" applyNumberFormat="1" applyFont="1" applyFill="1" applyBorder="1" applyAlignment="1">
      <alignment horizontal="center" vertical="center"/>
    </xf>
    <xf numFmtId="10" fontId="477" fillId="501" borderId="1" xfId="0" applyNumberFormat="1" applyFont="1" applyFill="1" applyBorder="1" applyAlignment="1">
      <alignment horizontal="center" vertical="center"/>
    </xf>
    <xf numFmtId="2" fontId="347" fillId="392" borderId="1" xfId="0" applyNumberFormat="1" applyFont="1" applyFill="1" applyBorder="1" applyAlignment="1">
      <alignment horizontal="center" vertical="center"/>
    </xf>
    <xf numFmtId="2" fontId="478" fillId="502" borderId="1" xfId="0" applyNumberFormat="1" applyFont="1" applyFill="1" applyBorder="1" applyAlignment="1">
      <alignment horizontal="center" vertical="center"/>
    </xf>
    <xf numFmtId="2" fontId="348" fillId="393" borderId="1" xfId="0" applyNumberFormat="1" applyFont="1" applyFill="1" applyBorder="1" applyAlignment="1">
      <alignment horizontal="center" vertical="center"/>
    </xf>
    <xf numFmtId="2" fontId="479" fillId="503" borderId="1" xfId="0" applyNumberFormat="1" applyFont="1" applyFill="1" applyBorder="1" applyAlignment="1">
      <alignment horizontal="center" vertical="center"/>
    </xf>
    <xf numFmtId="10" fontId="349" fillId="394" borderId="1" xfId="0" applyNumberFormat="1" applyFont="1" applyFill="1" applyBorder="1" applyAlignment="1">
      <alignment horizontal="center" vertical="center"/>
    </xf>
    <xf numFmtId="10" fontId="480" fillId="504" borderId="1" xfId="0" applyNumberFormat="1" applyFont="1" applyFill="1" applyBorder="1" applyAlignment="1">
      <alignment horizontal="center" vertical="center"/>
    </xf>
    <xf numFmtId="10" fontId="350" fillId="395" borderId="1" xfId="0" applyNumberFormat="1" applyFont="1" applyFill="1" applyBorder="1" applyAlignment="1">
      <alignment horizontal="center" vertical="center"/>
    </xf>
    <xf numFmtId="10" fontId="351" fillId="396" borderId="1" xfId="0" applyNumberFormat="1" applyFont="1" applyFill="1" applyBorder="1" applyAlignment="1">
      <alignment horizontal="center" vertical="center"/>
    </xf>
    <xf numFmtId="10" fontId="352" fillId="397" borderId="1" xfId="0" applyNumberFormat="1" applyFont="1" applyFill="1" applyBorder="1" applyAlignment="1">
      <alignment horizontal="center" vertical="center"/>
    </xf>
    <xf numFmtId="10" fontId="481" fillId="505" borderId="1" xfId="0" applyNumberFormat="1" applyFont="1" applyFill="1" applyBorder="1" applyAlignment="1">
      <alignment horizontal="center" vertical="center"/>
    </xf>
    <xf numFmtId="10" fontId="482" fillId="0" borderId="1" xfId="0" applyNumberFormat="1" applyFont="1" applyFill="1" applyBorder="1" applyAlignment="1">
      <alignment horizontal="center" vertical="center"/>
    </xf>
    <xf numFmtId="10" fontId="483" fillId="506" borderId="1" xfId="0" applyNumberFormat="1" applyFont="1" applyFill="1" applyBorder="1" applyAlignment="1">
      <alignment horizontal="center" vertical="center"/>
    </xf>
    <xf numFmtId="10" fontId="353" fillId="398" borderId="1" xfId="0" applyNumberFormat="1" applyFont="1" applyFill="1" applyBorder="1" applyAlignment="1">
      <alignment horizontal="center" vertical="center"/>
    </xf>
    <xf numFmtId="10" fontId="354" fillId="399" borderId="1" xfId="0" applyNumberFormat="1" applyFont="1" applyFill="1" applyBorder="1" applyAlignment="1">
      <alignment horizontal="center" vertical="center"/>
    </xf>
    <xf numFmtId="10" fontId="355" fillId="400" borderId="1" xfId="0" applyNumberFormat="1" applyFont="1" applyFill="1" applyBorder="1" applyAlignment="1">
      <alignment horizontal="center" vertical="center"/>
    </xf>
    <xf numFmtId="10" fontId="484" fillId="507" borderId="1" xfId="0" applyNumberFormat="1" applyFont="1" applyFill="1" applyBorder="1" applyAlignment="1">
      <alignment horizontal="center" vertical="center"/>
    </xf>
    <xf numFmtId="10" fontId="485" fillId="0" borderId="1" xfId="0" applyNumberFormat="1" applyFont="1" applyFill="1" applyBorder="1" applyAlignment="1">
      <alignment horizontal="center" vertical="center"/>
    </xf>
    <xf numFmtId="10" fontId="486" fillId="508" borderId="1" xfId="0" applyNumberFormat="1" applyFont="1" applyFill="1" applyBorder="1" applyAlignment="1">
      <alignment horizontal="center" vertical="center"/>
    </xf>
    <xf numFmtId="10" fontId="356" fillId="401" borderId="1" xfId="0" applyNumberFormat="1" applyFont="1" applyFill="1" applyBorder="1" applyAlignment="1">
      <alignment horizontal="center" vertical="center"/>
    </xf>
    <xf numFmtId="10" fontId="357" fillId="402" borderId="1" xfId="0" applyNumberFormat="1" applyFont="1" applyFill="1" applyBorder="1" applyAlignment="1">
      <alignment horizontal="center" vertical="center"/>
    </xf>
    <xf numFmtId="10" fontId="487" fillId="509" borderId="1" xfId="0" applyNumberFormat="1" applyFont="1" applyFill="1" applyBorder="1" applyAlignment="1">
      <alignment horizontal="center" vertical="center"/>
    </xf>
    <xf numFmtId="10" fontId="488" fillId="510" borderId="1" xfId="0" applyNumberFormat="1" applyFont="1" applyFill="1" applyBorder="1" applyAlignment="1">
      <alignment horizontal="center" vertical="center"/>
    </xf>
    <xf numFmtId="2" fontId="53" fillId="0" borderId="1" xfId="0" applyNumberFormat="1" applyFont="1" applyFill="1" applyBorder="1" applyAlignment="1">
      <alignment horizontal="center" vertical="center"/>
    </xf>
    <xf numFmtId="2" fontId="489" fillId="0" borderId="1" xfId="0" applyNumberFormat="1" applyFont="1" applyFill="1" applyBorder="1" applyAlignment="1">
      <alignment horizontal="center" vertical="center"/>
    </xf>
    <xf numFmtId="0" fontId="490" fillId="0" borderId="1" xfId="0" applyFont="1" applyFill="1" applyBorder="1" applyAlignment="1">
      <alignment horizontal="center" vertical="center" wrapText="1"/>
    </xf>
    <xf numFmtId="0" fontId="491" fillId="0" borderId="1" xfId="0" applyFont="1" applyFill="1" applyBorder="1" applyAlignment="1">
      <alignment horizontal="center" vertical="center"/>
    </xf>
    <xf numFmtId="10" fontId="52" fillId="0" borderId="1" xfId="0" applyNumberFormat="1" applyFont="1" applyFill="1" applyBorder="1" applyAlignment="1">
      <alignment horizontal="center" vertical="center"/>
    </xf>
    <xf numFmtId="10" fontId="492" fillId="0" borderId="1" xfId="0" applyNumberFormat="1" applyFont="1" applyFill="1" applyBorder="1" applyAlignment="1">
      <alignment horizontal="center" vertical="center"/>
    </xf>
    <xf numFmtId="2" fontId="358" fillId="403" borderId="1" xfId="0" applyNumberFormat="1" applyFont="1" applyFill="1" applyBorder="1" applyAlignment="1">
      <alignment horizontal="center" vertical="center"/>
    </xf>
    <xf numFmtId="2" fontId="493" fillId="0" borderId="1" xfId="0" applyNumberFormat="1" applyFont="1" applyFill="1" applyBorder="1" applyAlignment="1">
      <alignment horizontal="center" vertical="center"/>
    </xf>
    <xf numFmtId="10" fontId="494" fillId="0" borderId="1" xfId="0" applyNumberFormat="1" applyFont="1" applyFill="1" applyBorder="1" applyAlignment="1">
      <alignment horizontal="center" vertical="center" wrapText="1"/>
    </xf>
    <xf numFmtId="2" fontId="495" fillId="0" borderId="1" xfId="0" applyNumberFormat="1" applyFont="1" applyFill="1" applyBorder="1" applyAlignment="1">
      <alignment horizontal="center" vertical="center"/>
    </xf>
    <xf numFmtId="2" fontId="361" fillId="405" borderId="1" xfId="0" applyNumberFormat="1" applyFont="1" applyFill="1" applyBorder="1" applyAlignment="1">
      <alignment horizontal="center" vertical="center"/>
    </xf>
    <xf numFmtId="2" fontId="362" fillId="0" borderId="1" xfId="0" applyNumberFormat="1" applyFont="1" applyFill="1" applyBorder="1" applyAlignment="1">
      <alignment horizontal="center" vertical="center"/>
    </xf>
    <xf numFmtId="2" fontId="496" fillId="511" borderId="1" xfId="0" applyNumberFormat="1" applyFont="1" applyFill="1" applyBorder="1" applyAlignment="1">
      <alignment horizontal="center" vertical="center"/>
    </xf>
    <xf numFmtId="2" fontId="497" fillId="512" borderId="1" xfId="0" applyNumberFormat="1" applyFont="1" applyFill="1" applyBorder="1" applyAlignment="1">
      <alignment horizontal="center" vertical="center"/>
    </xf>
    <xf numFmtId="2" fontId="363" fillId="406" borderId="1" xfId="0" applyNumberFormat="1" applyFont="1" applyFill="1" applyBorder="1" applyAlignment="1">
      <alignment horizontal="center" vertical="center"/>
    </xf>
    <xf numFmtId="2" fontId="364" fillId="407" borderId="1" xfId="0" applyNumberFormat="1" applyFont="1" applyFill="1" applyBorder="1" applyAlignment="1">
      <alignment horizontal="center" vertical="center"/>
    </xf>
    <xf numFmtId="2" fontId="498" fillId="513" borderId="1" xfId="0" applyNumberFormat="1" applyFont="1" applyFill="1" applyBorder="1" applyAlignment="1">
      <alignment horizontal="center" vertical="center"/>
    </xf>
    <xf numFmtId="2" fontId="499" fillId="514" borderId="1" xfId="0" applyNumberFormat="1" applyFont="1" applyFill="1" applyBorder="1" applyAlignment="1">
      <alignment horizontal="center" vertical="center"/>
    </xf>
    <xf numFmtId="10" fontId="365" fillId="408" borderId="1" xfId="0" applyNumberFormat="1" applyFont="1" applyFill="1" applyBorder="1" applyAlignment="1">
      <alignment horizontal="center" vertical="center"/>
    </xf>
    <xf numFmtId="2" fontId="500" fillId="515" borderId="1" xfId="0" applyNumberFormat="1" applyFont="1" applyFill="1" applyBorder="1" applyAlignment="1">
      <alignment horizontal="center" vertical="center"/>
    </xf>
    <xf numFmtId="10" fontId="501" fillId="0" borderId="1" xfId="0" applyNumberFormat="1" applyFont="1" applyFill="1" applyBorder="1" applyAlignment="1">
      <alignment horizontal="center" vertical="center"/>
    </xf>
    <xf numFmtId="2" fontId="366" fillId="409" borderId="1" xfId="0" applyNumberFormat="1" applyFont="1" applyFill="1" applyBorder="1" applyAlignment="1">
      <alignment horizontal="center" vertical="center"/>
    </xf>
    <xf numFmtId="2" fontId="502" fillId="516" borderId="1" xfId="0" applyNumberFormat="1" applyFont="1" applyFill="1" applyBorder="1" applyAlignment="1">
      <alignment horizontal="center" vertical="center"/>
    </xf>
    <xf numFmtId="10" fontId="503" fillId="517" borderId="1" xfId="0" applyNumberFormat="1" applyFont="1" applyFill="1" applyBorder="1" applyAlignment="1">
      <alignment horizontal="center" vertical="center"/>
    </xf>
    <xf numFmtId="10" fontId="504" fillId="0" borderId="1" xfId="0" applyNumberFormat="1" applyFont="1" applyFill="1" applyBorder="1" applyAlignment="1">
      <alignment horizontal="center" vertical="center"/>
    </xf>
    <xf numFmtId="10" fontId="505" fillId="518" borderId="1" xfId="0" applyNumberFormat="1" applyFont="1" applyFill="1" applyBorder="1" applyAlignment="1">
      <alignment horizontal="center" vertical="center"/>
    </xf>
    <xf numFmtId="2" fontId="367" fillId="410" borderId="1" xfId="0" applyNumberFormat="1" applyFont="1" applyFill="1" applyBorder="1" applyAlignment="1">
      <alignment horizontal="center" vertical="center"/>
    </xf>
    <xf numFmtId="2" fontId="368" fillId="411" borderId="1" xfId="0" applyNumberFormat="1" applyFont="1" applyFill="1" applyBorder="1" applyAlignment="1">
      <alignment horizontal="center" vertical="center"/>
    </xf>
    <xf numFmtId="2" fontId="506" fillId="519" borderId="1" xfId="0" applyNumberFormat="1" applyFont="1" applyFill="1" applyBorder="1" applyAlignment="1">
      <alignment horizontal="center" vertical="center"/>
    </xf>
    <xf numFmtId="2" fontId="507" fillId="520" borderId="1" xfId="0" applyNumberFormat="1" applyFont="1" applyFill="1" applyBorder="1" applyAlignment="1">
      <alignment horizontal="center" vertical="center"/>
    </xf>
    <xf numFmtId="10" fontId="369" fillId="412" borderId="1" xfId="0" applyNumberFormat="1" applyFont="1" applyFill="1" applyBorder="1" applyAlignment="1">
      <alignment horizontal="center" vertical="center"/>
    </xf>
    <xf numFmtId="10" fontId="370" fillId="413" borderId="1" xfId="0" applyNumberFormat="1" applyFont="1" applyFill="1" applyBorder="1" applyAlignment="1">
      <alignment horizontal="center" vertical="center"/>
    </xf>
    <xf numFmtId="10" fontId="508" fillId="521" borderId="1" xfId="0" applyNumberFormat="1" applyFont="1" applyFill="1" applyBorder="1" applyAlignment="1">
      <alignment horizontal="center" vertical="center"/>
    </xf>
    <xf numFmtId="10" fontId="509" fillId="522" borderId="1" xfId="0" applyNumberFormat="1" applyFont="1" applyFill="1" applyBorder="1" applyAlignment="1">
      <alignment horizontal="center" vertical="center"/>
    </xf>
    <xf numFmtId="10" fontId="371" fillId="414" borderId="1" xfId="0" applyNumberFormat="1" applyFont="1" applyFill="1" applyBorder="1" applyAlignment="1">
      <alignment horizontal="center" vertical="center"/>
    </xf>
    <xf numFmtId="10" fontId="510" fillId="523" borderId="1" xfId="0" applyNumberFormat="1" applyFont="1" applyFill="1" applyBorder="1" applyAlignment="1">
      <alignment horizontal="center" vertical="center"/>
    </xf>
    <xf numFmtId="10" fontId="511" fillId="0" borderId="1" xfId="0" applyNumberFormat="1" applyFont="1" applyFill="1" applyBorder="1" applyAlignment="1">
      <alignment horizontal="center" vertical="center"/>
    </xf>
    <xf numFmtId="10" fontId="512" fillId="0" borderId="1" xfId="0" applyNumberFormat="1" applyFont="1" applyFill="1" applyBorder="1" applyAlignment="1">
      <alignment horizontal="center" vertical="center"/>
    </xf>
    <xf numFmtId="10" fontId="372" fillId="415" borderId="1" xfId="0" applyNumberFormat="1" applyFont="1" applyFill="1" applyBorder="1" applyAlignment="1">
      <alignment horizontal="center" vertical="center"/>
    </xf>
    <xf numFmtId="10" fontId="373" fillId="416" borderId="1" xfId="0" applyNumberFormat="1" applyFont="1" applyFill="1" applyBorder="1" applyAlignment="1">
      <alignment horizontal="center" vertical="center"/>
    </xf>
    <xf numFmtId="10" fontId="513" fillId="524" borderId="1" xfId="0" applyNumberFormat="1" applyFont="1" applyFill="1" applyBorder="1" applyAlignment="1">
      <alignment horizontal="center" vertical="center"/>
    </xf>
    <xf numFmtId="10" fontId="514" fillId="525" borderId="1" xfId="0" applyNumberFormat="1" applyFont="1" applyFill="1" applyBorder="1" applyAlignment="1">
      <alignment horizontal="center" vertical="center"/>
    </xf>
    <xf numFmtId="10" fontId="374" fillId="417" borderId="1" xfId="0" applyNumberFormat="1" applyFont="1" applyFill="1" applyBorder="1" applyAlignment="1">
      <alignment horizontal="center" vertical="center" wrapText="1"/>
    </xf>
    <xf numFmtId="10" fontId="375" fillId="418" borderId="1" xfId="0" applyNumberFormat="1" applyFont="1" applyFill="1" applyBorder="1" applyAlignment="1">
      <alignment horizontal="center" vertical="center" wrapText="1"/>
    </xf>
    <xf numFmtId="10" fontId="376" fillId="419" borderId="1" xfId="0" applyNumberFormat="1" applyFont="1" applyFill="1" applyBorder="1" applyAlignment="1">
      <alignment horizontal="center" vertical="center" wrapText="1"/>
    </xf>
    <xf numFmtId="10" fontId="515" fillId="526" borderId="1" xfId="0" applyNumberFormat="1" applyFont="1" applyFill="1" applyBorder="1" applyAlignment="1">
      <alignment horizontal="center" vertical="center" wrapText="1"/>
    </xf>
    <xf numFmtId="10" fontId="516" fillId="527" borderId="1" xfId="0" applyNumberFormat="1" applyFont="1" applyFill="1" applyBorder="1" applyAlignment="1">
      <alignment horizontal="center" vertical="center" wrapText="1"/>
    </xf>
    <xf numFmtId="10" fontId="517" fillId="528" borderId="1" xfId="0" applyNumberFormat="1" applyFont="1" applyFill="1" applyBorder="1" applyAlignment="1">
      <alignment horizontal="center" vertical="center" wrapText="1"/>
    </xf>
    <xf numFmtId="10" fontId="377" fillId="420" borderId="1" xfId="0" applyNumberFormat="1" applyFont="1" applyFill="1" applyBorder="1" applyAlignment="1">
      <alignment horizontal="center" vertical="center"/>
    </xf>
    <xf numFmtId="10" fontId="518" fillId="529" borderId="1" xfId="0" applyNumberFormat="1" applyFont="1" applyFill="1" applyBorder="1" applyAlignment="1">
      <alignment horizontal="center" vertical="center"/>
    </xf>
    <xf numFmtId="10" fontId="378" fillId="421" borderId="1" xfId="0" applyNumberFormat="1" applyFont="1" applyFill="1" applyBorder="1" applyAlignment="1">
      <alignment horizontal="center" vertical="center"/>
    </xf>
    <xf numFmtId="10" fontId="519" fillId="530" borderId="1" xfId="0" applyNumberFormat="1" applyFont="1" applyFill="1" applyBorder="1" applyAlignment="1">
      <alignment horizontal="center" vertical="center"/>
    </xf>
    <xf numFmtId="2" fontId="379" fillId="422" borderId="1" xfId="0" applyNumberFormat="1" applyFont="1" applyFill="1" applyBorder="1" applyAlignment="1">
      <alignment horizontal="center" vertical="center"/>
    </xf>
    <xf numFmtId="10" fontId="380" fillId="423" borderId="1" xfId="0" applyNumberFormat="1" applyFont="1" applyFill="1" applyBorder="1" applyAlignment="1">
      <alignment horizontal="center" vertical="center"/>
    </xf>
    <xf numFmtId="2" fontId="520" fillId="531" borderId="1" xfId="0" applyNumberFormat="1" applyFont="1" applyFill="1" applyBorder="1" applyAlignment="1">
      <alignment horizontal="center" vertical="center"/>
    </xf>
    <xf numFmtId="10" fontId="521" fillId="532" borderId="1" xfId="0" applyNumberFormat="1" applyFont="1" applyFill="1" applyBorder="1" applyAlignment="1">
      <alignment horizontal="center" vertical="center"/>
    </xf>
    <xf numFmtId="2" fontId="522" fillId="533" borderId="1" xfId="0" applyNumberFormat="1" applyFont="1" applyFill="1" applyBorder="1" applyAlignment="1">
      <alignment horizontal="center" vertical="center"/>
    </xf>
    <xf numFmtId="10" fontId="381" fillId="424" borderId="1" xfId="0" applyNumberFormat="1" applyFont="1" applyFill="1" applyBorder="1" applyAlignment="1">
      <alignment horizontal="center" vertical="center"/>
    </xf>
    <xf numFmtId="10" fontId="523" fillId="534" borderId="1" xfId="0" applyNumberFormat="1" applyFont="1" applyFill="1" applyBorder="1" applyAlignment="1">
      <alignment horizontal="center" vertical="center"/>
    </xf>
    <xf numFmtId="2" fontId="382" fillId="425" borderId="1" xfId="0" applyNumberFormat="1" applyFont="1" applyFill="1" applyBorder="1" applyAlignment="1">
      <alignment horizontal="center" vertical="center"/>
    </xf>
    <xf numFmtId="10" fontId="383" fillId="426" borderId="1" xfId="0" applyNumberFormat="1" applyFont="1" applyFill="1" applyBorder="1" applyAlignment="1">
      <alignment horizontal="center" vertical="center"/>
    </xf>
    <xf numFmtId="2" fontId="524" fillId="0" borderId="1" xfId="0" applyNumberFormat="1" applyFont="1" applyFill="1" applyBorder="1" applyAlignment="1">
      <alignment horizontal="center" vertical="center"/>
    </xf>
    <xf numFmtId="2" fontId="525" fillId="535" borderId="1" xfId="0" applyNumberFormat="1" applyFont="1" applyFill="1" applyBorder="1" applyAlignment="1">
      <alignment horizontal="center" vertical="center"/>
    </xf>
    <xf numFmtId="10" fontId="526" fillId="536" borderId="1" xfId="0" applyNumberFormat="1" applyFont="1" applyFill="1" applyBorder="1" applyAlignment="1">
      <alignment horizontal="center" vertical="center"/>
    </xf>
    <xf numFmtId="2" fontId="384" fillId="427" borderId="1" xfId="0" applyNumberFormat="1" applyFont="1" applyFill="1" applyBorder="1" applyAlignment="1">
      <alignment horizontal="center" vertical="center"/>
    </xf>
    <xf numFmtId="2" fontId="385" fillId="428" borderId="1" xfId="0" applyNumberFormat="1" applyFont="1" applyFill="1" applyBorder="1" applyAlignment="1">
      <alignment horizontal="center" vertical="center"/>
    </xf>
    <xf numFmtId="10" fontId="386" fillId="429" borderId="1" xfId="0" applyNumberFormat="1" applyFont="1" applyFill="1" applyBorder="1" applyAlignment="1">
      <alignment horizontal="center" vertical="center"/>
    </xf>
    <xf numFmtId="2" fontId="527" fillId="0" borderId="1" xfId="0" applyNumberFormat="1" applyFont="1" applyFill="1" applyBorder="1" applyAlignment="1">
      <alignment horizontal="center" vertical="center"/>
    </xf>
    <xf numFmtId="2" fontId="528" fillId="0" borderId="1" xfId="0" applyNumberFormat="1" applyFont="1" applyFill="1" applyBorder="1" applyAlignment="1">
      <alignment horizontal="center" vertical="center"/>
    </xf>
    <xf numFmtId="10" fontId="529" fillId="0" borderId="1" xfId="0" applyNumberFormat="1" applyFont="1" applyFill="1" applyBorder="1" applyAlignment="1">
      <alignment horizontal="center" vertical="center"/>
    </xf>
    <xf numFmtId="10" fontId="387" fillId="0" borderId="1" xfId="0" applyNumberFormat="1" applyFont="1" applyFill="1" applyBorder="1" applyAlignment="1">
      <alignment horizontal="center" vertical="center"/>
    </xf>
    <xf numFmtId="10" fontId="388" fillId="430" borderId="1" xfId="0" applyNumberFormat="1" applyFont="1" applyFill="1" applyBorder="1" applyAlignment="1">
      <alignment horizontal="center" vertical="center"/>
    </xf>
    <xf numFmtId="10" fontId="530" fillId="0" borderId="1" xfId="0" applyNumberFormat="1" applyFont="1" applyFill="1" applyBorder="1" applyAlignment="1">
      <alignment horizontal="center" vertical="center"/>
    </xf>
    <xf numFmtId="10" fontId="531" fillId="0" borderId="1" xfId="0" applyNumberFormat="1" applyFont="1" applyFill="1" applyBorder="1" applyAlignment="1">
      <alignment horizontal="center" vertical="center"/>
    </xf>
    <xf numFmtId="10" fontId="389" fillId="431" borderId="1" xfId="0" applyNumberFormat="1" applyFont="1" applyFill="1" applyBorder="1" applyAlignment="1">
      <alignment horizontal="center" vertical="center"/>
    </xf>
    <xf numFmtId="10" fontId="390" fillId="0" borderId="1" xfId="0" applyNumberFormat="1" applyFont="1" applyFill="1" applyBorder="1" applyAlignment="1">
      <alignment horizontal="center" vertical="center"/>
    </xf>
    <xf numFmtId="10" fontId="532" fillId="537" borderId="1" xfId="0" applyNumberFormat="1" applyFont="1" applyFill="1" applyBorder="1" applyAlignment="1">
      <alignment horizontal="center" vertical="center"/>
    </xf>
    <xf numFmtId="10" fontId="533" fillId="538" borderId="1" xfId="0" applyNumberFormat="1" applyFont="1" applyFill="1" applyBorder="1" applyAlignment="1">
      <alignment horizontal="center" vertical="center"/>
    </xf>
    <xf numFmtId="10" fontId="391" fillId="0" borderId="1" xfId="0" applyNumberFormat="1" applyFont="1" applyFill="1" applyBorder="1" applyAlignment="1">
      <alignment horizontal="center" vertical="center" wrapText="1"/>
    </xf>
    <xf numFmtId="10" fontId="392" fillId="0" borderId="1" xfId="0" applyNumberFormat="1" applyFont="1" applyFill="1" applyBorder="1" applyAlignment="1">
      <alignment horizontal="center" vertical="center"/>
    </xf>
    <xf numFmtId="10" fontId="534" fillId="0" borderId="1" xfId="0" applyNumberFormat="1" applyFont="1" applyFill="1" applyBorder="1" applyAlignment="1">
      <alignment horizontal="center" vertical="center" wrapText="1"/>
    </xf>
    <xf numFmtId="10" fontId="535" fillId="539" borderId="1" xfId="0" applyNumberFormat="1" applyFont="1" applyFill="1" applyBorder="1" applyAlignment="1">
      <alignment horizontal="center" vertical="center"/>
    </xf>
    <xf numFmtId="10" fontId="536" fillId="540" borderId="1" xfId="0" applyNumberFormat="1" applyFont="1" applyFill="1" applyBorder="1" applyAlignment="1">
      <alignment horizontal="center" vertical="center"/>
    </xf>
    <xf numFmtId="2" fontId="393" fillId="432" borderId="1" xfId="0" applyNumberFormat="1" applyFont="1" applyFill="1" applyBorder="1" applyAlignment="1">
      <alignment horizontal="center" vertical="center"/>
    </xf>
    <xf numFmtId="2" fontId="537" fillId="541" borderId="1" xfId="0" applyNumberFormat="1" applyFont="1" applyFill="1" applyBorder="1" applyAlignment="1">
      <alignment horizontal="center" vertical="center"/>
    </xf>
    <xf numFmtId="10" fontId="394" fillId="433" borderId="1" xfId="0" applyNumberFormat="1" applyFont="1" applyFill="1" applyBorder="1" applyAlignment="1">
      <alignment horizontal="center" vertical="center" wrapText="1"/>
    </xf>
    <xf numFmtId="10" fontId="538" fillId="542" borderId="1" xfId="0" applyNumberFormat="1" applyFont="1" applyFill="1" applyBorder="1" applyAlignment="1">
      <alignment horizontal="center" vertical="center" wrapText="1"/>
    </xf>
    <xf numFmtId="2" fontId="395" fillId="434" borderId="1" xfId="0" applyNumberFormat="1" applyFont="1" applyFill="1" applyBorder="1" applyAlignment="1">
      <alignment horizontal="center" vertical="center"/>
    </xf>
    <xf numFmtId="10" fontId="396" fillId="435" borderId="1" xfId="0" applyNumberFormat="1" applyFont="1" applyFill="1" applyBorder="1" applyAlignment="1">
      <alignment horizontal="center" vertical="center"/>
    </xf>
    <xf numFmtId="2" fontId="539" fillId="543" borderId="1" xfId="0" applyNumberFormat="1" applyFont="1" applyFill="1" applyBorder="1" applyAlignment="1">
      <alignment horizontal="center" vertical="center"/>
    </xf>
    <xf numFmtId="10" fontId="540" fillId="544" borderId="1" xfId="0" applyNumberFormat="1" applyFont="1" applyFill="1" applyBorder="1" applyAlignment="1">
      <alignment horizontal="center" vertical="center"/>
    </xf>
    <xf numFmtId="2" fontId="397" fillId="0" borderId="1" xfId="0" applyNumberFormat="1" applyFont="1" applyFill="1" applyBorder="1" applyAlignment="1">
      <alignment horizontal="center" vertical="center"/>
    </xf>
    <xf numFmtId="2" fontId="398" fillId="436" borderId="1" xfId="0" applyNumberFormat="1" applyFont="1" applyFill="1" applyBorder="1" applyAlignment="1">
      <alignment horizontal="center" vertical="center"/>
    </xf>
    <xf numFmtId="2" fontId="541" fillId="0" borderId="1" xfId="0" applyNumberFormat="1" applyFont="1" applyFill="1" applyBorder="1" applyAlignment="1">
      <alignment horizontal="center" vertical="center"/>
    </xf>
    <xf numFmtId="10" fontId="542" fillId="545" borderId="1" xfId="0" applyNumberFormat="1" applyFont="1" applyFill="1" applyBorder="1" applyAlignment="1">
      <alignment horizontal="center" vertical="center"/>
    </xf>
    <xf numFmtId="2" fontId="543" fillId="546" borderId="1" xfId="0" applyNumberFormat="1" applyFont="1" applyFill="1" applyBorder="1" applyAlignment="1">
      <alignment horizontal="center" vertical="center"/>
    </xf>
    <xf numFmtId="10" fontId="399" fillId="437" borderId="1" xfId="0" applyNumberFormat="1" applyFont="1" applyFill="1" applyBorder="1" applyAlignment="1">
      <alignment horizontal="center" vertical="center"/>
    </xf>
    <xf numFmtId="2" fontId="544" fillId="547" borderId="1" xfId="0" applyNumberFormat="1" applyFont="1" applyFill="1" applyBorder="1" applyAlignment="1">
      <alignment horizontal="center" vertical="center"/>
    </xf>
    <xf numFmtId="10" fontId="545" fillId="548" borderId="1" xfId="0" applyNumberFormat="1" applyFont="1" applyFill="1" applyBorder="1" applyAlignment="1">
      <alignment horizontal="center" vertical="center"/>
    </xf>
    <xf numFmtId="2" fontId="400" fillId="438" borderId="1" xfId="0" applyNumberFormat="1" applyFont="1" applyFill="1" applyBorder="1" applyAlignment="1">
      <alignment horizontal="center" vertical="center" wrapText="1"/>
    </xf>
    <xf numFmtId="2" fontId="546" fillId="549" borderId="1" xfId="0" applyNumberFormat="1" applyFont="1" applyFill="1" applyBorder="1" applyAlignment="1">
      <alignment horizontal="center" vertical="center" wrapText="1"/>
    </xf>
    <xf numFmtId="10" fontId="547" fillId="550" borderId="1" xfId="0" applyNumberFormat="1" applyFont="1" applyFill="1" applyBorder="1" applyAlignment="1">
      <alignment horizontal="center" vertical="center"/>
    </xf>
    <xf numFmtId="2" fontId="548" fillId="551" borderId="1" xfId="0" applyNumberFormat="1" applyFont="1" applyFill="1" applyBorder="1" applyAlignment="1">
      <alignment horizontal="center" vertical="center"/>
    </xf>
    <xf numFmtId="2" fontId="549" fillId="552" borderId="1" xfId="0" applyNumberFormat="1" applyFont="1" applyFill="1" applyBorder="1" applyAlignment="1">
      <alignment horizontal="center" vertical="center"/>
    </xf>
    <xf numFmtId="10" fontId="550" fillId="0" borderId="1" xfId="0" applyNumberFormat="1" applyFont="1" applyFill="1" applyBorder="1" applyAlignment="1">
      <alignment horizontal="center" vertical="center"/>
    </xf>
    <xf numFmtId="2" fontId="551" fillId="0" borderId="1" xfId="0" applyNumberFormat="1" applyFont="1" applyFill="1" applyBorder="1" applyAlignment="1">
      <alignment horizontal="center" vertical="center"/>
    </xf>
    <xf numFmtId="10" fontId="552" fillId="553" borderId="1" xfId="0" applyNumberFormat="1" applyFont="1" applyFill="1" applyBorder="1" applyAlignment="1">
      <alignment horizontal="center" vertical="center"/>
    </xf>
    <xf numFmtId="10" fontId="553" fillId="554" borderId="1" xfId="0" applyNumberFormat="1" applyFont="1" applyFill="1" applyBorder="1" applyAlignment="1">
      <alignment horizontal="center" vertical="center"/>
    </xf>
    <xf numFmtId="10" fontId="554" fillId="555" borderId="1" xfId="0" applyNumberFormat="1" applyFont="1" applyFill="1" applyBorder="1" applyAlignment="1">
      <alignment horizontal="center" vertical="center"/>
    </xf>
    <xf numFmtId="10" fontId="555" fillId="556" borderId="1" xfId="0" applyNumberFormat="1" applyFont="1" applyFill="1" applyBorder="1" applyAlignment="1">
      <alignment horizontal="center" vertical="center"/>
    </xf>
    <xf numFmtId="10" fontId="556" fillId="557" borderId="1" xfId="0" applyNumberFormat="1" applyFont="1" applyFill="1" applyBorder="1" applyAlignment="1">
      <alignment horizontal="center" vertical="center"/>
    </xf>
    <xf numFmtId="10" fontId="557" fillId="558" borderId="1" xfId="0" applyNumberFormat="1" applyFont="1" applyFill="1" applyBorder="1" applyAlignment="1">
      <alignment horizontal="center" vertical="center"/>
    </xf>
    <xf numFmtId="10" fontId="558" fillId="559" borderId="1" xfId="0" applyNumberFormat="1" applyFont="1" applyFill="1" applyBorder="1" applyAlignment="1">
      <alignment horizontal="center" vertical="center"/>
    </xf>
    <xf numFmtId="10" fontId="559" fillId="560" borderId="1" xfId="0" applyNumberFormat="1" applyFont="1" applyFill="1" applyBorder="1" applyAlignment="1">
      <alignment horizontal="center" vertical="center"/>
    </xf>
    <xf numFmtId="10" fontId="560" fillId="561" borderId="1" xfId="0" applyNumberFormat="1" applyFont="1" applyFill="1" applyBorder="1" applyAlignment="1">
      <alignment horizontal="center" vertical="center"/>
    </xf>
    <xf numFmtId="10" fontId="561" fillId="562" borderId="1" xfId="0" applyNumberFormat="1" applyFont="1" applyFill="1" applyBorder="1" applyAlignment="1">
      <alignment horizontal="center" vertical="center"/>
    </xf>
    <xf numFmtId="10" fontId="562" fillId="563" borderId="1" xfId="0" applyNumberFormat="1" applyFont="1" applyFill="1" applyBorder="1" applyAlignment="1">
      <alignment horizontal="center" vertical="center"/>
    </xf>
    <xf numFmtId="2" fontId="563" fillId="564" borderId="1" xfId="0" applyNumberFormat="1" applyFont="1" applyFill="1" applyBorder="1" applyAlignment="1">
      <alignment horizontal="center" vertical="center"/>
    </xf>
    <xf numFmtId="10" fontId="564" fillId="565" borderId="1" xfId="0" applyNumberFormat="1" applyFont="1" applyFill="1" applyBorder="1" applyAlignment="1">
      <alignment horizontal="center" vertical="center"/>
    </xf>
    <xf numFmtId="2" fontId="565" fillId="566" borderId="1" xfId="0" applyNumberFormat="1" applyFont="1" applyFill="1" applyBorder="1" applyAlignment="1">
      <alignment horizontal="center" vertical="center"/>
    </xf>
    <xf numFmtId="10" fontId="566" fillId="0" borderId="1" xfId="0" applyNumberFormat="1" applyFont="1" applyFill="1" applyBorder="1" applyAlignment="1">
      <alignment horizontal="center" vertical="center"/>
    </xf>
    <xf numFmtId="2" fontId="567" fillId="567" borderId="1" xfId="0" applyNumberFormat="1" applyFont="1" applyFill="1" applyBorder="1" applyAlignment="1">
      <alignment horizontal="center" vertical="center"/>
    </xf>
    <xf numFmtId="2" fontId="568" fillId="568" borderId="1" xfId="0" applyNumberFormat="1" applyFont="1" applyFill="1" applyBorder="1" applyAlignment="1">
      <alignment horizontal="center" vertical="center"/>
    </xf>
    <xf numFmtId="2" fontId="569" fillId="569" borderId="1" xfId="0" applyNumberFormat="1" applyFont="1" applyFill="1" applyBorder="1" applyAlignment="1">
      <alignment horizontal="center" vertical="center"/>
    </xf>
    <xf numFmtId="2" fontId="570" fillId="0" borderId="1" xfId="0" applyNumberFormat="1" applyFont="1" applyFill="1" applyBorder="1" applyAlignment="1">
      <alignment horizontal="center" vertical="center"/>
    </xf>
    <xf numFmtId="10" fontId="571" fillId="570" borderId="1" xfId="0" applyNumberFormat="1" applyFont="1" applyFill="1" applyBorder="1" applyAlignment="1">
      <alignment horizontal="center" vertical="center"/>
    </xf>
    <xf numFmtId="10" fontId="572" fillId="571" borderId="1" xfId="0" applyNumberFormat="1" applyFont="1" applyFill="1" applyBorder="1" applyAlignment="1">
      <alignment horizontal="center" vertical="center"/>
    </xf>
    <xf numFmtId="10" fontId="573" fillId="572" borderId="1" xfId="0" applyNumberFormat="1" applyFont="1" applyFill="1" applyBorder="1" applyAlignment="1">
      <alignment horizontal="center" vertical="center"/>
    </xf>
    <xf numFmtId="2" fontId="574" fillId="573" borderId="1" xfId="0" applyNumberFormat="1" applyFont="1" applyFill="1" applyBorder="1" applyAlignment="1">
      <alignment horizontal="center" vertical="center"/>
    </xf>
    <xf numFmtId="2" fontId="575" fillId="0" borderId="1" xfId="0" applyNumberFormat="1" applyFont="1" applyFill="1" applyBorder="1" applyAlignment="1">
      <alignment horizontal="center" vertical="center"/>
    </xf>
    <xf numFmtId="10" fontId="576" fillId="574" borderId="1" xfId="0" applyNumberFormat="1" applyFont="1" applyFill="1" applyBorder="1" applyAlignment="1">
      <alignment horizontal="center" vertical="center"/>
    </xf>
    <xf numFmtId="2" fontId="577" fillId="575" borderId="1" xfId="0" applyNumberFormat="1" applyFont="1" applyFill="1" applyBorder="1" applyAlignment="1">
      <alignment horizontal="center" vertical="center"/>
    </xf>
    <xf numFmtId="2" fontId="578" fillId="576" borderId="1" xfId="0" applyNumberFormat="1" applyFont="1" applyFill="1" applyBorder="1" applyAlignment="1">
      <alignment horizontal="center" vertical="center"/>
    </xf>
    <xf numFmtId="2" fontId="579" fillId="577" borderId="1" xfId="0" applyNumberFormat="1" applyFont="1" applyFill="1" applyBorder="1" applyAlignment="1">
      <alignment horizontal="center" vertical="center"/>
    </xf>
    <xf numFmtId="2" fontId="580" fillId="0" borderId="1" xfId="0" applyNumberFormat="1" applyFont="1" applyFill="1" applyBorder="1" applyAlignment="1">
      <alignment horizontal="center" vertical="center"/>
    </xf>
    <xf numFmtId="2" fontId="581" fillId="578" borderId="1" xfId="0" applyNumberFormat="1" applyFont="1" applyFill="1" applyBorder="1" applyAlignment="1">
      <alignment horizontal="center" vertical="center"/>
    </xf>
    <xf numFmtId="2" fontId="582" fillId="579" borderId="1" xfId="0" applyNumberFormat="1" applyFont="1" applyFill="1" applyBorder="1" applyAlignment="1">
      <alignment horizontal="center" vertical="center"/>
    </xf>
    <xf numFmtId="10" fontId="583" fillId="580" borderId="1" xfId="0" applyNumberFormat="1" applyFont="1" applyFill="1" applyBorder="1" applyAlignment="1">
      <alignment horizontal="center" vertical="center"/>
    </xf>
    <xf numFmtId="10" fontId="584" fillId="0" borderId="1" xfId="0" applyNumberFormat="1" applyFont="1" applyFill="1" applyBorder="1" applyAlignment="1">
      <alignment horizontal="center" vertical="center"/>
    </xf>
    <xf numFmtId="10" fontId="585" fillId="581" borderId="1" xfId="0" applyNumberFormat="1" applyFont="1" applyFill="1" applyBorder="1" applyAlignment="1">
      <alignment horizontal="center" vertical="center"/>
    </xf>
    <xf numFmtId="2" fontId="586" fillId="582" borderId="1" xfId="0" applyNumberFormat="1" applyFont="1" applyFill="1" applyBorder="1" applyAlignment="1">
      <alignment horizontal="center" vertical="center"/>
    </xf>
    <xf numFmtId="2" fontId="587" fillId="583" borderId="1" xfId="0" applyNumberFormat="1" applyFont="1" applyFill="1" applyBorder="1" applyAlignment="1">
      <alignment horizontal="center" vertical="center"/>
    </xf>
    <xf numFmtId="0" fontId="588" fillId="0" borderId="1" xfId="0" applyFont="1" applyFill="1" applyBorder="1" applyAlignment="1">
      <alignment horizontal="center" vertical="center"/>
    </xf>
    <xf numFmtId="2" fontId="589" fillId="584" borderId="1" xfId="0" applyNumberFormat="1" applyFont="1" applyFill="1" applyBorder="1" applyAlignment="1">
      <alignment horizontal="center" vertical="center"/>
    </xf>
    <xf numFmtId="2" fontId="590" fillId="585" borderId="1" xfId="0" applyNumberFormat="1" applyFont="1" applyFill="1" applyBorder="1" applyAlignment="1">
      <alignment horizontal="center" vertical="center"/>
    </xf>
    <xf numFmtId="2" fontId="591" fillId="586" borderId="1" xfId="0" applyNumberFormat="1" applyFont="1" applyFill="1" applyBorder="1" applyAlignment="1">
      <alignment horizontal="center" vertical="center"/>
    </xf>
    <xf numFmtId="0" fontId="592" fillId="0" borderId="1" xfId="0" applyFont="1" applyFill="1" applyBorder="1" applyAlignment="1">
      <alignment horizontal="center" vertical="center" wrapText="1"/>
    </xf>
    <xf numFmtId="2" fontId="593" fillId="0" borderId="1" xfId="0" applyNumberFormat="1" applyFont="1" applyFill="1" applyBorder="1" applyAlignment="1">
      <alignment horizontal="center" vertical="center"/>
    </xf>
    <xf numFmtId="2" fontId="594" fillId="0" borderId="1" xfId="0" applyNumberFormat="1" applyFont="1" applyFill="1" applyBorder="1" applyAlignment="1">
      <alignment horizontal="center" vertical="center"/>
    </xf>
    <xf numFmtId="2" fontId="595" fillId="0" borderId="1" xfId="0" applyNumberFormat="1" applyFont="1" applyFill="1" applyBorder="1" applyAlignment="1">
      <alignment horizontal="center" vertical="center"/>
    </xf>
    <xf numFmtId="2" fontId="596" fillId="587" borderId="1" xfId="0" applyNumberFormat="1" applyFont="1" applyFill="1" applyBorder="1" applyAlignment="1">
      <alignment horizontal="center" vertical="center"/>
    </xf>
    <xf numFmtId="2" fontId="597" fillId="588" borderId="1" xfId="0" applyNumberFormat="1" applyFont="1" applyFill="1" applyBorder="1" applyAlignment="1">
      <alignment horizontal="center" vertical="center"/>
    </xf>
    <xf numFmtId="2" fontId="598" fillId="589" borderId="1" xfId="0" applyNumberFormat="1" applyFont="1" applyFill="1" applyBorder="1" applyAlignment="1">
      <alignment horizontal="center" vertical="center"/>
    </xf>
    <xf numFmtId="2" fontId="599" fillId="590" borderId="1" xfId="0" applyNumberFormat="1" applyFont="1" applyFill="1" applyBorder="1" applyAlignment="1">
      <alignment horizontal="center" vertical="center"/>
    </xf>
    <xf numFmtId="10" fontId="600" fillId="591" borderId="1" xfId="0" applyNumberFormat="1" applyFont="1" applyFill="1" applyBorder="1" applyAlignment="1">
      <alignment horizontal="center" vertical="center"/>
    </xf>
    <xf numFmtId="10" fontId="601" fillId="0" borderId="1" xfId="0" applyNumberFormat="1" applyFont="1" applyFill="1" applyBorder="1" applyAlignment="1">
      <alignment horizontal="center" vertical="center"/>
    </xf>
    <xf numFmtId="10" fontId="602" fillId="592" borderId="1" xfId="0" applyNumberFormat="1" applyFont="1" applyFill="1" applyBorder="1" applyAlignment="1">
      <alignment horizontal="center" vertical="center"/>
    </xf>
    <xf numFmtId="10" fontId="603" fillId="593" borderId="1" xfId="0" applyNumberFormat="1" applyFont="1" applyFill="1" applyBorder="1" applyAlignment="1">
      <alignment horizontal="center" vertical="center"/>
    </xf>
    <xf numFmtId="10" fontId="604" fillId="594" borderId="1" xfId="0" applyNumberFormat="1" applyFont="1" applyFill="1" applyBorder="1" applyAlignment="1">
      <alignment horizontal="center" vertical="center"/>
    </xf>
    <xf numFmtId="10" fontId="605" fillId="595" borderId="1" xfId="0" applyNumberFormat="1" applyFont="1" applyFill="1" applyBorder="1" applyAlignment="1">
      <alignment horizontal="center" vertical="center"/>
    </xf>
    <xf numFmtId="10" fontId="606" fillId="596" borderId="1" xfId="0" applyNumberFormat="1" applyFont="1" applyFill="1" applyBorder="1" applyAlignment="1">
      <alignment horizontal="center" vertical="center"/>
    </xf>
    <xf numFmtId="10" fontId="607" fillId="597" borderId="1" xfId="0" applyNumberFormat="1" applyFont="1" applyFill="1" applyBorder="1" applyAlignment="1">
      <alignment horizontal="center" vertical="center"/>
    </xf>
    <xf numFmtId="10" fontId="608" fillId="598" borderId="1" xfId="0" applyNumberFormat="1" applyFont="1" applyFill="1" applyBorder="1" applyAlignment="1">
      <alignment horizontal="center" vertical="center"/>
    </xf>
    <xf numFmtId="10" fontId="609" fillId="599" borderId="1" xfId="0" applyNumberFormat="1" applyFont="1" applyFill="1" applyBorder="1" applyAlignment="1">
      <alignment horizontal="center" vertical="center"/>
    </xf>
    <xf numFmtId="10" fontId="610" fillId="0" borderId="1" xfId="0" applyNumberFormat="1" applyFont="1" applyFill="1" applyBorder="1" applyAlignment="1">
      <alignment horizontal="center" vertical="center"/>
    </xf>
    <xf numFmtId="10" fontId="611" fillId="0" borderId="1" xfId="0" applyNumberFormat="1" applyFont="1" applyFill="1" applyBorder="1" applyAlignment="1">
      <alignment horizontal="center" vertical="center"/>
    </xf>
    <xf numFmtId="10" fontId="612" fillId="600" borderId="1" xfId="0" applyNumberFormat="1" applyFont="1" applyFill="1" applyBorder="1" applyAlignment="1">
      <alignment horizontal="center" vertical="center"/>
    </xf>
    <xf numFmtId="10" fontId="613" fillId="601" borderId="1" xfId="0" applyNumberFormat="1" applyFont="1" applyFill="1" applyBorder="1" applyAlignment="1">
      <alignment horizontal="center" vertical="center"/>
    </xf>
    <xf numFmtId="10" fontId="614" fillId="602" borderId="1" xfId="0" applyNumberFormat="1" applyFont="1" applyFill="1" applyBorder="1" applyAlignment="1">
      <alignment horizontal="center" vertical="center"/>
    </xf>
    <xf numFmtId="10" fontId="615" fillId="0" borderId="1" xfId="0" applyNumberFormat="1" applyFont="1" applyFill="1" applyBorder="1" applyAlignment="1">
      <alignment horizontal="center" vertical="center"/>
    </xf>
    <xf numFmtId="10" fontId="616" fillId="603" borderId="1" xfId="0" applyNumberFormat="1" applyFont="1" applyFill="1" applyBorder="1" applyAlignment="1">
      <alignment horizontal="center" vertical="center"/>
    </xf>
    <xf numFmtId="2" fontId="617" fillId="604" borderId="1" xfId="0" applyNumberFormat="1" applyFont="1" applyFill="1" applyBorder="1" applyAlignment="1">
      <alignment horizontal="center" vertical="center"/>
    </xf>
    <xf numFmtId="2" fontId="618" fillId="605" borderId="1" xfId="0" applyNumberFormat="1" applyFont="1" applyFill="1" applyBorder="1" applyAlignment="1">
      <alignment horizontal="center" vertical="center"/>
    </xf>
    <xf numFmtId="10" fontId="619" fillId="606" borderId="1" xfId="0" applyNumberFormat="1" applyFont="1" applyFill="1" applyBorder="1" applyAlignment="1">
      <alignment horizontal="center" vertical="center"/>
    </xf>
    <xf numFmtId="10" fontId="620" fillId="607" borderId="1" xfId="0" applyNumberFormat="1" applyFont="1" applyFill="1" applyBorder="1" applyAlignment="1">
      <alignment horizontal="center" vertical="center"/>
    </xf>
    <xf numFmtId="10" fontId="621" fillId="0" borderId="1" xfId="0" applyNumberFormat="1" applyFont="1" applyFill="1" applyBorder="1" applyAlignment="1">
      <alignment horizontal="center" vertical="center"/>
    </xf>
    <xf numFmtId="10" fontId="622" fillId="608" borderId="1" xfId="0" applyNumberFormat="1" applyFont="1" applyFill="1" applyBorder="1" applyAlignment="1">
      <alignment horizontal="center" vertical="center"/>
    </xf>
    <xf numFmtId="10" fontId="623" fillId="609" borderId="1" xfId="0" applyNumberFormat="1" applyFont="1" applyFill="1" applyBorder="1" applyAlignment="1">
      <alignment horizontal="center" vertical="center"/>
    </xf>
    <xf numFmtId="10" fontId="624" fillId="0" borderId="1" xfId="0" applyNumberFormat="1" applyFont="1" applyFill="1" applyBorder="1" applyAlignment="1">
      <alignment horizontal="center" vertical="center"/>
    </xf>
    <xf numFmtId="10" fontId="625" fillId="610" borderId="1" xfId="0" applyNumberFormat="1" applyFont="1" applyFill="1" applyBorder="1" applyAlignment="1">
      <alignment horizontal="center" vertical="center"/>
    </xf>
    <xf numFmtId="10" fontId="626" fillId="611" borderId="1" xfId="0" applyNumberFormat="1" applyFont="1" applyFill="1" applyBorder="1" applyAlignment="1">
      <alignment horizontal="center" vertical="center"/>
    </xf>
    <xf numFmtId="10" fontId="627" fillId="612" borderId="1" xfId="0" applyNumberFormat="1" applyFont="1" applyFill="1" applyBorder="1" applyAlignment="1">
      <alignment horizontal="center" vertical="center"/>
    </xf>
    <xf numFmtId="2" fontId="628" fillId="613" borderId="1" xfId="0" applyNumberFormat="1" applyFont="1" applyFill="1" applyBorder="1" applyAlignment="1">
      <alignment horizontal="center" vertical="center"/>
    </xf>
    <xf numFmtId="10" fontId="629" fillId="614" borderId="1" xfId="0" applyNumberFormat="1" applyFont="1" applyFill="1" applyBorder="1" applyAlignment="1">
      <alignment horizontal="center" vertical="center" wrapText="1"/>
    </xf>
    <xf numFmtId="2" fontId="630" fillId="0" borderId="1" xfId="0" applyNumberFormat="1" applyFont="1" applyFill="1" applyBorder="1" applyAlignment="1">
      <alignment horizontal="center" vertical="center"/>
    </xf>
    <xf numFmtId="2" fontId="631" fillId="615" borderId="1" xfId="0" applyNumberFormat="1" applyFont="1" applyFill="1" applyBorder="1" applyAlignment="1">
      <alignment horizontal="center" vertical="center"/>
    </xf>
    <xf numFmtId="2" fontId="632" fillId="616" borderId="1" xfId="0" applyNumberFormat="1" applyFont="1" applyFill="1" applyBorder="1" applyAlignment="1">
      <alignment horizontal="center" vertical="center"/>
    </xf>
    <xf numFmtId="2" fontId="633" fillId="617" borderId="1" xfId="0" applyNumberFormat="1" applyFont="1" applyFill="1" applyBorder="1" applyAlignment="1">
      <alignment horizontal="center" vertical="center"/>
    </xf>
    <xf numFmtId="2" fontId="634" fillId="618" borderId="1" xfId="0" applyNumberFormat="1" applyFont="1" applyFill="1" applyBorder="1" applyAlignment="1">
      <alignment horizontal="center" vertical="center"/>
    </xf>
    <xf numFmtId="2" fontId="635" fillId="619" borderId="1" xfId="0" applyNumberFormat="1" applyFont="1" applyFill="1" applyBorder="1" applyAlignment="1">
      <alignment horizontal="center" vertical="center"/>
    </xf>
    <xf numFmtId="10" fontId="636" fillId="0" borderId="1" xfId="0" applyNumberFormat="1" applyFont="1" applyFill="1" applyBorder="1" applyAlignment="1">
      <alignment horizontal="center" vertical="center"/>
    </xf>
    <xf numFmtId="2" fontId="637" fillId="620" borderId="1" xfId="0" applyNumberFormat="1" applyFont="1" applyFill="1" applyBorder="1" applyAlignment="1">
      <alignment horizontal="center" vertical="center"/>
    </xf>
    <xf numFmtId="10" fontId="638" fillId="621" borderId="1" xfId="0" applyNumberFormat="1" applyFont="1" applyFill="1" applyBorder="1" applyAlignment="1">
      <alignment horizontal="center" vertical="center"/>
    </xf>
    <xf numFmtId="10" fontId="639" fillId="0" borderId="1" xfId="0" applyNumberFormat="1" applyFont="1" applyFill="1" applyBorder="1" applyAlignment="1">
      <alignment horizontal="center" vertical="center"/>
    </xf>
    <xf numFmtId="10" fontId="640" fillId="622" borderId="1" xfId="0" applyNumberFormat="1" applyFont="1" applyFill="1" applyBorder="1" applyAlignment="1">
      <alignment horizontal="center" vertical="center"/>
    </xf>
    <xf numFmtId="2" fontId="641" fillId="623" borderId="1" xfId="0" applyNumberFormat="1" applyFont="1" applyFill="1" applyBorder="1" applyAlignment="1">
      <alignment horizontal="center" vertical="center"/>
    </xf>
    <xf numFmtId="2" fontId="642" fillId="624" borderId="1" xfId="0" applyNumberFormat="1" applyFont="1" applyFill="1" applyBorder="1" applyAlignment="1">
      <alignment horizontal="center" vertical="center"/>
    </xf>
    <xf numFmtId="10" fontId="643" fillId="625" borderId="1" xfId="0" applyNumberFormat="1" applyFont="1" applyFill="1" applyBorder="1" applyAlignment="1">
      <alignment horizontal="center" vertical="center"/>
    </xf>
    <xf numFmtId="10" fontId="644" fillId="626" borderId="1" xfId="0" applyNumberFormat="1" applyFont="1" applyFill="1" applyBorder="1" applyAlignment="1">
      <alignment horizontal="center" vertical="center"/>
    </xf>
    <xf numFmtId="10" fontId="645" fillId="627" borderId="1" xfId="0" applyNumberFormat="1" applyFont="1" applyFill="1" applyBorder="1" applyAlignment="1">
      <alignment horizontal="center" vertical="center"/>
    </xf>
    <xf numFmtId="10" fontId="646" fillId="0" borderId="1" xfId="0" applyNumberFormat="1" applyFont="1" applyFill="1" applyBorder="1" applyAlignment="1">
      <alignment horizontal="center" vertical="center"/>
    </xf>
    <xf numFmtId="10" fontId="647" fillId="0" borderId="1" xfId="0" applyNumberFormat="1" applyFont="1" applyFill="1" applyBorder="1" applyAlignment="1">
      <alignment horizontal="center" vertical="center"/>
    </xf>
    <xf numFmtId="10" fontId="648" fillId="628" borderId="1" xfId="0" applyNumberFormat="1" applyFont="1" applyFill="1" applyBorder="1" applyAlignment="1">
      <alignment horizontal="center" vertical="center"/>
    </xf>
    <xf numFmtId="10" fontId="649" fillId="629" borderId="1" xfId="0" applyNumberFormat="1" applyFont="1" applyFill="1" applyBorder="1" applyAlignment="1">
      <alignment horizontal="center" vertical="center"/>
    </xf>
    <xf numFmtId="10" fontId="650" fillId="630" borderId="1" xfId="0" applyNumberFormat="1" applyFont="1" applyFill="1" applyBorder="1" applyAlignment="1">
      <alignment horizontal="center" vertical="center" wrapText="1"/>
    </xf>
    <xf numFmtId="10" fontId="651" fillId="631" borderId="1" xfId="0" applyNumberFormat="1" applyFont="1" applyFill="1" applyBorder="1" applyAlignment="1">
      <alignment horizontal="center" vertical="center" wrapText="1"/>
    </xf>
    <xf numFmtId="10" fontId="652" fillId="632" borderId="1" xfId="0" applyNumberFormat="1" applyFont="1" applyFill="1" applyBorder="1" applyAlignment="1">
      <alignment horizontal="center" vertical="center" wrapText="1"/>
    </xf>
    <xf numFmtId="10" fontId="653" fillId="633" borderId="1" xfId="0" applyNumberFormat="1" applyFont="1" applyFill="1" applyBorder="1" applyAlignment="1">
      <alignment horizontal="center" vertical="center"/>
    </xf>
    <xf numFmtId="10" fontId="654" fillId="634" borderId="1" xfId="0" applyNumberFormat="1" applyFont="1" applyFill="1" applyBorder="1" applyAlignment="1">
      <alignment horizontal="center" vertical="center"/>
    </xf>
    <xf numFmtId="2" fontId="655" fillId="635" borderId="1" xfId="0" applyNumberFormat="1" applyFont="1" applyFill="1" applyBorder="1" applyAlignment="1">
      <alignment horizontal="center" vertical="center"/>
    </xf>
    <xf numFmtId="10" fontId="656" fillId="636" borderId="1" xfId="0" applyNumberFormat="1" applyFont="1" applyFill="1" applyBorder="1" applyAlignment="1">
      <alignment horizontal="center" vertical="center"/>
    </xf>
    <xf numFmtId="2" fontId="657" fillId="637" borderId="1" xfId="0" applyNumberFormat="1" applyFont="1" applyFill="1" applyBorder="1" applyAlignment="1">
      <alignment horizontal="center" vertical="center"/>
    </xf>
    <xf numFmtId="10" fontId="658" fillId="638" borderId="1" xfId="0" applyNumberFormat="1" applyFont="1" applyFill="1" applyBorder="1" applyAlignment="1">
      <alignment horizontal="center" vertical="center"/>
    </xf>
    <xf numFmtId="2" fontId="659" fillId="0" borderId="1" xfId="0" applyNumberFormat="1" applyFont="1" applyFill="1" applyBorder="1" applyAlignment="1">
      <alignment horizontal="center" vertical="center"/>
    </xf>
    <xf numFmtId="2" fontId="660" fillId="639" borderId="1" xfId="0" applyNumberFormat="1" applyFont="1" applyFill="1" applyBorder="1" applyAlignment="1">
      <alignment horizontal="center" vertical="center"/>
    </xf>
    <xf numFmtId="10" fontId="661" fillId="640" borderId="1" xfId="0" applyNumberFormat="1" applyFont="1" applyFill="1" applyBorder="1" applyAlignment="1">
      <alignment horizontal="center" vertical="center"/>
    </xf>
    <xf numFmtId="2" fontId="662" fillId="0" borderId="1" xfId="0" applyNumberFormat="1" applyFont="1" applyFill="1" applyBorder="1" applyAlignment="1">
      <alignment horizontal="center" vertical="center"/>
    </xf>
    <xf numFmtId="2" fontId="663" fillId="0" borderId="1" xfId="0" applyNumberFormat="1" applyFont="1" applyFill="1" applyBorder="1" applyAlignment="1">
      <alignment horizontal="center" vertical="center"/>
    </xf>
    <xf numFmtId="10" fontId="664" fillId="0" borderId="1" xfId="0" applyNumberFormat="1" applyFont="1" applyFill="1" applyBorder="1" applyAlignment="1">
      <alignment horizontal="center" vertical="center"/>
    </xf>
    <xf numFmtId="10" fontId="665" fillId="0" borderId="1" xfId="0" applyNumberFormat="1" applyFont="1" applyFill="1" applyBorder="1" applyAlignment="1">
      <alignment horizontal="center" vertical="center"/>
    </xf>
    <xf numFmtId="10" fontId="666" fillId="0" borderId="1" xfId="0" applyNumberFormat="1" applyFont="1" applyFill="1" applyBorder="1" applyAlignment="1">
      <alignment horizontal="center" vertical="center"/>
    </xf>
    <xf numFmtId="10" fontId="667" fillId="641" borderId="1" xfId="0" applyNumberFormat="1" applyFont="1" applyFill="1" applyBorder="1" applyAlignment="1">
      <alignment horizontal="center" vertical="center"/>
    </xf>
    <xf numFmtId="10" fontId="668" fillId="642" borderId="1" xfId="0" applyNumberFormat="1" applyFont="1" applyFill="1" applyBorder="1" applyAlignment="1">
      <alignment horizontal="center" vertical="center"/>
    </xf>
    <xf numFmtId="10" fontId="669" fillId="0" borderId="1" xfId="0" applyNumberFormat="1" applyFont="1" applyFill="1" applyBorder="1" applyAlignment="1">
      <alignment horizontal="center" vertical="center" wrapText="1"/>
    </xf>
    <xf numFmtId="10" fontId="670" fillId="643" borderId="1" xfId="0" applyNumberFormat="1" applyFont="1" applyFill="1" applyBorder="1" applyAlignment="1">
      <alignment horizontal="center" vertical="center"/>
    </xf>
    <xf numFmtId="10" fontId="671" fillId="644" borderId="1" xfId="0" applyNumberFormat="1" applyFont="1" applyFill="1" applyBorder="1" applyAlignment="1">
      <alignment horizontal="center" vertical="center"/>
    </xf>
    <xf numFmtId="2" fontId="672" fillId="645" borderId="1" xfId="0" applyNumberFormat="1" applyFont="1" applyFill="1" applyBorder="1" applyAlignment="1">
      <alignment horizontal="center" vertical="center"/>
    </xf>
    <xf numFmtId="10" fontId="673" fillId="646" borderId="1" xfId="0" applyNumberFormat="1" applyFont="1" applyFill="1" applyBorder="1" applyAlignment="1">
      <alignment horizontal="center" vertical="center" wrapText="1"/>
    </xf>
    <xf numFmtId="2" fontId="674" fillId="647" borderId="1" xfId="0" applyNumberFormat="1" applyFont="1" applyFill="1" applyBorder="1" applyAlignment="1">
      <alignment horizontal="center" vertical="center"/>
    </xf>
    <xf numFmtId="10" fontId="675" fillId="648" borderId="1" xfId="0" applyNumberFormat="1" applyFont="1" applyFill="1" applyBorder="1" applyAlignment="1">
      <alignment horizontal="center" vertical="center"/>
    </xf>
    <xf numFmtId="2" fontId="676" fillId="0" borderId="1" xfId="0" applyNumberFormat="1" applyFont="1" applyFill="1" applyBorder="1" applyAlignment="1">
      <alignment horizontal="center" vertical="center"/>
    </xf>
    <xf numFmtId="10" fontId="677" fillId="649" borderId="1" xfId="0" applyNumberFormat="1" applyFont="1" applyFill="1" applyBorder="1" applyAlignment="1">
      <alignment horizontal="center" vertical="center"/>
    </xf>
    <xf numFmtId="2" fontId="678" fillId="650" borderId="1" xfId="0" applyNumberFormat="1" applyFont="1" applyFill="1" applyBorder="1" applyAlignment="1">
      <alignment horizontal="center" vertical="center"/>
    </xf>
    <xf numFmtId="2" fontId="679" fillId="651" borderId="1" xfId="0" applyNumberFormat="1" applyFont="1" applyFill="1" applyBorder="1" applyAlignment="1">
      <alignment horizontal="center" vertical="center"/>
    </xf>
    <xf numFmtId="10" fontId="680" fillId="652" borderId="1" xfId="0" applyNumberFormat="1" applyFont="1" applyFill="1" applyBorder="1" applyAlignment="1">
      <alignment horizontal="center" vertical="center"/>
    </xf>
    <xf numFmtId="2" fontId="681" fillId="653" borderId="1" xfId="0" applyNumberFormat="1" applyFont="1" applyFill="1" applyBorder="1" applyAlignment="1">
      <alignment horizontal="center" vertical="center" wrapText="1"/>
    </xf>
    <xf numFmtId="10" fontId="682" fillId="654" borderId="1" xfId="0" applyNumberFormat="1" applyFont="1" applyFill="1" applyBorder="1" applyAlignment="1">
      <alignment horizontal="center" vertical="center"/>
    </xf>
    <xf numFmtId="2" fontId="683" fillId="655" borderId="1" xfId="0" applyNumberFormat="1" applyFont="1" applyFill="1" applyBorder="1" applyAlignment="1">
      <alignment horizontal="center" vertical="center"/>
    </xf>
    <xf numFmtId="2" fontId="684" fillId="656" borderId="1" xfId="0" applyNumberFormat="1" applyFont="1" applyFill="1" applyBorder="1" applyAlignment="1">
      <alignment horizontal="center" vertical="center"/>
    </xf>
    <xf numFmtId="10" fontId="685" fillId="0" borderId="1" xfId="0" applyNumberFormat="1" applyFont="1" applyFill="1" applyBorder="1" applyAlignment="1">
      <alignment horizontal="center" vertical="center"/>
    </xf>
    <xf numFmtId="2" fontId="686" fillId="0" borderId="1" xfId="0" applyNumberFormat="1" applyFont="1" applyFill="1" applyBorder="1" applyAlignment="1">
      <alignment horizontal="center" vertical="center"/>
    </xf>
    <xf numFmtId="10" fontId="687" fillId="657" borderId="1" xfId="0" applyNumberFormat="1" applyFont="1" applyFill="1" applyBorder="1" applyAlignment="1">
      <alignment horizontal="center" vertical="center"/>
    </xf>
    <xf numFmtId="10" fontId="688" fillId="658" borderId="1" xfId="0" applyNumberFormat="1" applyFont="1" applyFill="1" applyBorder="1" applyAlignment="1">
      <alignment horizontal="center" vertical="center"/>
    </xf>
    <xf numFmtId="10" fontId="689" fillId="659" borderId="1" xfId="0" applyNumberFormat="1" applyFont="1" applyFill="1" applyBorder="1" applyAlignment="1">
      <alignment horizontal="center" vertical="center"/>
    </xf>
    <xf numFmtId="10" fontId="690" fillId="660" borderId="1" xfId="0" applyNumberFormat="1" applyFont="1" applyFill="1" applyBorder="1" applyAlignment="1">
      <alignment horizontal="center" vertical="center"/>
    </xf>
    <xf numFmtId="10" fontId="691" fillId="661" borderId="1" xfId="0" applyNumberFormat="1" applyFont="1" applyFill="1" applyBorder="1" applyAlignment="1">
      <alignment horizontal="center" vertical="center"/>
    </xf>
    <xf numFmtId="10" fontId="692" fillId="662" borderId="1" xfId="0" applyNumberFormat="1" applyFont="1" applyFill="1" applyBorder="1" applyAlignment="1">
      <alignment horizontal="center" vertical="center"/>
    </xf>
    <xf numFmtId="10" fontId="693" fillId="663" borderId="1" xfId="0" applyNumberFormat="1" applyFont="1" applyFill="1" applyBorder="1" applyAlignment="1">
      <alignment horizontal="center" vertical="center"/>
    </xf>
    <xf numFmtId="10" fontId="694" fillId="664" borderId="1" xfId="0" applyNumberFormat="1" applyFont="1" applyFill="1" applyBorder="1" applyAlignment="1">
      <alignment horizontal="center" vertical="center"/>
    </xf>
    <xf numFmtId="10" fontId="695" fillId="665" borderId="1" xfId="0" applyNumberFormat="1" applyFont="1" applyFill="1" applyBorder="1" applyAlignment="1">
      <alignment horizontal="center" vertical="center"/>
    </xf>
    <xf numFmtId="10" fontId="696" fillId="666" borderId="1" xfId="0" applyNumberFormat="1" applyFont="1" applyFill="1" applyBorder="1" applyAlignment="1">
      <alignment horizontal="center" vertical="center"/>
    </xf>
    <xf numFmtId="10" fontId="697" fillId="667" borderId="1" xfId="0" applyNumberFormat="1" applyFont="1" applyFill="1" applyBorder="1" applyAlignment="1">
      <alignment horizontal="center" vertical="center"/>
    </xf>
    <xf numFmtId="2" fontId="698" fillId="668" borderId="1" xfId="0" applyNumberFormat="1" applyFont="1" applyFill="1" applyBorder="1" applyAlignment="1">
      <alignment horizontal="center" vertical="center"/>
    </xf>
    <xf numFmtId="10" fontId="699" fillId="669" borderId="1" xfId="0" applyNumberFormat="1" applyFont="1" applyFill="1" applyBorder="1" applyAlignment="1">
      <alignment horizontal="center" vertical="center"/>
    </xf>
    <xf numFmtId="2" fontId="700" fillId="670" borderId="1" xfId="0" applyNumberFormat="1" applyFont="1" applyFill="1" applyBorder="1" applyAlignment="1">
      <alignment horizontal="center" vertical="center"/>
    </xf>
    <xf numFmtId="10" fontId="701" fillId="0" borderId="1" xfId="0" applyNumberFormat="1" applyFont="1" applyFill="1" applyBorder="1" applyAlignment="1">
      <alignment horizontal="center" vertical="center"/>
    </xf>
    <xf numFmtId="2" fontId="702" fillId="671" borderId="1" xfId="0" applyNumberFormat="1" applyFont="1" applyFill="1" applyBorder="1" applyAlignment="1">
      <alignment horizontal="center" vertical="center"/>
    </xf>
    <xf numFmtId="2" fontId="703" fillId="672" borderId="1" xfId="0" applyNumberFormat="1" applyFont="1" applyFill="1" applyBorder="1" applyAlignment="1">
      <alignment horizontal="center" vertical="center"/>
    </xf>
    <xf numFmtId="2" fontId="704" fillId="673" borderId="1" xfId="0" applyNumberFormat="1" applyFont="1" applyFill="1" applyBorder="1" applyAlignment="1">
      <alignment horizontal="center" vertical="center"/>
    </xf>
    <xf numFmtId="2" fontId="705" fillId="0" borderId="1" xfId="0" applyNumberFormat="1" applyFont="1" applyFill="1" applyBorder="1" applyAlignment="1">
      <alignment horizontal="center" vertical="center"/>
    </xf>
    <xf numFmtId="10" fontId="706" fillId="674" borderId="1" xfId="0" applyNumberFormat="1" applyFont="1" applyFill="1" applyBorder="1" applyAlignment="1">
      <alignment horizontal="center" vertical="center"/>
    </xf>
    <xf numFmtId="10" fontId="707" fillId="675" borderId="1" xfId="0" applyNumberFormat="1" applyFont="1" applyFill="1" applyBorder="1" applyAlignment="1">
      <alignment horizontal="center" vertical="center"/>
    </xf>
    <xf numFmtId="10" fontId="708" fillId="676" borderId="1" xfId="0" applyNumberFormat="1" applyFont="1" applyFill="1" applyBorder="1" applyAlignment="1">
      <alignment horizontal="center" vertical="center"/>
    </xf>
    <xf numFmtId="2" fontId="709" fillId="677" borderId="1" xfId="0" applyNumberFormat="1" applyFont="1" applyFill="1" applyBorder="1" applyAlignment="1">
      <alignment horizontal="center" vertical="center"/>
    </xf>
    <xf numFmtId="2" fontId="710" fillId="0" borderId="1" xfId="0" applyNumberFormat="1" applyFont="1" applyFill="1" applyBorder="1" applyAlignment="1">
      <alignment horizontal="center" vertical="center"/>
    </xf>
    <xf numFmtId="10" fontId="711" fillId="678" borderId="1" xfId="0" applyNumberFormat="1" applyFont="1" applyFill="1" applyBorder="1" applyAlignment="1">
      <alignment horizontal="center" vertical="center"/>
    </xf>
    <xf numFmtId="2" fontId="712" fillId="679" borderId="1" xfId="0" applyNumberFormat="1" applyFont="1" applyFill="1" applyBorder="1" applyAlignment="1">
      <alignment horizontal="center" vertical="center"/>
    </xf>
    <xf numFmtId="2" fontId="713" fillId="680" borderId="1" xfId="0" applyNumberFormat="1" applyFont="1" applyFill="1" applyBorder="1" applyAlignment="1">
      <alignment horizontal="center" vertical="center"/>
    </xf>
    <xf numFmtId="2" fontId="714" fillId="681" borderId="1" xfId="0" applyNumberFormat="1" applyFont="1" applyFill="1" applyBorder="1" applyAlignment="1">
      <alignment horizontal="center" vertical="center"/>
    </xf>
    <xf numFmtId="2" fontId="715" fillId="0" borderId="1" xfId="0" applyNumberFormat="1" applyFont="1" applyFill="1" applyBorder="1" applyAlignment="1">
      <alignment horizontal="center" vertical="center"/>
    </xf>
    <xf numFmtId="2" fontId="716" fillId="682" borderId="1" xfId="0" applyNumberFormat="1" applyFont="1" applyFill="1" applyBorder="1" applyAlignment="1">
      <alignment horizontal="center" vertical="center"/>
    </xf>
    <xf numFmtId="2" fontId="717" fillId="683" borderId="1" xfId="0" applyNumberFormat="1" applyFont="1" applyFill="1" applyBorder="1" applyAlignment="1">
      <alignment horizontal="center" vertical="center"/>
    </xf>
    <xf numFmtId="10" fontId="718" fillId="684" borderId="1" xfId="0" applyNumberFormat="1" applyFont="1" applyFill="1" applyBorder="1" applyAlignment="1">
      <alignment horizontal="center" vertical="center"/>
    </xf>
    <xf numFmtId="10" fontId="719" fillId="0" borderId="1" xfId="0" applyNumberFormat="1" applyFont="1" applyFill="1" applyBorder="1" applyAlignment="1">
      <alignment horizontal="center" vertical="center"/>
    </xf>
    <xf numFmtId="10" fontId="720" fillId="685" borderId="1" xfId="0" applyNumberFormat="1" applyFont="1" applyFill="1" applyBorder="1" applyAlignment="1">
      <alignment horizontal="center" vertical="center"/>
    </xf>
    <xf numFmtId="2" fontId="721" fillId="686" borderId="1" xfId="0" applyNumberFormat="1" applyFont="1" applyFill="1" applyBorder="1" applyAlignment="1">
      <alignment horizontal="center" vertical="center"/>
    </xf>
    <xf numFmtId="2" fontId="722" fillId="687" borderId="1" xfId="0" applyNumberFormat="1" applyFont="1" applyFill="1" applyBorder="1" applyAlignment="1">
      <alignment horizontal="center" vertical="center"/>
    </xf>
    <xf numFmtId="0" fontId="723" fillId="0" borderId="1" xfId="0" applyFont="1" applyFill="1" applyBorder="1" applyAlignment="1">
      <alignment horizontal="center" vertical="center"/>
    </xf>
    <xf numFmtId="2" fontId="724" fillId="688" borderId="1" xfId="0" applyNumberFormat="1" applyFont="1" applyFill="1" applyBorder="1" applyAlignment="1">
      <alignment horizontal="center" vertical="center"/>
    </xf>
    <xf numFmtId="2" fontId="725" fillId="689" borderId="1" xfId="0" applyNumberFormat="1" applyFont="1" applyFill="1" applyBorder="1" applyAlignment="1">
      <alignment horizontal="center" vertical="center"/>
    </xf>
    <xf numFmtId="2" fontId="726" fillId="690" borderId="1" xfId="0" applyNumberFormat="1" applyFont="1" applyFill="1" applyBorder="1" applyAlignment="1">
      <alignment horizontal="center" vertical="center"/>
    </xf>
    <xf numFmtId="0" fontId="727" fillId="0" borderId="1" xfId="0" applyFont="1" applyFill="1" applyBorder="1" applyAlignment="1">
      <alignment horizontal="center" vertical="center" wrapText="1"/>
    </xf>
    <xf numFmtId="2" fontId="728" fillId="0" borderId="1" xfId="0" applyNumberFormat="1" applyFont="1" applyFill="1" applyBorder="1" applyAlignment="1">
      <alignment horizontal="center" vertical="center"/>
    </xf>
    <xf numFmtId="2" fontId="729" fillId="0" borderId="1" xfId="0" applyNumberFormat="1" applyFont="1" applyFill="1" applyBorder="1" applyAlignment="1">
      <alignment horizontal="center" vertical="center"/>
    </xf>
    <xf numFmtId="2" fontId="730" fillId="0" borderId="1" xfId="0" applyNumberFormat="1" applyFont="1" applyFill="1" applyBorder="1" applyAlignment="1">
      <alignment horizontal="center" vertical="center"/>
    </xf>
    <xf numFmtId="2" fontId="731" fillId="691" borderId="1" xfId="0" applyNumberFormat="1" applyFont="1" applyFill="1" applyBorder="1" applyAlignment="1">
      <alignment horizontal="center" vertical="center"/>
    </xf>
    <xf numFmtId="2" fontId="732" fillId="692" borderId="1" xfId="0" applyNumberFormat="1" applyFont="1" applyFill="1" applyBorder="1" applyAlignment="1">
      <alignment horizontal="center" vertical="center"/>
    </xf>
    <xf numFmtId="2" fontId="733" fillId="693" borderId="1" xfId="0" applyNumberFormat="1" applyFont="1" applyFill="1" applyBorder="1" applyAlignment="1">
      <alignment horizontal="center" vertical="center"/>
    </xf>
    <xf numFmtId="2" fontId="734" fillId="694" borderId="1" xfId="0" applyNumberFormat="1" applyFont="1" applyFill="1" applyBorder="1" applyAlignment="1">
      <alignment horizontal="center" vertical="center"/>
    </xf>
    <xf numFmtId="10" fontId="735" fillId="695" borderId="1" xfId="0" applyNumberFormat="1" applyFont="1" applyFill="1" applyBorder="1" applyAlignment="1">
      <alignment horizontal="center" vertical="center"/>
    </xf>
    <xf numFmtId="10" fontId="736" fillId="0" borderId="1" xfId="0" applyNumberFormat="1" applyFont="1" applyFill="1" applyBorder="1" applyAlignment="1">
      <alignment horizontal="center" vertical="center"/>
    </xf>
    <xf numFmtId="10" fontId="737" fillId="696" borderId="1" xfId="0" applyNumberFormat="1" applyFont="1" applyFill="1" applyBorder="1" applyAlignment="1">
      <alignment horizontal="center" vertical="center"/>
    </xf>
    <xf numFmtId="10" fontId="738" fillId="697" borderId="1" xfId="0" applyNumberFormat="1" applyFont="1" applyFill="1" applyBorder="1" applyAlignment="1">
      <alignment horizontal="center" vertical="center"/>
    </xf>
    <xf numFmtId="10" fontId="739" fillId="698" borderId="1" xfId="0" applyNumberFormat="1" applyFont="1" applyFill="1" applyBorder="1" applyAlignment="1">
      <alignment horizontal="center" vertical="center"/>
    </xf>
    <xf numFmtId="10" fontId="740" fillId="699" borderId="1" xfId="0" applyNumberFormat="1" applyFont="1" applyFill="1" applyBorder="1" applyAlignment="1">
      <alignment horizontal="center" vertical="center"/>
    </xf>
    <xf numFmtId="10" fontId="741" fillId="700" borderId="1" xfId="0" applyNumberFormat="1" applyFont="1" applyFill="1" applyBorder="1" applyAlignment="1">
      <alignment horizontal="center" vertical="center"/>
    </xf>
    <xf numFmtId="10" fontId="742" fillId="701" borderId="1" xfId="0" applyNumberFormat="1" applyFont="1" applyFill="1" applyBorder="1" applyAlignment="1">
      <alignment horizontal="center" vertical="center"/>
    </xf>
    <xf numFmtId="10" fontId="743" fillId="702" borderId="1" xfId="0" applyNumberFormat="1" applyFont="1" applyFill="1" applyBorder="1" applyAlignment="1">
      <alignment horizontal="center" vertical="center"/>
    </xf>
    <xf numFmtId="10" fontId="744" fillId="703" borderId="1" xfId="0" applyNumberFormat="1" applyFont="1" applyFill="1" applyBorder="1" applyAlignment="1">
      <alignment horizontal="center" vertical="center"/>
    </xf>
    <xf numFmtId="10" fontId="745" fillId="0" borderId="1" xfId="0" applyNumberFormat="1" applyFont="1" applyFill="1" applyBorder="1" applyAlignment="1">
      <alignment horizontal="center" vertical="center"/>
    </xf>
    <xf numFmtId="10" fontId="746" fillId="0" borderId="1" xfId="0" applyNumberFormat="1" applyFont="1" applyFill="1" applyBorder="1" applyAlignment="1">
      <alignment horizontal="center" vertical="center"/>
    </xf>
    <xf numFmtId="10" fontId="747" fillId="704" borderId="1" xfId="0" applyNumberFormat="1" applyFont="1" applyFill="1" applyBorder="1" applyAlignment="1">
      <alignment horizontal="center" vertical="center"/>
    </xf>
    <xf numFmtId="10" fontId="748" fillId="705" borderId="1" xfId="0" applyNumberFormat="1" applyFont="1" applyFill="1" applyBorder="1" applyAlignment="1">
      <alignment horizontal="center" vertical="center"/>
    </xf>
    <xf numFmtId="10" fontId="749" fillId="706" borderId="1" xfId="0" applyNumberFormat="1" applyFont="1" applyFill="1" applyBorder="1" applyAlignment="1">
      <alignment horizontal="center" vertical="center"/>
    </xf>
    <xf numFmtId="10" fontId="750" fillId="0" borderId="1" xfId="0" applyNumberFormat="1" applyFont="1" applyFill="1" applyBorder="1" applyAlignment="1">
      <alignment horizontal="center" vertical="center"/>
    </xf>
    <xf numFmtId="10" fontId="751" fillId="707" borderId="1" xfId="0" applyNumberFormat="1" applyFont="1" applyFill="1" applyBorder="1" applyAlignment="1">
      <alignment horizontal="center" vertical="center"/>
    </xf>
    <xf numFmtId="2" fontId="752" fillId="708" borderId="1" xfId="0" applyNumberFormat="1" applyFont="1" applyFill="1" applyBorder="1" applyAlignment="1">
      <alignment horizontal="center" vertical="center"/>
    </xf>
    <xf numFmtId="2" fontId="753" fillId="709" borderId="1" xfId="0" applyNumberFormat="1" applyFont="1" applyFill="1" applyBorder="1" applyAlignment="1">
      <alignment horizontal="center" vertical="center"/>
    </xf>
    <xf numFmtId="10" fontId="754" fillId="710" borderId="1" xfId="0" applyNumberFormat="1" applyFont="1" applyFill="1" applyBorder="1" applyAlignment="1">
      <alignment horizontal="center" vertical="center"/>
    </xf>
    <xf numFmtId="10" fontId="755" fillId="711" borderId="1" xfId="0" applyNumberFormat="1" applyFont="1" applyFill="1" applyBorder="1" applyAlignment="1">
      <alignment horizontal="center" vertical="center"/>
    </xf>
    <xf numFmtId="10" fontId="756" fillId="0" borderId="1" xfId="0" applyNumberFormat="1" applyFont="1" applyFill="1" applyBorder="1" applyAlignment="1">
      <alignment horizontal="center" vertical="center"/>
    </xf>
    <xf numFmtId="10" fontId="757" fillId="712" borderId="1" xfId="0" applyNumberFormat="1" applyFont="1" applyFill="1" applyBorder="1" applyAlignment="1">
      <alignment horizontal="center" vertical="center"/>
    </xf>
    <xf numFmtId="10" fontId="758" fillId="713" borderId="1" xfId="0" applyNumberFormat="1" applyFont="1" applyFill="1" applyBorder="1" applyAlignment="1">
      <alignment horizontal="center" vertical="center"/>
    </xf>
    <xf numFmtId="10" fontId="759" fillId="0" borderId="1" xfId="0" applyNumberFormat="1" applyFont="1" applyFill="1" applyBorder="1" applyAlignment="1">
      <alignment horizontal="center" vertical="center"/>
    </xf>
    <xf numFmtId="10" fontId="760" fillId="714" borderId="1" xfId="0" applyNumberFormat="1" applyFont="1" applyFill="1" applyBorder="1" applyAlignment="1">
      <alignment horizontal="center" vertical="center"/>
    </xf>
    <xf numFmtId="10" fontId="761" fillId="715" borderId="1" xfId="0" applyNumberFormat="1" applyFont="1" applyFill="1" applyBorder="1" applyAlignment="1">
      <alignment horizontal="center" vertical="center"/>
    </xf>
    <xf numFmtId="10" fontId="762" fillId="0" borderId="1" xfId="0" applyNumberFormat="1" applyFont="1" applyFill="1" applyBorder="1" applyAlignment="1">
      <alignment horizontal="center" vertical="center"/>
    </xf>
    <xf numFmtId="2" fontId="763" fillId="716" borderId="1" xfId="0" applyNumberFormat="1" applyFont="1" applyFill="1" applyBorder="1" applyAlignment="1">
      <alignment horizontal="center" vertical="center"/>
    </xf>
    <xf numFmtId="10" fontId="764" fillId="717" borderId="1" xfId="0" applyNumberFormat="1" applyFont="1" applyFill="1" applyBorder="1" applyAlignment="1">
      <alignment horizontal="center" vertical="center" wrapText="1"/>
    </xf>
    <xf numFmtId="2" fontId="765" fillId="0" borderId="1" xfId="0" applyNumberFormat="1" applyFont="1" applyFill="1" applyBorder="1" applyAlignment="1">
      <alignment horizontal="center" vertical="center"/>
    </xf>
    <xf numFmtId="2" fontId="766" fillId="718" borderId="1" xfId="0" applyNumberFormat="1" applyFont="1" applyFill="1" applyBorder="1" applyAlignment="1">
      <alignment horizontal="center" vertical="center"/>
    </xf>
    <xf numFmtId="2" fontId="767" fillId="0" borderId="1" xfId="0" applyNumberFormat="1" applyFont="1" applyFill="1" applyBorder="1" applyAlignment="1">
      <alignment horizontal="center" vertical="center"/>
    </xf>
    <xf numFmtId="2" fontId="768" fillId="719" borderId="1" xfId="0" applyNumberFormat="1" applyFont="1" applyFill="1" applyBorder="1" applyAlignment="1">
      <alignment horizontal="center" vertical="center"/>
    </xf>
    <xf numFmtId="2" fontId="769" fillId="720" borderId="1" xfId="0" applyNumberFormat="1" applyFont="1" applyFill="1" applyBorder="1" applyAlignment="1">
      <alignment horizontal="center" vertical="center"/>
    </xf>
    <xf numFmtId="2" fontId="770" fillId="721" borderId="1" xfId="0" applyNumberFormat="1" applyFont="1" applyFill="1" applyBorder="1" applyAlignment="1">
      <alignment horizontal="center" vertical="center"/>
    </xf>
    <xf numFmtId="10" fontId="771" fillId="0" borderId="1" xfId="0" applyNumberFormat="1" applyFont="1" applyFill="1" applyBorder="1" applyAlignment="1">
      <alignment horizontal="center" vertical="center"/>
    </xf>
    <xf numFmtId="2" fontId="772" fillId="722" borderId="1" xfId="0" applyNumberFormat="1" applyFont="1" applyFill="1" applyBorder="1" applyAlignment="1">
      <alignment horizontal="center" vertical="center"/>
    </xf>
    <xf numFmtId="10" fontId="773" fillId="723" borderId="1" xfId="0" applyNumberFormat="1" applyFont="1" applyFill="1" applyBorder="1" applyAlignment="1">
      <alignment horizontal="center" vertical="center"/>
    </xf>
    <xf numFmtId="10" fontId="774" fillId="0" borderId="1" xfId="0" applyNumberFormat="1" applyFont="1" applyFill="1" applyBorder="1" applyAlignment="1">
      <alignment horizontal="center" vertical="center"/>
    </xf>
    <xf numFmtId="10" fontId="775" fillId="724" borderId="1" xfId="0" applyNumberFormat="1" applyFont="1" applyFill="1" applyBorder="1" applyAlignment="1">
      <alignment horizontal="center" vertical="center"/>
    </xf>
    <xf numFmtId="2" fontId="776" fillId="725" borderId="1" xfId="0" applyNumberFormat="1" applyFont="1" applyFill="1" applyBorder="1" applyAlignment="1">
      <alignment horizontal="center" vertical="center"/>
    </xf>
    <xf numFmtId="2" fontId="777" fillId="726" borderId="1" xfId="0" applyNumberFormat="1" applyFont="1" applyFill="1" applyBorder="1" applyAlignment="1">
      <alignment horizontal="center" vertical="center"/>
    </xf>
    <xf numFmtId="10" fontId="778" fillId="727" borderId="1" xfId="0" applyNumberFormat="1" applyFont="1" applyFill="1" applyBorder="1" applyAlignment="1">
      <alignment horizontal="center" vertical="center"/>
    </xf>
    <xf numFmtId="10" fontId="779" fillId="728" borderId="1" xfId="0" applyNumberFormat="1" applyFont="1" applyFill="1" applyBorder="1" applyAlignment="1">
      <alignment horizontal="center" vertical="center"/>
    </xf>
    <xf numFmtId="10" fontId="780" fillId="729" borderId="1" xfId="0" applyNumberFormat="1" applyFont="1" applyFill="1" applyBorder="1" applyAlignment="1">
      <alignment horizontal="center" vertical="center"/>
    </xf>
    <xf numFmtId="10" fontId="781" fillId="0" borderId="1" xfId="0" applyNumberFormat="1" applyFont="1" applyFill="1" applyBorder="1" applyAlignment="1">
      <alignment horizontal="center" vertical="center"/>
    </xf>
    <xf numFmtId="10" fontId="782" fillId="0" borderId="1" xfId="0" applyNumberFormat="1" applyFont="1" applyFill="1" applyBorder="1" applyAlignment="1">
      <alignment horizontal="center" vertical="center"/>
    </xf>
    <xf numFmtId="10" fontId="783" fillId="730" borderId="1" xfId="0" applyNumberFormat="1" applyFont="1" applyFill="1" applyBorder="1" applyAlignment="1">
      <alignment horizontal="center" vertical="center"/>
    </xf>
    <xf numFmtId="10" fontId="784" fillId="731" borderId="1" xfId="0" applyNumberFormat="1" applyFont="1" applyFill="1" applyBorder="1" applyAlignment="1">
      <alignment horizontal="center" vertical="center"/>
    </xf>
    <xf numFmtId="10" fontId="785" fillId="732" borderId="1" xfId="0" applyNumberFormat="1" applyFont="1" applyFill="1" applyBorder="1" applyAlignment="1">
      <alignment horizontal="center" vertical="center" wrapText="1"/>
    </xf>
    <xf numFmtId="10" fontId="786" fillId="733" borderId="1" xfId="0" applyNumberFormat="1" applyFont="1" applyFill="1" applyBorder="1" applyAlignment="1">
      <alignment horizontal="center" vertical="center" wrapText="1"/>
    </xf>
    <xf numFmtId="10" fontId="787" fillId="734" borderId="1" xfId="0" applyNumberFormat="1" applyFont="1" applyFill="1" applyBorder="1" applyAlignment="1">
      <alignment horizontal="center" vertical="center" wrapText="1"/>
    </xf>
    <xf numFmtId="10" fontId="788" fillId="735" borderId="1" xfId="0" applyNumberFormat="1" applyFont="1" applyFill="1" applyBorder="1" applyAlignment="1">
      <alignment horizontal="center" vertical="center"/>
    </xf>
    <xf numFmtId="10" fontId="789" fillId="736" borderId="1" xfId="0" applyNumberFormat="1" applyFont="1" applyFill="1" applyBorder="1" applyAlignment="1">
      <alignment horizontal="center" vertical="center"/>
    </xf>
    <xf numFmtId="2" fontId="790" fillId="737" borderId="1" xfId="0" applyNumberFormat="1" applyFont="1" applyFill="1" applyBorder="1" applyAlignment="1">
      <alignment horizontal="center" vertical="center"/>
    </xf>
    <xf numFmtId="10" fontId="791" fillId="738" borderId="1" xfId="0" applyNumberFormat="1" applyFont="1" applyFill="1" applyBorder="1" applyAlignment="1">
      <alignment horizontal="center" vertical="center"/>
    </xf>
    <xf numFmtId="2" fontId="792" fillId="739" borderId="1" xfId="0" applyNumberFormat="1" applyFont="1" applyFill="1" applyBorder="1" applyAlignment="1">
      <alignment horizontal="center" vertical="center"/>
    </xf>
    <xf numFmtId="10" fontId="793" fillId="740" borderId="1" xfId="0" applyNumberFormat="1" applyFont="1" applyFill="1" applyBorder="1" applyAlignment="1">
      <alignment horizontal="center" vertical="center"/>
    </xf>
    <xf numFmtId="2" fontId="794" fillId="0" borderId="1" xfId="0" applyNumberFormat="1" applyFont="1" applyFill="1" applyBorder="1" applyAlignment="1">
      <alignment horizontal="center" vertical="center"/>
    </xf>
    <xf numFmtId="2" fontId="795" fillId="741" borderId="1" xfId="0" applyNumberFormat="1" applyFont="1" applyFill="1" applyBorder="1" applyAlignment="1">
      <alignment horizontal="center" vertical="center"/>
    </xf>
    <xf numFmtId="10" fontId="796" fillId="742" borderId="1" xfId="0" applyNumberFormat="1" applyFont="1" applyFill="1" applyBorder="1" applyAlignment="1">
      <alignment horizontal="center" vertical="center"/>
    </xf>
    <xf numFmtId="2" fontId="797" fillId="0" borderId="1" xfId="0" applyNumberFormat="1" applyFont="1" applyFill="1" applyBorder="1" applyAlignment="1">
      <alignment horizontal="center" vertical="center"/>
    </xf>
    <xf numFmtId="2" fontId="798" fillId="0" borderId="1" xfId="0" applyNumberFormat="1" applyFont="1" applyFill="1" applyBorder="1" applyAlignment="1">
      <alignment horizontal="center" vertical="center"/>
    </xf>
    <xf numFmtId="10" fontId="799" fillId="0" borderId="1" xfId="0" applyNumberFormat="1" applyFont="1" applyFill="1" applyBorder="1" applyAlignment="1">
      <alignment horizontal="center" vertical="center"/>
    </xf>
    <xf numFmtId="10" fontId="800" fillId="0" borderId="1" xfId="0" applyNumberFormat="1" applyFont="1" applyFill="1" applyBorder="1" applyAlignment="1">
      <alignment horizontal="center" vertical="center"/>
    </xf>
    <xf numFmtId="10" fontId="801" fillId="0" borderId="1" xfId="0" applyNumberFormat="1" applyFont="1" applyFill="1" applyBorder="1" applyAlignment="1">
      <alignment horizontal="center" vertical="center"/>
    </xf>
    <xf numFmtId="10" fontId="802" fillId="743" borderId="1" xfId="0" applyNumberFormat="1" applyFont="1" applyFill="1" applyBorder="1" applyAlignment="1">
      <alignment horizontal="center" vertical="center"/>
    </xf>
    <xf numFmtId="10" fontId="803" fillId="744" borderId="1" xfId="0" applyNumberFormat="1" applyFont="1" applyFill="1" applyBorder="1" applyAlignment="1">
      <alignment horizontal="center" vertical="center"/>
    </xf>
    <xf numFmtId="10" fontId="804" fillId="0" borderId="1" xfId="0" applyNumberFormat="1" applyFont="1" applyFill="1" applyBorder="1" applyAlignment="1">
      <alignment horizontal="center" vertical="center" wrapText="1"/>
    </xf>
    <xf numFmtId="10" fontId="805" fillId="745" borderId="1" xfId="0" applyNumberFormat="1" applyFont="1" applyFill="1" applyBorder="1" applyAlignment="1">
      <alignment horizontal="center" vertical="center"/>
    </xf>
    <xf numFmtId="10" fontId="806" fillId="746" borderId="1" xfId="0" applyNumberFormat="1" applyFont="1" applyFill="1" applyBorder="1" applyAlignment="1">
      <alignment horizontal="center" vertical="center"/>
    </xf>
    <xf numFmtId="2" fontId="807" fillId="747" borderId="1" xfId="0" applyNumberFormat="1" applyFont="1" applyFill="1" applyBorder="1" applyAlignment="1">
      <alignment horizontal="center" vertical="center"/>
    </xf>
    <xf numFmtId="10" fontId="808" fillId="748" borderId="1" xfId="0" applyNumberFormat="1" applyFont="1" applyFill="1" applyBorder="1" applyAlignment="1">
      <alignment horizontal="center" vertical="center" wrapText="1"/>
    </xf>
    <xf numFmtId="2" fontId="809" fillId="749" borderId="1" xfId="0" applyNumberFormat="1" applyFont="1" applyFill="1" applyBorder="1" applyAlignment="1">
      <alignment horizontal="center" vertical="center"/>
    </xf>
    <xf numFmtId="10" fontId="810" fillId="750" borderId="1" xfId="0" applyNumberFormat="1" applyFont="1" applyFill="1" applyBorder="1" applyAlignment="1">
      <alignment horizontal="center" vertical="center"/>
    </xf>
    <xf numFmtId="2" fontId="811" fillId="0" borderId="1" xfId="0" applyNumberFormat="1" applyFont="1" applyFill="1" applyBorder="1" applyAlignment="1">
      <alignment horizontal="center" vertical="center"/>
    </xf>
    <xf numFmtId="10" fontId="812" fillId="751" borderId="1" xfId="0" applyNumberFormat="1" applyFont="1" applyFill="1" applyBorder="1" applyAlignment="1">
      <alignment horizontal="center" vertical="center"/>
    </xf>
    <xf numFmtId="2" fontId="813" fillId="752" borderId="1" xfId="0" applyNumberFormat="1" applyFont="1" applyFill="1" applyBorder="1" applyAlignment="1">
      <alignment horizontal="center" vertical="center"/>
    </xf>
    <xf numFmtId="2" fontId="814" fillId="753" borderId="1" xfId="0" applyNumberFormat="1" applyFont="1" applyFill="1" applyBorder="1" applyAlignment="1">
      <alignment horizontal="center" vertical="center"/>
    </xf>
    <xf numFmtId="10" fontId="815" fillId="754" borderId="1" xfId="0" applyNumberFormat="1" applyFont="1" applyFill="1" applyBorder="1" applyAlignment="1">
      <alignment horizontal="center" vertical="center"/>
    </xf>
    <xf numFmtId="2" fontId="816" fillId="755" borderId="1" xfId="0" applyNumberFormat="1" applyFont="1" applyFill="1" applyBorder="1" applyAlignment="1">
      <alignment horizontal="center" vertical="center" wrapText="1"/>
    </xf>
    <xf numFmtId="10" fontId="817" fillId="756" borderId="1" xfId="0" applyNumberFormat="1" applyFont="1" applyFill="1" applyBorder="1" applyAlignment="1">
      <alignment horizontal="center" vertical="center"/>
    </xf>
    <xf numFmtId="2" fontId="683" fillId="655" borderId="1" xfId="0" applyNumberFormat="1" applyFont="1" applyFill="1" applyBorder="1" applyAlignment="1">
      <alignment horizontal="center" vertical="center"/>
    </xf>
    <xf numFmtId="2" fontId="684" fillId="656" borderId="1" xfId="0" applyNumberFormat="1" applyFont="1" applyFill="1" applyBorder="1" applyAlignment="1">
      <alignment horizontal="center" vertical="center"/>
    </xf>
    <xf numFmtId="10" fontId="685" fillId="0" borderId="1" xfId="0" applyNumberFormat="1" applyFont="1" applyFill="1" applyBorder="1" applyAlignment="1">
      <alignment horizontal="center" vertical="center"/>
    </xf>
    <xf numFmtId="2" fontId="686" fillId="0" borderId="1" xfId="0" applyNumberFormat="1" applyFont="1" applyFill="1" applyBorder="1" applyAlignment="1">
      <alignment horizontal="center" vertical="center"/>
    </xf>
    <xf numFmtId="2" fontId="818" fillId="757" borderId="1" xfId="0" applyNumberFormat="1" applyFont="1" applyFill="1" applyBorder="1" applyAlignment="1">
      <alignment horizontal="center" vertical="center"/>
    </xf>
    <xf numFmtId="2" fontId="819" fillId="758" borderId="1" xfId="0" applyNumberFormat="1" applyFont="1" applyFill="1" applyBorder="1" applyAlignment="1">
      <alignment horizontal="center" vertical="center"/>
    </xf>
    <xf numFmtId="10" fontId="820" fillId="0" borderId="1" xfId="0" applyNumberFormat="1" applyFont="1" applyFill="1" applyBorder="1" applyAlignment="1">
      <alignment horizontal="center" vertical="center"/>
    </xf>
    <xf numFmtId="2" fontId="821" fillId="0" borderId="1" xfId="0" applyNumberFormat="1" applyFont="1" applyFill="1" applyBorder="1" applyAlignment="1">
      <alignment horizontal="center" vertical="center"/>
    </xf>
    <xf numFmtId="10" fontId="687" fillId="657" borderId="1" xfId="0" applyNumberFormat="1" applyFont="1" applyFill="1" applyBorder="1" applyAlignment="1">
      <alignment horizontal="center" vertical="center"/>
    </xf>
    <xf numFmtId="10" fontId="822" fillId="759" borderId="1" xfId="0" applyNumberFormat="1" applyFont="1" applyFill="1" applyBorder="1" applyAlignment="1">
      <alignment horizontal="center" vertical="center"/>
    </xf>
    <xf numFmtId="10" fontId="688" fillId="658" borderId="1" xfId="0" applyNumberFormat="1" applyFont="1" applyFill="1" applyBorder="1" applyAlignment="1">
      <alignment horizontal="center" vertical="center"/>
    </xf>
    <xf numFmtId="10" fontId="823" fillId="760" borderId="1" xfId="0" applyNumberFormat="1" applyFont="1" applyFill="1" applyBorder="1" applyAlignment="1">
      <alignment horizontal="center" vertical="center"/>
    </xf>
    <xf numFmtId="10" fontId="689" fillId="659" borderId="1" xfId="0" applyNumberFormat="1" applyFont="1" applyFill="1" applyBorder="1" applyAlignment="1">
      <alignment horizontal="center" vertical="center"/>
    </xf>
    <xf numFmtId="10" fontId="824" fillId="761" borderId="1" xfId="0" applyNumberFormat="1" applyFont="1" applyFill="1" applyBorder="1" applyAlignment="1">
      <alignment horizontal="center" vertical="center"/>
    </xf>
    <xf numFmtId="10" fontId="690" fillId="660" borderId="1" xfId="0" applyNumberFormat="1" applyFont="1" applyFill="1" applyBorder="1" applyAlignment="1">
      <alignment horizontal="center" vertical="center"/>
    </xf>
    <xf numFmtId="10" fontId="825" fillId="762" borderId="1" xfId="0" applyNumberFormat="1" applyFont="1" applyFill="1" applyBorder="1" applyAlignment="1">
      <alignment horizontal="center" vertical="center"/>
    </xf>
    <xf numFmtId="10" fontId="691" fillId="661" borderId="1" xfId="0" applyNumberFormat="1" applyFont="1" applyFill="1" applyBorder="1" applyAlignment="1">
      <alignment horizontal="center" vertical="center"/>
    </xf>
    <xf numFmtId="10" fontId="826" fillId="763" borderId="1" xfId="0" applyNumberFormat="1" applyFont="1" applyFill="1" applyBorder="1" applyAlignment="1">
      <alignment horizontal="center" vertical="center"/>
    </xf>
    <xf numFmtId="10" fontId="692" fillId="662" borderId="1" xfId="0" applyNumberFormat="1" applyFont="1" applyFill="1" applyBorder="1" applyAlignment="1">
      <alignment horizontal="center" vertical="center"/>
    </xf>
    <xf numFmtId="10" fontId="827" fillId="764" borderId="1" xfId="0" applyNumberFormat="1" applyFont="1" applyFill="1" applyBorder="1" applyAlignment="1">
      <alignment horizontal="center" vertical="center"/>
    </xf>
    <xf numFmtId="10" fontId="693" fillId="663" borderId="1" xfId="0" applyNumberFormat="1" applyFont="1" applyFill="1" applyBorder="1" applyAlignment="1">
      <alignment horizontal="center" vertical="center"/>
    </xf>
    <xf numFmtId="10" fontId="828" fillId="765" borderId="1" xfId="0" applyNumberFormat="1" applyFont="1" applyFill="1" applyBorder="1" applyAlignment="1">
      <alignment horizontal="center" vertical="center"/>
    </xf>
    <xf numFmtId="10" fontId="694" fillId="664" borderId="1" xfId="0" applyNumberFormat="1" applyFont="1" applyFill="1" applyBorder="1" applyAlignment="1">
      <alignment horizontal="center" vertical="center"/>
    </xf>
    <xf numFmtId="10" fontId="829" fillId="766" borderId="1" xfId="0" applyNumberFormat="1" applyFont="1" applyFill="1" applyBorder="1" applyAlignment="1">
      <alignment horizontal="center" vertical="center"/>
    </xf>
    <xf numFmtId="10" fontId="695" fillId="665" borderId="1" xfId="0" applyNumberFormat="1" applyFont="1" applyFill="1" applyBorder="1" applyAlignment="1">
      <alignment horizontal="center" vertical="center"/>
    </xf>
    <xf numFmtId="10" fontId="696" fillId="666" borderId="1" xfId="0" applyNumberFormat="1" applyFont="1" applyFill="1" applyBorder="1" applyAlignment="1">
      <alignment horizontal="center" vertical="center"/>
    </xf>
    <xf numFmtId="10" fontId="830" fillId="767" borderId="1" xfId="0" applyNumberFormat="1" applyFont="1" applyFill="1" applyBorder="1" applyAlignment="1">
      <alignment horizontal="center" vertical="center"/>
    </xf>
    <xf numFmtId="10" fontId="831" fillId="768" borderId="1" xfId="0" applyNumberFormat="1" applyFont="1" applyFill="1" applyBorder="1" applyAlignment="1">
      <alignment horizontal="center" vertical="center"/>
    </xf>
    <xf numFmtId="10" fontId="697" fillId="667" borderId="1" xfId="0" applyNumberFormat="1" applyFont="1" applyFill="1" applyBorder="1" applyAlignment="1">
      <alignment horizontal="center" vertical="center"/>
    </xf>
    <xf numFmtId="10" fontId="832" fillId="769" borderId="1" xfId="0" applyNumberFormat="1" applyFont="1" applyFill="1" applyBorder="1" applyAlignment="1">
      <alignment horizontal="center" vertical="center"/>
    </xf>
    <xf numFmtId="2" fontId="698" fillId="668" borderId="1" xfId="0" applyNumberFormat="1" applyFont="1" applyFill="1" applyBorder="1" applyAlignment="1">
      <alignment horizontal="center" vertical="center"/>
    </xf>
    <xf numFmtId="10" fontId="699" fillId="669" borderId="1" xfId="0" applyNumberFormat="1" applyFont="1" applyFill="1" applyBorder="1" applyAlignment="1">
      <alignment horizontal="center" vertical="center"/>
    </xf>
    <xf numFmtId="2" fontId="833" fillId="770" borderId="1" xfId="0" applyNumberFormat="1" applyFont="1" applyFill="1" applyBorder="1" applyAlignment="1">
      <alignment horizontal="center" vertical="center"/>
    </xf>
    <xf numFmtId="10" fontId="834" fillId="771" borderId="1" xfId="0" applyNumberFormat="1" applyFont="1" applyFill="1" applyBorder="1" applyAlignment="1">
      <alignment horizontal="center" vertical="center"/>
    </xf>
    <xf numFmtId="2" fontId="700" fillId="670" borderId="1" xfId="0" applyNumberFormat="1" applyFont="1" applyFill="1" applyBorder="1" applyAlignment="1">
      <alignment horizontal="center" vertical="center"/>
    </xf>
    <xf numFmtId="2" fontId="835" fillId="772" borderId="1" xfId="0" applyNumberFormat="1" applyFont="1" applyFill="1" applyBorder="1" applyAlignment="1">
      <alignment horizontal="center" vertical="center"/>
    </xf>
    <xf numFmtId="10" fontId="836" fillId="0" borderId="1" xfId="0" applyNumberFormat="1" applyFont="1" applyFill="1" applyBorder="1" applyAlignment="1">
      <alignment horizontal="center" vertical="center"/>
    </xf>
    <xf numFmtId="2" fontId="702" fillId="671" borderId="1" xfId="0" applyNumberFormat="1" applyFont="1" applyFill="1" applyBorder="1" applyAlignment="1">
      <alignment horizontal="center" vertical="center"/>
    </xf>
    <xf numFmtId="2" fontId="703" fillId="672" borderId="1" xfId="0" applyNumberFormat="1" applyFont="1" applyFill="1" applyBorder="1" applyAlignment="1">
      <alignment horizontal="center" vertical="center"/>
    </xf>
    <xf numFmtId="2" fontId="837" fillId="773" borderId="1" xfId="0" applyNumberFormat="1" applyFont="1" applyFill="1" applyBorder="1" applyAlignment="1">
      <alignment horizontal="center" vertical="center"/>
    </xf>
    <xf numFmtId="2" fontId="838" fillId="774" borderId="1" xfId="0" applyNumberFormat="1" applyFont="1" applyFill="1" applyBorder="1" applyAlignment="1">
      <alignment horizontal="center" vertical="center"/>
    </xf>
    <xf numFmtId="2" fontId="704" fillId="673" borderId="1" xfId="0" applyNumberFormat="1" applyFont="1" applyFill="1" applyBorder="1" applyAlignment="1">
      <alignment horizontal="center" vertical="center"/>
    </xf>
    <xf numFmtId="2" fontId="705" fillId="0" borderId="1" xfId="0" applyNumberFormat="1" applyFont="1" applyFill="1" applyBorder="1" applyAlignment="1">
      <alignment horizontal="center" vertical="center"/>
    </xf>
    <xf numFmtId="2" fontId="839" fillId="775" borderId="1" xfId="0" applyNumberFormat="1" applyFont="1" applyFill="1" applyBorder="1" applyAlignment="1">
      <alignment horizontal="center" vertical="center"/>
    </xf>
    <xf numFmtId="2" fontId="840" fillId="0" borderId="1" xfId="0" applyNumberFormat="1" applyFont="1" applyFill="1" applyBorder="1" applyAlignment="1">
      <alignment horizontal="center" vertical="center"/>
    </xf>
    <xf numFmtId="10" fontId="706" fillId="674" borderId="1" xfId="0" applyNumberFormat="1" applyFont="1" applyFill="1" applyBorder="1" applyAlignment="1">
      <alignment horizontal="center" vertical="center"/>
    </xf>
    <xf numFmtId="10" fontId="841" fillId="776" borderId="1" xfId="0" applyNumberFormat="1" applyFont="1" applyFill="1" applyBorder="1" applyAlignment="1">
      <alignment horizontal="center" vertical="center"/>
    </xf>
    <xf numFmtId="10" fontId="707" fillId="675" borderId="1" xfId="0" applyNumberFormat="1" applyFont="1" applyFill="1" applyBorder="1" applyAlignment="1">
      <alignment horizontal="center" vertical="center"/>
    </xf>
    <xf numFmtId="10" fontId="842" fillId="777" borderId="1" xfId="0" applyNumberFormat="1" applyFont="1" applyFill="1" applyBorder="1" applyAlignment="1">
      <alignment horizontal="center" vertical="center"/>
    </xf>
    <xf numFmtId="10" fontId="708" fillId="676" borderId="1" xfId="0" applyNumberFormat="1" applyFont="1" applyFill="1" applyBorder="1" applyAlignment="1">
      <alignment horizontal="center" vertical="center"/>
    </xf>
    <xf numFmtId="10" fontId="843" fillId="778" borderId="1" xfId="0" applyNumberFormat="1" applyFont="1" applyFill="1" applyBorder="1" applyAlignment="1">
      <alignment horizontal="center" vertical="center"/>
    </xf>
    <xf numFmtId="2" fontId="709" fillId="677" borderId="1" xfId="0" applyNumberFormat="1" applyFont="1" applyFill="1" applyBorder="1" applyAlignment="1">
      <alignment horizontal="center" vertical="center"/>
    </xf>
    <xf numFmtId="2" fontId="710" fillId="0" borderId="1" xfId="0" applyNumberFormat="1" applyFont="1" applyFill="1" applyBorder="1" applyAlignment="1">
      <alignment horizontal="center" vertical="center"/>
    </xf>
    <xf numFmtId="10" fontId="711" fillId="678" borderId="1" xfId="0" applyNumberFormat="1" applyFont="1" applyFill="1" applyBorder="1" applyAlignment="1">
      <alignment horizontal="center" vertical="center"/>
    </xf>
    <xf numFmtId="2" fontId="712" fillId="679" borderId="1" xfId="0" applyNumberFormat="1" applyFont="1" applyFill="1" applyBorder="1" applyAlignment="1">
      <alignment horizontal="center" vertical="center"/>
    </xf>
    <xf numFmtId="2" fontId="844" fillId="779" borderId="1" xfId="0" applyNumberFormat="1" applyFont="1" applyFill="1" applyBorder="1" applyAlignment="1">
      <alignment horizontal="center" vertical="center"/>
    </xf>
    <xf numFmtId="2" fontId="845" fillId="780" borderId="1" xfId="0" applyNumberFormat="1" applyFont="1" applyFill="1" applyBorder="1" applyAlignment="1">
      <alignment horizontal="center" vertical="center"/>
    </xf>
    <xf numFmtId="10" fontId="846" fillId="0" borderId="1" xfId="0" applyNumberFormat="1" applyFont="1" applyFill="1" applyBorder="1" applyAlignment="1">
      <alignment horizontal="center" vertical="center"/>
    </xf>
    <xf numFmtId="2" fontId="847" fillId="781" borderId="1" xfId="0" applyNumberFormat="1" applyFont="1" applyFill="1" applyBorder="1" applyAlignment="1">
      <alignment horizontal="center" vertical="center"/>
    </xf>
    <xf numFmtId="2" fontId="713" fillId="680" borderId="1" xfId="0" applyNumberFormat="1" applyFont="1" applyFill="1" applyBorder="1" applyAlignment="1">
      <alignment horizontal="center" vertical="center"/>
    </xf>
    <xf numFmtId="2" fontId="714" fillId="681" borderId="1" xfId="0" applyNumberFormat="1" applyFont="1" applyFill="1" applyBorder="1" applyAlignment="1">
      <alignment horizontal="center" vertical="center"/>
    </xf>
    <xf numFmtId="2" fontId="848" fillId="782" borderId="1" xfId="0" applyNumberFormat="1" applyFont="1" applyFill="1" applyBorder="1" applyAlignment="1">
      <alignment horizontal="center" vertical="center"/>
    </xf>
    <xf numFmtId="2" fontId="849" fillId="783" borderId="1" xfId="0" applyNumberFormat="1" applyFont="1" applyFill="1" applyBorder="1" applyAlignment="1">
      <alignment horizontal="center" vertical="center"/>
    </xf>
    <xf numFmtId="2" fontId="715" fillId="0" borderId="1" xfId="0" applyNumberFormat="1" applyFont="1" applyFill="1" applyBorder="1" applyAlignment="1">
      <alignment horizontal="center" vertical="center"/>
    </xf>
    <xf numFmtId="2" fontId="716" fillId="682" borderId="1" xfId="0" applyNumberFormat="1" applyFont="1" applyFill="1" applyBorder="1" applyAlignment="1">
      <alignment horizontal="center" vertical="center"/>
    </xf>
    <xf numFmtId="2" fontId="717" fillId="683" borderId="1" xfId="0" applyNumberFormat="1" applyFont="1" applyFill="1" applyBorder="1" applyAlignment="1">
      <alignment horizontal="center" vertical="center"/>
    </xf>
    <xf numFmtId="2" fontId="850" fillId="0" borderId="1" xfId="0" applyNumberFormat="1" applyFont="1" applyFill="1" applyBorder="1" applyAlignment="1">
      <alignment horizontal="center" vertical="center"/>
    </xf>
    <xf numFmtId="2" fontId="851" fillId="784" borderId="1" xfId="0" applyNumberFormat="1" applyFont="1" applyFill="1" applyBorder="1" applyAlignment="1">
      <alignment horizontal="center" vertical="center"/>
    </xf>
    <xf numFmtId="2" fontId="852" fillId="785" borderId="1" xfId="0" applyNumberFormat="1" applyFont="1" applyFill="1" applyBorder="1" applyAlignment="1">
      <alignment horizontal="center" vertical="center"/>
    </xf>
    <xf numFmtId="10" fontId="718" fillId="684" borderId="1" xfId="0" applyNumberFormat="1" applyFont="1" applyFill="1" applyBorder="1" applyAlignment="1">
      <alignment horizontal="center" vertical="center"/>
    </xf>
    <xf numFmtId="10" fontId="719" fillId="0" borderId="1" xfId="0" applyNumberFormat="1" applyFont="1" applyFill="1" applyBorder="1" applyAlignment="1">
      <alignment horizontal="center" vertical="center"/>
    </xf>
    <xf numFmtId="10" fontId="853" fillId="786" borderId="1" xfId="0" applyNumberFormat="1" applyFont="1" applyFill="1" applyBorder="1" applyAlignment="1">
      <alignment horizontal="center" vertical="center"/>
    </xf>
    <xf numFmtId="10" fontId="854" fillId="0" borderId="1" xfId="0" applyNumberFormat="1" applyFont="1" applyFill="1" applyBorder="1" applyAlignment="1">
      <alignment horizontal="center" vertical="center"/>
    </xf>
    <xf numFmtId="10" fontId="720" fillId="685" borderId="1" xfId="0" applyNumberFormat="1" applyFont="1" applyFill="1" applyBorder="1" applyAlignment="1">
      <alignment horizontal="center" vertical="center"/>
    </xf>
    <xf numFmtId="10" fontId="855" fillId="787" borderId="1" xfId="0" applyNumberFormat="1" applyFont="1" applyFill="1" applyBorder="1" applyAlignment="1">
      <alignment horizontal="center" vertical="center"/>
    </xf>
    <xf numFmtId="2" fontId="721" fillId="686" borderId="1" xfId="0" applyNumberFormat="1" applyFont="1" applyFill="1" applyBorder="1" applyAlignment="1">
      <alignment horizontal="center" vertical="center"/>
    </xf>
    <xf numFmtId="2" fontId="856" fillId="788" borderId="1" xfId="0" applyNumberFormat="1" applyFont="1" applyFill="1" applyBorder="1" applyAlignment="1">
      <alignment horizontal="center" vertical="center"/>
    </xf>
    <xf numFmtId="2" fontId="722" fillId="687" borderId="1" xfId="0" applyNumberFormat="1" applyFont="1" applyFill="1" applyBorder="1" applyAlignment="1">
      <alignment horizontal="center" vertical="center"/>
    </xf>
    <xf numFmtId="2" fontId="857" fillId="789" borderId="1" xfId="0" applyNumberFormat="1" applyFont="1" applyFill="1" applyBorder="1" applyAlignment="1">
      <alignment horizontal="center" vertical="center"/>
    </xf>
    <xf numFmtId="0" fontId="858" fillId="0" borderId="1" xfId="0" applyFont="1" applyFill="1" applyBorder="1" applyAlignment="1">
      <alignment horizontal="center" vertical="center"/>
    </xf>
    <xf numFmtId="2" fontId="724" fillId="688" borderId="1" xfId="0" applyNumberFormat="1" applyFont="1" applyFill="1" applyBorder="1" applyAlignment="1">
      <alignment horizontal="center" vertical="center"/>
    </xf>
    <xf numFmtId="2" fontId="725" fillId="689" borderId="1" xfId="0" applyNumberFormat="1" applyFont="1" applyFill="1" applyBorder="1" applyAlignment="1">
      <alignment horizontal="center" vertical="center"/>
    </xf>
    <xf numFmtId="2" fontId="726" fillId="690" borderId="1" xfId="0" applyNumberFormat="1" applyFont="1" applyFill="1" applyBorder="1" applyAlignment="1">
      <alignment horizontal="center" vertical="center"/>
    </xf>
    <xf numFmtId="2" fontId="859" fillId="0" borderId="1" xfId="0" applyNumberFormat="1" applyFont="1" applyFill="1" applyBorder="1" applyAlignment="1">
      <alignment horizontal="center" vertical="center"/>
    </xf>
    <xf numFmtId="2" fontId="860" fillId="790" borderId="1" xfId="0" applyNumberFormat="1" applyFont="1" applyFill="1" applyBorder="1" applyAlignment="1">
      <alignment horizontal="center" vertical="center"/>
    </xf>
    <xf numFmtId="2" fontId="861" fillId="791" borderId="1" xfId="0" applyNumberFormat="1" applyFont="1" applyFill="1" applyBorder="1" applyAlignment="1">
      <alignment horizontal="center" vertical="center"/>
    </xf>
    <xf numFmtId="2" fontId="862" fillId="792" borderId="1" xfId="0" applyNumberFormat="1" applyFont="1" applyFill="1" applyBorder="1" applyAlignment="1">
      <alignment horizontal="center" vertical="center"/>
    </xf>
    <xf numFmtId="2" fontId="863" fillId="793" borderId="1" xfId="0" applyNumberFormat="1" applyFont="1" applyFill="1" applyBorder="1" applyAlignment="1">
      <alignment horizontal="center" vertical="center"/>
    </xf>
    <xf numFmtId="0" fontId="864" fillId="0" borderId="1" xfId="0" applyFont="1" applyFill="1" applyBorder="1" applyAlignment="1">
      <alignment horizontal="center" vertical="center" wrapText="1"/>
    </xf>
    <xf numFmtId="2" fontId="728" fillId="0" borderId="1" xfId="0" applyNumberFormat="1" applyFont="1" applyFill="1" applyBorder="1" applyAlignment="1">
      <alignment horizontal="center" vertical="center"/>
    </xf>
    <xf numFmtId="2" fontId="865" fillId="0" borderId="1" xfId="0" applyNumberFormat="1" applyFont="1" applyFill="1" applyBorder="1" applyAlignment="1">
      <alignment horizontal="center" vertical="center"/>
    </xf>
    <xf numFmtId="2" fontId="729" fillId="0" borderId="1" xfId="0" applyNumberFormat="1" applyFont="1" applyFill="1" applyBorder="1" applyAlignment="1">
      <alignment horizontal="center" vertical="center"/>
    </xf>
    <xf numFmtId="2" fontId="730" fillId="0" borderId="1" xfId="0" applyNumberFormat="1" applyFont="1" applyFill="1" applyBorder="1" applyAlignment="1">
      <alignment horizontal="center" vertical="center"/>
    </xf>
    <xf numFmtId="2" fontId="866" fillId="0" borderId="1" xfId="0" applyNumberFormat="1" applyFont="1" applyFill="1" applyBorder="1" applyAlignment="1">
      <alignment horizontal="center" vertical="center"/>
    </xf>
    <xf numFmtId="2" fontId="867" fillId="0" borderId="1" xfId="0" applyNumberFormat="1" applyFont="1" applyFill="1" applyBorder="1" applyAlignment="1">
      <alignment horizontal="center" vertical="center"/>
    </xf>
    <xf numFmtId="2" fontId="731" fillId="691" borderId="1" xfId="0" applyNumberFormat="1" applyFont="1" applyFill="1" applyBorder="1" applyAlignment="1">
      <alignment horizontal="center" vertical="center"/>
    </xf>
    <xf numFmtId="2" fontId="732" fillId="692" borderId="1" xfId="0" applyNumberFormat="1" applyFont="1" applyFill="1" applyBorder="1" applyAlignment="1">
      <alignment horizontal="center" vertical="center"/>
    </xf>
    <xf numFmtId="2" fontId="868" fillId="794" borderId="1" xfId="0" applyNumberFormat="1" applyFont="1" applyFill="1" applyBorder="1" applyAlignment="1">
      <alignment horizontal="center" vertical="center"/>
    </xf>
    <xf numFmtId="2" fontId="869" fillId="795" borderId="1" xfId="0" applyNumberFormat="1" applyFont="1" applyFill="1" applyBorder="1" applyAlignment="1">
      <alignment horizontal="center" vertical="center"/>
    </xf>
    <xf numFmtId="2" fontId="733" fillId="693" borderId="1" xfId="0" applyNumberFormat="1" applyFont="1" applyFill="1" applyBorder="1" applyAlignment="1">
      <alignment horizontal="center" vertical="center"/>
    </xf>
    <xf numFmtId="2" fontId="734" fillId="694" borderId="1" xfId="0" applyNumberFormat="1" applyFont="1" applyFill="1" applyBorder="1" applyAlignment="1">
      <alignment horizontal="center" vertical="center"/>
    </xf>
    <xf numFmtId="2" fontId="870" fillId="796" borderId="1" xfId="0" applyNumberFormat="1" applyFont="1" applyFill="1" applyBorder="1" applyAlignment="1">
      <alignment horizontal="center" vertical="center"/>
    </xf>
    <xf numFmtId="2" fontId="871" fillId="797" borderId="1" xfId="0" applyNumberFormat="1" applyFont="1" applyFill="1" applyBorder="1" applyAlignment="1">
      <alignment horizontal="center" vertical="center"/>
    </xf>
    <xf numFmtId="10" fontId="735" fillId="695" borderId="1" xfId="0" applyNumberFormat="1" applyFont="1" applyFill="1" applyBorder="1" applyAlignment="1">
      <alignment horizontal="center" vertical="center"/>
    </xf>
    <xf numFmtId="10" fontId="736" fillId="0" borderId="1" xfId="0" applyNumberFormat="1" applyFont="1" applyFill="1" applyBorder="1" applyAlignment="1">
      <alignment horizontal="center" vertical="center"/>
    </xf>
    <xf numFmtId="10" fontId="737" fillId="696" borderId="1" xfId="0" applyNumberFormat="1" applyFont="1" applyFill="1" applyBorder="1" applyAlignment="1">
      <alignment horizontal="center" vertical="center"/>
    </xf>
    <xf numFmtId="10" fontId="738" fillId="697" borderId="1" xfId="0" applyNumberFormat="1" applyFont="1" applyFill="1" applyBorder="1" applyAlignment="1">
      <alignment horizontal="center" vertical="center"/>
    </xf>
    <xf numFmtId="10" fontId="872" fillId="798" borderId="1" xfId="0" applyNumberFormat="1" applyFont="1" applyFill="1" applyBorder="1" applyAlignment="1">
      <alignment horizontal="center" vertical="center"/>
    </xf>
    <xf numFmtId="10" fontId="873" fillId="799" borderId="1" xfId="0" applyNumberFormat="1" applyFont="1" applyFill="1" applyBorder="1" applyAlignment="1">
      <alignment horizontal="center" vertical="center"/>
    </xf>
    <xf numFmtId="10" fontId="874" fillId="800" borderId="1" xfId="0" applyNumberFormat="1" applyFont="1" applyFill="1" applyBorder="1" applyAlignment="1">
      <alignment horizontal="center" vertical="center"/>
    </xf>
    <xf numFmtId="10" fontId="875" fillId="801" borderId="1" xfId="0" applyNumberFormat="1" applyFont="1" applyFill="1" applyBorder="1" applyAlignment="1">
      <alignment horizontal="center" vertical="center"/>
    </xf>
    <xf numFmtId="10" fontId="739" fillId="698" borderId="1" xfId="0" applyNumberFormat="1" applyFont="1" applyFill="1" applyBorder="1" applyAlignment="1">
      <alignment horizontal="center" vertical="center"/>
    </xf>
    <xf numFmtId="10" fontId="740" fillId="699" borderId="1" xfId="0" applyNumberFormat="1" applyFont="1" applyFill="1" applyBorder="1" applyAlignment="1">
      <alignment horizontal="center" vertical="center"/>
    </xf>
    <xf numFmtId="10" fontId="741" fillId="700" borderId="1" xfId="0" applyNumberFormat="1" applyFont="1" applyFill="1" applyBorder="1" applyAlignment="1">
      <alignment horizontal="center" vertical="center"/>
    </xf>
    <xf numFmtId="10" fontId="876" fillId="802" borderId="1" xfId="0" applyNumberFormat="1" applyFont="1" applyFill="1" applyBorder="1" applyAlignment="1">
      <alignment horizontal="center" vertical="center"/>
    </xf>
    <xf numFmtId="10" fontId="877" fillId="803" borderId="1" xfId="0" applyNumberFormat="1" applyFont="1" applyFill="1" applyBorder="1" applyAlignment="1">
      <alignment horizontal="center" vertical="center"/>
    </xf>
    <xf numFmtId="10" fontId="878" fillId="804" borderId="1" xfId="0" applyNumberFormat="1" applyFont="1" applyFill="1" applyBorder="1" applyAlignment="1">
      <alignment horizontal="center" vertical="center"/>
    </xf>
    <xf numFmtId="10" fontId="879" fillId="805" borderId="1" xfId="0" applyNumberFormat="1" applyFont="1" applyFill="1" applyBorder="1" applyAlignment="1">
      <alignment horizontal="center" vertical="center"/>
    </xf>
    <xf numFmtId="10" fontId="742" fillId="701" borderId="1" xfId="0" applyNumberFormat="1" applyFont="1" applyFill="1" applyBorder="1" applyAlignment="1">
      <alignment horizontal="center" vertical="center"/>
    </xf>
    <xf numFmtId="10" fontId="743" fillId="702" borderId="1" xfId="0" applyNumberFormat="1" applyFont="1" applyFill="1" applyBorder="1" applyAlignment="1">
      <alignment horizontal="center" vertical="center"/>
    </xf>
    <xf numFmtId="10" fontId="744" fillId="703" borderId="1" xfId="0" applyNumberFormat="1" applyFont="1" applyFill="1" applyBorder="1" applyAlignment="1">
      <alignment horizontal="center" vertical="center"/>
    </xf>
    <xf numFmtId="10" fontId="745" fillId="0" borderId="1" xfId="0" applyNumberFormat="1" applyFont="1" applyFill="1" applyBorder="1" applyAlignment="1">
      <alignment horizontal="center" vertical="center"/>
    </xf>
    <xf numFmtId="10" fontId="880" fillId="0" borderId="1" xfId="0" applyNumberFormat="1" applyFont="1" applyFill="1" applyBorder="1" applyAlignment="1">
      <alignment horizontal="center" vertical="center"/>
    </xf>
    <xf numFmtId="10" fontId="881" fillId="806" borderId="1" xfId="0" applyNumberFormat="1" applyFont="1" applyFill="1" applyBorder="1" applyAlignment="1">
      <alignment horizontal="center" vertical="center"/>
    </xf>
    <xf numFmtId="10" fontId="882" fillId="807" borderId="1" xfId="0" applyNumberFormat="1" applyFont="1" applyFill="1" applyBorder="1" applyAlignment="1">
      <alignment horizontal="center" vertical="center"/>
    </xf>
    <xf numFmtId="10" fontId="883" fillId="0" borderId="1" xfId="0" applyNumberFormat="1" applyFont="1" applyFill="1" applyBorder="1" applyAlignment="1">
      <alignment horizontal="center" vertical="center"/>
    </xf>
    <xf numFmtId="10" fontId="746" fillId="0" borderId="1" xfId="0" applyNumberFormat="1" applyFont="1" applyFill="1" applyBorder="1" applyAlignment="1">
      <alignment horizontal="center" vertical="center"/>
    </xf>
    <xf numFmtId="10" fontId="747" fillId="704" borderId="1" xfId="0" applyNumberFormat="1" applyFont="1" applyFill="1" applyBorder="1" applyAlignment="1">
      <alignment horizontal="center" vertical="center"/>
    </xf>
    <xf numFmtId="10" fontId="748" fillId="705" borderId="1" xfId="0" applyNumberFormat="1" applyFont="1" applyFill="1" applyBorder="1" applyAlignment="1">
      <alignment horizontal="center" vertical="center"/>
    </xf>
    <xf numFmtId="10" fontId="884" fillId="808" borderId="1" xfId="0" applyNumberFormat="1" applyFont="1" applyFill="1" applyBorder="1" applyAlignment="1">
      <alignment horizontal="center" vertical="center"/>
    </xf>
    <xf numFmtId="10" fontId="885" fillId="809" borderId="1" xfId="0" applyNumberFormat="1" applyFont="1" applyFill="1" applyBorder="1" applyAlignment="1">
      <alignment horizontal="center" vertical="center"/>
    </xf>
    <xf numFmtId="10" fontId="886" fillId="810" borderId="1" xfId="0" applyNumberFormat="1" applyFont="1" applyFill="1" applyBorder="1" applyAlignment="1">
      <alignment horizontal="center" vertical="center"/>
    </xf>
    <xf numFmtId="10" fontId="887" fillId="811" borderId="1" xfId="0" applyNumberFormat="1" applyFont="1" applyFill="1" applyBorder="1" applyAlignment="1">
      <alignment horizontal="center" vertical="center"/>
    </xf>
    <xf numFmtId="10" fontId="749" fillId="706" borderId="1" xfId="0" applyNumberFormat="1" applyFont="1" applyFill="1" applyBorder="1" applyAlignment="1">
      <alignment horizontal="center" vertical="center"/>
    </xf>
    <xf numFmtId="10" fontId="750" fillId="0" borderId="1" xfId="0" applyNumberFormat="1" applyFont="1" applyFill="1" applyBorder="1" applyAlignment="1">
      <alignment horizontal="center" vertical="center"/>
    </xf>
    <xf numFmtId="10" fontId="751" fillId="707" borderId="1" xfId="0" applyNumberFormat="1" applyFont="1" applyFill="1" applyBorder="1" applyAlignment="1">
      <alignment horizontal="center" vertical="center"/>
    </xf>
    <xf numFmtId="10" fontId="888" fillId="812" borderId="1" xfId="0" applyNumberFormat="1" applyFont="1" applyFill="1" applyBorder="1" applyAlignment="1">
      <alignment horizontal="center" vertical="center"/>
    </xf>
    <xf numFmtId="10" fontId="889" fillId="0" borderId="1" xfId="0" applyNumberFormat="1" applyFont="1" applyFill="1" applyBorder="1" applyAlignment="1">
      <alignment horizontal="center" vertical="center"/>
    </xf>
    <xf numFmtId="10" fontId="890" fillId="813" borderId="1" xfId="0" applyNumberFormat="1" applyFont="1" applyFill="1" applyBorder="1" applyAlignment="1">
      <alignment horizontal="center" vertical="center"/>
    </xf>
    <xf numFmtId="2" fontId="752" fillId="708" borderId="1" xfId="0" applyNumberFormat="1" applyFont="1" applyFill="1" applyBorder="1" applyAlignment="1">
      <alignment horizontal="center" vertical="center"/>
    </xf>
    <xf numFmtId="2" fontId="891" fillId="814" borderId="1" xfId="0" applyNumberFormat="1" applyFont="1" applyFill="1" applyBorder="1" applyAlignment="1">
      <alignment horizontal="center" vertical="center"/>
    </xf>
    <xf numFmtId="2" fontId="753" fillId="709" borderId="1" xfId="0" applyNumberFormat="1" applyFont="1" applyFill="1" applyBorder="1" applyAlignment="1">
      <alignment horizontal="center" vertical="center"/>
    </xf>
    <xf numFmtId="2" fontId="892" fillId="815" borderId="1" xfId="0" applyNumberFormat="1" applyFont="1" applyFill="1" applyBorder="1" applyAlignment="1">
      <alignment horizontal="center" vertical="center"/>
    </xf>
    <xf numFmtId="10" fontId="754" fillId="710" borderId="1" xfId="0" applyNumberFormat="1" applyFont="1" applyFill="1" applyBorder="1" applyAlignment="1">
      <alignment horizontal="center" vertical="center"/>
    </xf>
    <xf numFmtId="10" fontId="893" fillId="816" borderId="1" xfId="0" applyNumberFormat="1" applyFont="1" applyFill="1" applyBorder="1" applyAlignment="1">
      <alignment horizontal="center" vertical="center"/>
    </xf>
    <xf numFmtId="10" fontId="755" fillId="711" borderId="1" xfId="0" applyNumberFormat="1" applyFont="1" applyFill="1" applyBorder="1" applyAlignment="1">
      <alignment horizontal="center" vertical="center"/>
    </xf>
    <xf numFmtId="10" fontId="756" fillId="0" borderId="1" xfId="0" applyNumberFormat="1" applyFont="1" applyFill="1" applyBorder="1" applyAlignment="1">
      <alignment horizontal="center" vertical="center"/>
    </xf>
    <xf numFmtId="10" fontId="757" fillId="712" borderId="1" xfId="0" applyNumberFormat="1" applyFont="1" applyFill="1" applyBorder="1" applyAlignment="1">
      <alignment horizontal="center" vertical="center"/>
    </xf>
    <xf numFmtId="10" fontId="894" fillId="817" borderId="1" xfId="0" applyNumberFormat="1" applyFont="1" applyFill="1" applyBorder="1" applyAlignment="1">
      <alignment horizontal="center" vertical="center"/>
    </xf>
    <xf numFmtId="10" fontId="895" fillId="0" borderId="1" xfId="0" applyNumberFormat="1" applyFont="1" applyFill="1" applyBorder="1" applyAlignment="1">
      <alignment horizontal="center" vertical="center"/>
    </xf>
    <xf numFmtId="10" fontId="896" fillId="818" borderId="1" xfId="0" applyNumberFormat="1" applyFont="1" applyFill="1" applyBorder="1" applyAlignment="1">
      <alignment horizontal="center" vertical="center"/>
    </xf>
    <xf numFmtId="10" fontId="758" fillId="713" borderId="1" xfId="0" applyNumberFormat="1" applyFont="1" applyFill="1" applyBorder="1" applyAlignment="1">
      <alignment horizontal="center" vertical="center"/>
    </xf>
    <xf numFmtId="10" fontId="759" fillId="0" borderId="1" xfId="0" applyNumberFormat="1" applyFont="1" applyFill="1" applyBorder="1" applyAlignment="1">
      <alignment horizontal="center" vertical="center"/>
    </xf>
    <xf numFmtId="10" fontId="760" fillId="714" borderId="1" xfId="0" applyNumberFormat="1" applyFont="1" applyFill="1" applyBorder="1" applyAlignment="1">
      <alignment horizontal="center" vertical="center"/>
    </xf>
    <xf numFmtId="10" fontId="897" fillId="819" borderId="1" xfId="0" applyNumberFormat="1" applyFont="1" applyFill="1" applyBorder="1" applyAlignment="1">
      <alignment horizontal="center" vertical="center"/>
    </xf>
    <xf numFmtId="10" fontId="898" fillId="0" borderId="1" xfId="0" applyNumberFormat="1" applyFont="1" applyFill="1" applyBorder="1" applyAlignment="1">
      <alignment horizontal="center" vertical="center"/>
    </xf>
    <xf numFmtId="10" fontId="899" fillId="820" borderId="1" xfId="0" applyNumberFormat="1" applyFont="1" applyFill="1" applyBorder="1" applyAlignment="1">
      <alignment horizontal="center" vertical="center"/>
    </xf>
    <xf numFmtId="10" fontId="761" fillId="715" borderId="1" xfId="0" applyNumberFormat="1" applyFont="1" applyFill="1" applyBorder="1" applyAlignment="1">
      <alignment horizontal="center" vertical="center"/>
    </xf>
    <xf numFmtId="10" fontId="762" fillId="0" borderId="1" xfId="0" applyNumberFormat="1" applyFont="1" applyFill="1" applyBorder="1" applyAlignment="1">
      <alignment horizontal="center" vertical="center"/>
    </xf>
    <xf numFmtId="10" fontId="900" fillId="821" borderId="1" xfId="0" applyNumberFormat="1" applyFont="1" applyFill="1" applyBorder="1" applyAlignment="1">
      <alignment horizontal="center" vertical="center"/>
    </xf>
    <xf numFmtId="10" fontId="901" fillId="0" borderId="1" xfId="0" applyNumberFormat="1" applyFont="1" applyFill="1" applyBorder="1" applyAlignment="1">
      <alignment horizontal="center" vertical="center"/>
    </xf>
    <xf numFmtId="2" fontId="489" fillId="0" borderId="1" xfId="0" applyNumberFormat="1" applyFont="1" applyFill="1" applyBorder="1" applyAlignment="1">
      <alignment horizontal="center" vertical="center"/>
    </xf>
    <xf numFmtId="2" fontId="902" fillId="0" borderId="1" xfId="0" applyNumberFormat="1" applyFont="1" applyFill="1" applyBorder="1" applyAlignment="1">
      <alignment horizontal="center" vertical="center"/>
    </xf>
    <xf numFmtId="0" fontId="903" fillId="0" borderId="1" xfId="0" applyFont="1" applyFill="1" applyBorder="1" applyAlignment="1">
      <alignment horizontal="center" vertical="center" wrapText="1"/>
    </xf>
    <xf numFmtId="0" fontId="904" fillId="0" borderId="1" xfId="0" applyFont="1" applyFill="1" applyBorder="1" applyAlignment="1">
      <alignment horizontal="center" vertical="center"/>
    </xf>
    <xf numFmtId="10" fontId="492" fillId="0" borderId="1" xfId="0" applyNumberFormat="1" applyFont="1" applyFill="1" applyBorder="1" applyAlignment="1">
      <alignment horizontal="center" vertical="center"/>
    </xf>
    <xf numFmtId="10" fontId="905" fillId="0" borderId="1" xfId="0" applyNumberFormat="1" applyFont="1" applyFill="1" applyBorder="1" applyAlignment="1">
      <alignment horizontal="center" vertical="center"/>
    </xf>
    <xf numFmtId="2" fontId="763" fillId="716" borderId="1" xfId="0" applyNumberFormat="1" applyFont="1" applyFill="1" applyBorder="1" applyAlignment="1">
      <alignment horizontal="center" vertical="center"/>
    </xf>
    <xf numFmtId="2" fontId="906" fillId="0" borderId="1" xfId="0" applyNumberFormat="1" applyFont="1" applyFill="1" applyBorder="1" applyAlignment="1">
      <alignment horizontal="center" vertical="center"/>
    </xf>
    <xf numFmtId="10" fontId="907" fillId="0" borderId="1" xfId="0" applyNumberFormat="1" applyFont="1" applyFill="1" applyBorder="1" applyAlignment="1">
      <alignment horizontal="center" vertical="center" wrapText="1"/>
    </xf>
    <xf numFmtId="2" fontId="908" fillId="0" borderId="1" xfId="0" applyNumberFormat="1" applyFont="1" applyFill="1" applyBorder="1" applyAlignment="1">
      <alignment horizontal="center" vertical="center"/>
    </xf>
    <xf numFmtId="2" fontId="766" fillId="718" borderId="1" xfId="0" applyNumberFormat="1" applyFont="1" applyFill="1" applyBorder="1" applyAlignment="1">
      <alignment horizontal="center" vertical="center"/>
    </xf>
    <xf numFmtId="2" fontId="767" fillId="0" borderId="1" xfId="0" applyNumberFormat="1" applyFont="1" applyFill="1" applyBorder="1" applyAlignment="1">
      <alignment horizontal="center" vertical="center"/>
    </xf>
    <xf numFmtId="2" fontId="909" fillId="822" borderId="1" xfId="0" applyNumberFormat="1" applyFont="1" applyFill="1" applyBorder="1" applyAlignment="1">
      <alignment horizontal="center" vertical="center"/>
    </xf>
    <xf numFmtId="2" fontId="910" fillId="823" borderId="1" xfId="0" applyNumberFormat="1" applyFont="1" applyFill="1" applyBorder="1" applyAlignment="1">
      <alignment horizontal="center" vertical="center"/>
    </xf>
    <xf numFmtId="2" fontId="768" fillId="719" borderId="1" xfId="0" applyNumberFormat="1" applyFont="1" applyFill="1" applyBorder="1" applyAlignment="1">
      <alignment horizontal="center" vertical="center"/>
    </xf>
    <xf numFmtId="2" fontId="769" fillId="720" borderId="1" xfId="0" applyNumberFormat="1" applyFont="1" applyFill="1" applyBorder="1" applyAlignment="1">
      <alignment horizontal="center" vertical="center"/>
    </xf>
    <xf numFmtId="2" fontId="911" fillId="824" borderId="1" xfId="0" applyNumberFormat="1" applyFont="1" applyFill="1" applyBorder="1" applyAlignment="1">
      <alignment horizontal="center" vertical="center"/>
    </xf>
    <xf numFmtId="2" fontId="912" fillId="825" borderId="1" xfId="0" applyNumberFormat="1" applyFont="1" applyFill="1" applyBorder="1" applyAlignment="1">
      <alignment horizontal="center" vertical="center"/>
    </xf>
    <xf numFmtId="2" fontId="770" fillId="721" borderId="1" xfId="0" applyNumberFormat="1" applyFont="1" applyFill="1" applyBorder="1" applyAlignment="1">
      <alignment horizontal="center" vertical="center"/>
    </xf>
    <xf numFmtId="10" fontId="771" fillId="0" borderId="1" xfId="0" applyNumberFormat="1" applyFont="1" applyFill="1" applyBorder="1" applyAlignment="1">
      <alignment horizontal="center" vertical="center"/>
    </xf>
    <xf numFmtId="2" fontId="913" fillId="826" borderId="1" xfId="0" applyNumberFormat="1" applyFont="1" applyFill="1" applyBorder="1" applyAlignment="1">
      <alignment horizontal="center" vertical="center"/>
    </xf>
    <xf numFmtId="10" fontId="914" fillId="0" borderId="1" xfId="0" applyNumberFormat="1" applyFont="1" applyFill="1" applyBorder="1" applyAlignment="1">
      <alignment horizontal="center" vertical="center"/>
    </xf>
    <xf numFmtId="2" fontId="772" fillId="722" borderId="1" xfId="0" applyNumberFormat="1" applyFont="1" applyFill="1" applyBorder="1" applyAlignment="1">
      <alignment horizontal="center" vertical="center"/>
    </xf>
    <xf numFmtId="2" fontId="915" fillId="827" borderId="1" xfId="0" applyNumberFormat="1" applyFont="1" applyFill="1" applyBorder="1" applyAlignment="1">
      <alignment horizontal="center" vertical="center"/>
    </xf>
    <xf numFmtId="10" fontId="773" fillId="723" borderId="1" xfId="0" applyNumberFormat="1" applyFont="1" applyFill="1" applyBorder="1" applyAlignment="1">
      <alignment horizontal="center" vertical="center"/>
    </xf>
    <xf numFmtId="10" fontId="774" fillId="0" borderId="1" xfId="0" applyNumberFormat="1" applyFont="1" applyFill="1" applyBorder="1" applyAlignment="1">
      <alignment horizontal="center" vertical="center"/>
    </xf>
    <xf numFmtId="10" fontId="775" fillId="724" borderId="1" xfId="0" applyNumberFormat="1" applyFont="1" applyFill="1" applyBorder="1" applyAlignment="1">
      <alignment horizontal="center" vertical="center"/>
    </xf>
    <xf numFmtId="10" fontId="916" fillId="828" borderId="1" xfId="0" applyNumberFormat="1" applyFont="1" applyFill="1" applyBorder="1" applyAlignment="1">
      <alignment horizontal="center" vertical="center"/>
    </xf>
    <xf numFmtId="10" fontId="917" fillId="0" borderId="1" xfId="0" applyNumberFormat="1" applyFont="1" applyFill="1" applyBorder="1" applyAlignment="1">
      <alignment horizontal="center" vertical="center"/>
    </xf>
    <xf numFmtId="10" fontId="918" fillId="829" borderId="1" xfId="0" applyNumberFormat="1" applyFont="1" applyFill="1" applyBorder="1" applyAlignment="1">
      <alignment horizontal="center" vertical="center"/>
    </xf>
    <xf numFmtId="2" fontId="776" fillId="725" borderId="1" xfId="0" applyNumberFormat="1" applyFont="1" applyFill="1" applyBorder="1" applyAlignment="1">
      <alignment horizontal="center" vertical="center"/>
    </xf>
    <xf numFmtId="2" fontId="777" fillId="726" borderId="1" xfId="0" applyNumberFormat="1" applyFont="1" applyFill="1" applyBorder="1" applyAlignment="1">
      <alignment horizontal="center" vertical="center"/>
    </xf>
    <xf numFmtId="2" fontId="919" fillId="830" borderId="1" xfId="0" applyNumberFormat="1" applyFont="1" applyFill="1" applyBorder="1" applyAlignment="1">
      <alignment horizontal="center" vertical="center"/>
    </xf>
    <xf numFmtId="2" fontId="920" fillId="831" borderId="1" xfId="0" applyNumberFormat="1" applyFont="1" applyFill="1" applyBorder="1" applyAlignment="1">
      <alignment horizontal="center" vertical="center"/>
    </xf>
    <xf numFmtId="10" fontId="778" fillId="727" borderId="1" xfId="0" applyNumberFormat="1" applyFont="1" applyFill="1" applyBorder="1" applyAlignment="1">
      <alignment horizontal="center" vertical="center"/>
    </xf>
    <xf numFmtId="10" fontId="779" fillId="728" borderId="1" xfId="0" applyNumberFormat="1" applyFont="1" applyFill="1" applyBorder="1" applyAlignment="1">
      <alignment horizontal="center" vertical="center"/>
    </xf>
    <xf numFmtId="10" fontId="921" fillId="832" borderId="1" xfId="0" applyNumberFormat="1" applyFont="1" applyFill="1" applyBorder="1" applyAlignment="1">
      <alignment horizontal="center" vertical="center"/>
    </xf>
    <xf numFmtId="10" fontId="922" fillId="833" borderId="1" xfId="0" applyNumberFormat="1" applyFont="1" applyFill="1" applyBorder="1" applyAlignment="1">
      <alignment horizontal="center" vertical="center"/>
    </xf>
    <xf numFmtId="10" fontId="780" fillId="729" borderId="1" xfId="0" applyNumberFormat="1" applyFont="1" applyFill="1" applyBorder="1" applyAlignment="1">
      <alignment horizontal="center" vertical="center"/>
    </xf>
    <xf numFmtId="10" fontId="781" fillId="0" borderId="1" xfId="0" applyNumberFormat="1" applyFont="1" applyFill="1" applyBorder="1" applyAlignment="1">
      <alignment horizontal="center" vertical="center"/>
    </xf>
    <xf numFmtId="10" fontId="782" fillId="0" borderId="1" xfId="0" applyNumberFormat="1" applyFont="1" applyFill="1" applyBorder="1" applyAlignment="1">
      <alignment horizontal="center" vertical="center"/>
    </xf>
    <xf numFmtId="10" fontId="923" fillId="834" borderId="1" xfId="0" applyNumberFormat="1" applyFont="1" applyFill="1" applyBorder="1" applyAlignment="1">
      <alignment horizontal="center" vertical="center"/>
    </xf>
    <xf numFmtId="10" fontId="924" fillId="0" borderId="1" xfId="0" applyNumberFormat="1" applyFont="1" applyFill="1" applyBorder="1" applyAlignment="1">
      <alignment horizontal="center" vertical="center"/>
    </xf>
    <xf numFmtId="10" fontId="925" fillId="0" borderId="1" xfId="0" applyNumberFormat="1" applyFont="1" applyFill="1" applyBorder="1" applyAlignment="1">
      <alignment horizontal="center" vertical="center"/>
    </xf>
    <xf numFmtId="10" fontId="783" fillId="730" borderId="1" xfId="0" applyNumberFormat="1" applyFont="1" applyFill="1" applyBorder="1" applyAlignment="1">
      <alignment horizontal="center" vertical="center"/>
    </xf>
    <xf numFmtId="10" fontId="784" fillId="731" borderId="1" xfId="0" applyNumberFormat="1" applyFont="1" applyFill="1" applyBorder="1" applyAlignment="1">
      <alignment horizontal="center" vertical="center"/>
    </xf>
    <xf numFmtId="10" fontId="926" fillId="835" borderId="1" xfId="0" applyNumberFormat="1" applyFont="1" applyFill="1" applyBorder="1" applyAlignment="1">
      <alignment horizontal="center" vertical="center"/>
    </xf>
    <xf numFmtId="10" fontId="927" fillId="836" borderId="1" xfId="0" applyNumberFormat="1" applyFont="1" applyFill="1" applyBorder="1" applyAlignment="1">
      <alignment horizontal="center" vertical="center"/>
    </xf>
    <xf numFmtId="10" fontId="785" fillId="732" borderId="1" xfId="0" applyNumberFormat="1" applyFont="1" applyFill="1" applyBorder="1" applyAlignment="1">
      <alignment horizontal="center" vertical="center" wrapText="1"/>
    </xf>
    <xf numFmtId="10" fontId="786" fillId="733" borderId="1" xfId="0" applyNumberFormat="1" applyFont="1" applyFill="1" applyBorder="1" applyAlignment="1">
      <alignment horizontal="center" vertical="center" wrapText="1"/>
    </xf>
    <xf numFmtId="10" fontId="787" fillId="734" borderId="1" xfId="0" applyNumberFormat="1" applyFont="1" applyFill="1" applyBorder="1" applyAlignment="1">
      <alignment horizontal="center" vertical="center" wrapText="1"/>
    </xf>
    <xf numFmtId="10" fontId="928" fillId="837" borderId="1" xfId="0" applyNumberFormat="1" applyFont="1" applyFill="1" applyBorder="1" applyAlignment="1">
      <alignment horizontal="center" vertical="center" wrapText="1"/>
    </xf>
    <xf numFmtId="10" fontId="929" fillId="838" borderId="1" xfId="0" applyNumberFormat="1" applyFont="1" applyFill="1" applyBorder="1" applyAlignment="1">
      <alignment horizontal="center" vertical="center" wrapText="1"/>
    </xf>
    <xf numFmtId="10" fontId="930" fillId="839" borderId="1" xfId="0" applyNumberFormat="1" applyFont="1" applyFill="1" applyBorder="1" applyAlignment="1">
      <alignment horizontal="center" vertical="center" wrapText="1"/>
    </xf>
    <xf numFmtId="10" fontId="788" fillId="735" borderId="1" xfId="0" applyNumberFormat="1" applyFont="1" applyFill="1" applyBorder="1" applyAlignment="1">
      <alignment horizontal="center" vertical="center"/>
    </xf>
    <xf numFmtId="10" fontId="931" fillId="840" borderId="1" xfId="0" applyNumberFormat="1" applyFont="1" applyFill="1" applyBorder="1" applyAlignment="1">
      <alignment horizontal="center" vertical="center"/>
    </xf>
    <xf numFmtId="10" fontId="789" fillId="736" borderId="1" xfId="0" applyNumberFormat="1" applyFont="1" applyFill="1" applyBorder="1" applyAlignment="1">
      <alignment horizontal="center" vertical="center"/>
    </xf>
    <xf numFmtId="10" fontId="932" fillId="841" borderId="1" xfId="0" applyNumberFormat="1" applyFont="1" applyFill="1" applyBorder="1" applyAlignment="1">
      <alignment horizontal="center" vertical="center"/>
    </xf>
    <xf numFmtId="2" fontId="790" fillId="737" borderId="1" xfId="0" applyNumberFormat="1" applyFont="1" applyFill="1" applyBorder="1" applyAlignment="1">
      <alignment horizontal="center" vertical="center"/>
    </xf>
    <xf numFmtId="10" fontId="791" fillId="738" borderId="1" xfId="0" applyNumberFormat="1" applyFont="1" applyFill="1" applyBorder="1" applyAlignment="1">
      <alignment horizontal="center" vertical="center"/>
    </xf>
    <xf numFmtId="2" fontId="792" fillId="739" borderId="1" xfId="0" applyNumberFormat="1" applyFont="1" applyFill="1" applyBorder="1" applyAlignment="1">
      <alignment horizontal="center" vertical="center"/>
    </xf>
    <xf numFmtId="2" fontId="933" fillId="842" borderId="1" xfId="0" applyNumberFormat="1" applyFont="1" applyFill="1" applyBorder="1" applyAlignment="1">
      <alignment horizontal="center" vertical="center"/>
    </xf>
    <xf numFmtId="10" fontId="934" fillId="843" borderId="1" xfId="0" applyNumberFormat="1" applyFont="1" applyFill="1" applyBorder="1" applyAlignment="1">
      <alignment horizontal="center" vertical="center"/>
    </xf>
    <xf numFmtId="2" fontId="935" fillId="844" borderId="1" xfId="0" applyNumberFormat="1" applyFont="1" applyFill="1" applyBorder="1" applyAlignment="1">
      <alignment horizontal="center" vertical="center"/>
    </xf>
    <xf numFmtId="10" fontId="793" fillId="740" borderId="1" xfId="0" applyNumberFormat="1" applyFont="1" applyFill="1" applyBorder="1" applyAlignment="1">
      <alignment horizontal="center" vertical="center"/>
    </xf>
    <xf numFmtId="10" fontId="936" fillId="845" borderId="1" xfId="0" applyNumberFormat="1" applyFont="1" applyFill="1" applyBorder="1" applyAlignment="1">
      <alignment horizontal="center" vertical="center"/>
    </xf>
    <xf numFmtId="2" fontId="794" fillId="0" borderId="1" xfId="0" applyNumberFormat="1" applyFont="1" applyFill="1" applyBorder="1" applyAlignment="1">
      <alignment horizontal="center" vertical="center"/>
    </xf>
    <xf numFmtId="2" fontId="795" fillId="741" borderId="1" xfId="0" applyNumberFormat="1" applyFont="1" applyFill="1" applyBorder="1" applyAlignment="1">
      <alignment horizontal="center" vertical="center"/>
    </xf>
    <xf numFmtId="10" fontId="796" fillId="742" borderId="1" xfId="0" applyNumberFormat="1" applyFont="1" applyFill="1" applyBorder="1" applyAlignment="1">
      <alignment horizontal="center" vertical="center"/>
    </xf>
    <xf numFmtId="2" fontId="937" fillId="0" borderId="1" xfId="0" applyNumberFormat="1" applyFont="1" applyFill="1" applyBorder="1" applyAlignment="1">
      <alignment horizontal="center" vertical="center"/>
    </xf>
    <xf numFmtId="2" fontId="938" fillId="846" borderId="1" xfId="0" applyNumberFormat="1" applyFont="1" applyFill="1" applyBorder="1" applyAlignment="1">
      <alignment horizontal="center" vertical="center"/>
    </xf>
    <xf numFmtId="10" fontId="939" fillId="847" borderId="1" xfId="0" applyNumberFormat="1" applyFont="1" applyFill="1" applyBorder="1" applyAlignment="1">
      <alignment horizontal="center" vertical="center"/>
    </xf>
    <xf numFmtId="2" fontId="797" fillId="0" borderId="1" xfId="0" applyNumberFormat="1" applyFont="1" applyFill="1" applyBorder="1" applyAlignment="1">
      <alignment horizontal="center" vertical="center"/>
    </xf>
    <xf numFmtId="2" fontId="798" fillId="0" borderId="1" xfId="0" applyNumberFormat="1" applyFont="1" applyFill="1" applyBorder="1" applyAlignment="1">
      <alignment horizontal="center" vertical="center"/>
    </xf>
    <xf numFmtId="10" fontId="799" fillId="0" borderId="1" xfId="0" applyNumberFormat="1" applyFont="1" applyFill="1" applyBorder="1" applyAlignment="1">
      <alignment horizontal="center" vertical="center"/>
    </xf>
    <xf numFmtId="2" fontId="940" fillId="0" borderId="1" xfId="0" applyNumberFormat="1" applyFont="1" applyFill="1" applyBorder="1" applyAlignment="1">
      <alignment horizontal="center" vertical="center"/>
    </xf>
    <xf numFmtId="2" fontId="941" fillId="0" borderId="1" xfId="0" applyNumberFormat="1" applyFont="1" applyFill="1" applyBorder="1" applyAlignment="1">
      <alignment horizontal="center" vertical="center"/>
    </xf>
    <xf numFmtId="10" fontId="942" fillId="0" borderId="1" xfId="0" applyNumberFormat="1" applyFont="1" applyFill="1" applyBorder="1" applyAlignment="1">
      <alignment horizontal="center" vertical="center"/>
    </xf>
    <xf numFmtId="10" fontId="800" fillId="0" borderId="1" xfId="0" applyNumberFormat="1" applyFont="1" applyFill="1" applyBorder="1" applyAlignment="1">
      <alignment horizontal="center" vertical="center"/>
    </xf>
    <xf numFmtId="10" fontId="801" fillId="0" borderId="1" xfId="0" applyNumberFormat="1" applyFont="1" applyFill="1" applyBorder="1" applyAlignment="1">
      <alignment horizontal="center" vertical="center"/>
    </xf>
    <xf numFmtId="10" fontId="943" fillId="0" borderId="1" xfId="0" applyNumberFormat="1" applyFont="1" applyFill="1" applyBorder="1" applyAlignment="1">
      <alignment horizontal="center" vertical="center"/>
    </xf>
    <xf numFmtId="10" fontId="944" fillId="0" borderId="1" xfId="0" applyNumberFormat="1" applyFont="1" applyFill="1" applyBorder="1" applyAlignment="1">
      <alignment horizontal="center" vertical="center"/>
    </xf>
    <xf numFmtId="10" fontId="802" fillId="743" borderId="1" xfId="0" applyNumberFormat="1" applyFont="1" applyFill="1" applyBorder="1" applyAlignment="1">
      <alignment horizontal="center" vertical="center"/>
    </xf>
    <xf numFmtId="10" fontId="803" fillId="744" borderId="1" xfId="0" applyNumberFormat="1" applyFont="1" applyFill="1" applyBorder="1" applyAlignment="1">
      <alignment horizontal="center" vertical="center"/>
    </xf>
    <xf numFmtId="10" fontId="945" fillId="848" borderId="1" xfId="0" applyNumberFormat="1" applyFont="1" applyFill="1" applyBorder="1" applyAlignment="1">
      <alignment horizontal="center" vertical="center"/>
    </xf>
    <xf numFmtId="10" fontId="946" fillId="849" borderId="1" xfId="0" applyNumberFormat="1" applyFont="1" applyFill="1" applyBorder="1" applyAlignment="1">
      <alignment horizontal="center" vertical="center"/>
    </xf>
    <xf numFmtId="10" fontId="804" fillId="0" borderId="1" xfId="0" applyNumberFormat="1" applyFont="1" applyFill="1" applyBorder="1" applyAlignment="1">
      <alignment horizontal="center" vertical="center" wrapText="1"/>
    </xf>
    <xf numFmtId="10" fontId="805" fillId="745" borderId="1" xfId="0" applyNumberFormat="1" applyFont="1" applyFill="1" applyBorder="1" applyAlignment="1">
      <alignment horizontal="center" vertical="center"/>
    </xf>
    <xf numFmtId="10" fontId="806" fillId="746" borderId="1" xfId="0" applyNumberFormat="1" applyFont="1" applyFill="1" applyBorder="1" applyAlignment="1">
      <alignment horizontal="center" vertical="center"/>
    </xf>
    <xf numFmtId="10" fontId="947" fillId="0" borderId="1" xfId="0" applyNumberFormat="1" applyFont="1" applyFill="1" applyBorder="1" applyAlignment="1">
      <alignment horizontal="center" vertical="center" wrapText="1"/>
    </xf>
    <xf numFmtId="10" fontId="948" fillId="850" borderId="1" xfId="0" applyNumberFormat="1" applyFont="1" applyFill="1" applyBorder="1" applyAlignment="1">
      <alignment horizontal="center" vertical="center"/>
    </xf>
    <xf numFmtId="10" fontId="949" fillId="851" borderId="1" xfId="0" applyNumberFormat="1" applyFont="1" applyFill="1" applyBorder="1" applyAlignment="1">
      <alignment horizontal="center" vertical="center"/>
    </xf>
    <xf numFmtId="2" fontId="807" fillId="747" borderId="1" xfId="0" applyNumberFormat="1" applyFont="1" applyFill="1" applyBorder="1" applyAlignment="1">
      <alignment horizontal="center" vertical="center"/>
    </xf>
    <xf numFmtId="2" fontId="950" fillId="852" borderId="1" xfId="0" applyNumberFormat="1" applyFont="1" applyFill="1" applyBorder="1" applyAlignment="1">
      <alignment horizontal="center" vertical="center"/>
    </xf>
    <xf numFmtId="10" fontId="808" fillId="748" borderId="1" xfId="0" applyNumberFormat="1" applyFont="1" applyFill="1" applyBorder="1" applyAlignment="1">
      <alignment horizontal="center" vertical="center" wrapText="1"/>
    </xf>
    <xf numFmtId="10" fontId="951" fillId="853" borderId="1" xfId="0" applyNumberFormat="1" applyFont="1" applyFill="1" applyBorder="1" applyAlignment="1">
      <alignment horizontal="center" vertical="center" wrapText="1"/>
    </xf>
    <xf numFmtId="2" fontId="809" fillId="749" borderId="1" xfId="0" applyNumberFormat="1" applyFont="1" applyFill="1" applyBorder="1" applyAlignment="1">
      <alignment horizontal="center" vertical="center"/>
    </xf>
    <xf numFmtId="10" fontId="810" fillId="750" borderId="1" xfId="0" applyNumberFormat="1" applyFont="1" applyFill="1" applyBorder="1" applyAlignment="1">
      <alignment horizontal="center" vertical="center"/>
    </xf>
    <xf numFmtId="2" fontId="952" fillId="854" borderId="1" xfId="0" applyNumberFormat="1" applyFont="1" applyFill="1" applyBorder="1" applyAlignment="1">
      <alignment horizontal="center" vertical="center"/>
    </xf>
    <xf numFmtId="10" fontId="953" fillId="855" borderId="1" xfId="0" applyNumberFormat="1" applyFont="1" applyFill="1" applyBorder="1" applyAlignment="1">
      <alignment horizontal="center" vertical="center"/>
    </xf>
    <xf numFmtId="2" fontId="811" fillId="0" borderId="1" xfId="0" applyNumberFormat="1" applyFont="1" applyFill="1" applyBorder="1" applyAlignment="1">
      <alignment horizontal="center" vertical="center"/>
    </xf>
    <xf numFmtId="10" fontId="812" fillId="751" borderId="1" xfId="0" applyNumberFormat="1" applyFont="1" applyFill="1" applyBorder="1" applyAlignment="1">
      <alignment horizontal="center" vertical="center"/>
    </xf>
    <xf numFmtId="2" fontId="813" fillId="752" borderId="1" xfId="0" applyNumberFormat="1" applyFont="1" applyFill="1" applyBorder="1" applyAlignment="1">
      <alignment horizontal="center" vertical="center"/>
    </xf>
    <xf numFmtId="2" fontId="954" fillId="0" borderId="1" xfId="0" applyNumberFormat="1" applyFont="1" applyFill="1" applyBorder="1" applyAlignment="1">
      <alignment horizontal="center" vertical="center"/>
    </xf>
    <xf numFmtId="10" fontId="955" fillId="856" borderId="1" xfId="0" applyNumberFormat="1" applyFont="1" applyFill="1" applyBorder="1" applyAlignment="1">
      <alignment horizontal="center" vertical="center"/>
    </xf>
    <xf numFmtId="2" fontId="956" fillId="857" borderId="1" xfId="0" applyNumberFormat="1" applyFont="1" applyFill="1" applyBorder="1" applyAlignment="1">
      <alignment horizontal="center" vertical="center"/>
    </xf>
    <xf numFmtId="2" fontId="814" fillId="753" borderId="1" xfId="0" applyNumberFormat="1" applyFont="1" applyFill="1" applyBorder="1" applyAlignment="1">
      <alignment horizontal="center" vertical="center"/>
    </xf>
    <xf numFmtId="10" fontId="815" fillId="754" borderId="1" xfId="0" applyNumberFormat="1" applyFont="1" applyFill="1" applyBorder="1" applyAlignment="1">
      <alignment horizontal="center" vertical="center"/>
    </xf>
    <xf numFmtId="2" fontId="957" fillId="858" borderId="1" xfId="0" applyNumberFormat="1" applyFont="1" applyFill="1" applyBorder="1" applyAlignment="1">
      <alignment horizontal="center" vertical="center"/>
    </xf>
    <xf numFmtId="10" fontId="958" fillId="859" borderId="1" xfId="0" applyNumberFormat="1" applyFont="1" applyFill="1" applyBorder="1" applyAlignment="1">
      <alignment horizontal="center" vertical="center"/>
    </xf>
    <xf numFmtId="2" fontId="816" fillId="755" borderId="1" xfId="0" applyNumberFormat="1" applyFont="1" applyFill="1" applyBorder="1" applyAlignment="1">
      <alignment horizontal="center" vertical="center" wrapText="1"/>
    </xf>
    <xf numFmtId="10" fontId="817" fillId="756" borderId="1" xfId="0" applyNumberFormat="1" applyFont="1" applyFill="1" applyBorder="1" applyAlignment="1">
      <alignment horizontal="center" vertical="center"/>
    </xf>
    <xf numFmtId="2" fontId="959" fillId="860" borderId="1" xfId="0" applyNumberFormat="1" applyFont="1" applyFill="1" applyBorder="1" applyAlignment="1">
      <alignment horizontal="center" vertical="center" wrapText="1"/>
    </xf>
    <xf numFmtId="10" fontId="960" fillId="861" borderId="1" xfId="0" applyNumberFormat="1" applyFont="1" applyFill="1" applyBorder="1" applyAlignment="1">
      <alignment horizontal="center" vertical="center"/>
    </xf>
    <xf numFmtId="2" fontId="961" fillId="862" borderId="1" xfId="0" applyNumberFormat="1" applyFont="1" applyFill="1" applyBorder="1" applyAlignment="1">
      <alignment horizontal="center" vertical="center"/>
    </xf>
    <xf numFmtId="2" fontId="962" fillId="863" borderId="1" xfId="0" applyNumberFormat="1" applyFont="1" applyFill="1" applyBorder="1" applyAlignment="1">
      <alignment horizontal="center" vertical="center"/>
    </xf>
    <xf numFmtId="10" fontId="963" fillId="0" borderId="1" xfId="0" applyNumberFormat="1" applyFont="1" applyFill="1" applyBorder="1" applyAlignment="1">
      <alignment horizontal="center" vertical="center"/>
    </xf>
    <xf numFmtId="2" fontId="964" fillId="0" borderId="1" xfId="0" applyNumberFormat="1" applyFont="1" applyFill="1" applyBorder="1" applyAlignment="1">
      <alignment horizontal="center" vertical="center"/>
    </xf>
    <xf numFmtId="10" fontId="965" fillId="864" borderId="1" xfId="0" applyNumberFormat="1" applyFont="1" applyFill="1" applyBorder="1" applyAlignment="1">
      <alignment horizontal="center" vertical="center"/>
    </xf>
    <xf numFmtId="10" fontId="966" fillId="865" borderId="1" xfId="0" applyNumberFormat="1" applyFont="1" applyFill="1" applyBorder="1" applyAlignment="1">
      <alignment horizontal="center" vertical="center"/>
    </xf>
    <xf numFmtId="10" fontId="967" fillId="866" borderId="1" xfId="0" applyNumberFormat="1" applyFont="1" applyFill="1" applyBorder="1" applyAlignment="1">
      <alignment horizontal="center" vertical="center"/>
    </xf>
    <xf numFmtId="10" fontId="968" fillId="867" borderId="1" xfId="0" applyNumberFormat="1" applyFont="1" applyFill="1" applyBorder="1" applyAlignment="1">
      <alignment horizontal="center" vertical="center"/>
    </xf>
    <xf numFmtId="10" fontId="969" fillId="868" borderId="1" xfId="0" applyNumberFormat="1" applyFont="1" applyFill="1" applyBorder="1" applyAlignment="1">
      <alignment horizontal="center" vertical="center"/>
    </xf>
    <xf numFmtId="10" fontId="970" fillId="869" borderId="1" xfId="0" applyNumberFormat="1" applyFont="1" applyFill="1" applyBorder="1" applyAlignment="1">
      <alignment horizontal="center" vertical="center"/>
    </xf>
    <xf numFmtId="10" fontId="971" fillId="870" borderId="1" xfId="0" applyNumberFormat="1" applyFont="1" applyFill="1" applyBorder="1" applyAlignment="1">
      <alignment horizontal="center" vertical="center"/>
    </xf>
    <xf numFmtId="10" fontId="972" fillId="871" borderId="1" xfId="0" applyNumberFormat="1" applyFont="1" applyFill="1" applyBorder="1" applyAlignment="1">
      <alignment horizontal="center" vertical="center"/>
    </xf>
    <xf numFmtId="10" fontId="973" fillId="872" borderId="1" xfId="0" applyNumberFormat="1" applyFont="1" applyFill="1" applyBorder="1" applyAlignment="1">
      <alignment horizontal="center" vertical="center"/>
    </xf>
    <xf numFmtId="10" fontId="974" fillId="873" borderId="1" xfId="0" applyNumberFormat="1" applyFont="1" applyFill="1" applyBorder="1" applyAlignment="1">
      <alignment horizontal="center" vertical="center"/>
    </xf>
    <xf numFmtId="10" fontId="975" fillId="874" borderId="1" xfId="0" applyNumberFormat="1" applyFont="1" applyFill="1" applyBorder="1" applyAlignment="1">
      <alignment horizontal="center" vertical="center"/>
    </xf>
    <xf numFmtId="2" fontId="976" fillId="875" borderId="1" xfId="0" applyNumberFormat="1" applyFont="1" applyFill="1" applyBorder="1" applyAlignment="1">
      <alignment horizontal="center" vertical="center"/>
    </xf>
    <xf numFmtId="10" fontId="977" fillId="876" borderId="1" xfId="0" applyNumberFormat="1" applyFont="1" applyFill="1" applyBorder="1" applyAlignment="1">
      <alignment horizontal="center" vertical="center"/>
    </xf>
    <xf numFmtId="2" fontId="978" fillId="877" borderId="1" xfId="0" applyNumberFormat="1" applyFont="1" applyFill="1" applyBorder="1" applyAlignment="1">
      <alignment horizontal="center" vertical="center"/>
    </xf>
    <xf numFmtId="10" fontId="979" fillId="0" borderId="1" xfId="0" applyNumberFormat="1" applyFont="1" applyFill="1" applyBorder="1" applyAlignment="1">
      <alignment horizontal="center" vertical="center"/>
    </xf>
    <xf numFmtId="2" fontId="980" fillId="878" borderId="1" xfId="0" applyNumberFormat="1" applyFont="1" applyFill="1" applyBorder="1" applyAlignment="1">
      <alignment horizontal="center" vertical="center"/>
    </xf>
    <xf numFmtId="2" fontId="981" fillId="879" borderId="1" xfId="0" applyNumberFormat="1" applyFont="1" applyFill="1" applyBorder="1" applyAlignment="1">
      <alignment horizontal="center" vertical="center"/>
    </xf>
    <xf numFmtId="2" fontId="982" fillId="880" borderId="1" xfId="0" applyNumberFormat="1" applyFont="1" applyFill="1" applyBorder="1" applyAlignment="1">
      <alignment horizontal="center" vertical="center"/>
    </xf>
    <xf numFmtId="2" fontId="983" fillId="0" borderId="1" xfId="0" applyNumberFormat="1" applyFont="1" applyFill="1" applyBorder="1" applyAlignment="1">
      <alignment horizontal="center" vertical="center"/>
    </xf>
    <xf numFmtId="10" fontId="984" fillId="881" borderId="1" xfId="0" applyNumberFormat="1" applyFont="1" applyFill="1" applyBorder="1" applyAlignment="1">
      <alignment horizontal="center" vertical="center"/>
    </xf>
    <xf numFmtId="10" fontId="985" fillId="882" borderId="1" xfId="0" applyNumberFormat="1" applyFont="1" applyFill="1" applyBorder="1" applyAlignment="1">
      <alignment horizontal="center" vertical="center"/>
    </xf>
    <xf numFmtId="10" fontId="986" fillId="883" borderId="1" xfId="0" applyNumberFormat="1" applyFont="1" applyFill="1" applyBorder="1" applyAlignment="1">
      <alignment horizontal="center" vertical="center"/>
    </xf>
    <xf numFmtId="2" fontId="987" fillId="884" borderId="1" xfId="0" applyNumberFormat="1" applyFont="1" applyFill="1" applyBorder="1" applyAlignment="1">
      <alignment horizontal="center" vertical="center"/>
    </xf>
    <xf numFmtId="2" fontId="988" fillId="885" borderId="1" xfId="0" applyNumberFormat="1" applyFont="1" applyFill="1" applyBorder="1" applyAlignment="1">
      <alignment horizontal="center" vertical="center"/>
    </xf>
    <xf numFmtId="10" fontId="989" fillId="0" borderId="1" xfId="0" applyNumberFormat="1" applyFont="1" applyFill="1" applyBorder="1" applyAlignment="1">
      <alignment horizontal="center" vertical="center"/>
    </xf>
    <xf numFmtId="2" fontId="990" fillId="886" borderId="1" xfId="0" applyNumberFormat="1" applyFont="1" applyFill="1" applyBorder="1" applyAlignment="1">
      <alignment horizontal="center" vertical="center"/>
    </xf>
    <xf numFmtId="2" fontId="991" fillId="887" borderId="1" xfId="0" applyNumberFormat="1" applyFont="1" applyFill="1" applyBorder="1" applyAlignment="1">
      <alignment horizontal="center" vertical="center"/>
    </xf>
    <xf numFmtId="2" fontId="992" fillId="888" borderId="1" xfId="0" applyNumberFormat="1" applyFont="1" applyFill="1" applyBorder="1" applyAlignment="1">
      <alignment horizontal="center" vertical="center"/>
    </xf>
    <xf numFmtId="2" fontId="993" fillId="0" borderId="1" xfId="0" applyNumberFormat="1" applyFont="1" applyFill="1" applyBorder="1" applyAlignment="1">
      <alignment horizontal="center" vertical="center"/>
    </xf>
    <xf numFmtId="2" fontId="994" fillId="889" borderId="1" xfId="0" applyNumberFormat="1" applyFont="1" applyFill="1" applyBorder="1" applyAlignment="1">
      <alignment horizontal="center" vertical="center"/>
    </xf>
    <xf numFmtId="2" fontId="995" fillId="890" borderId="1" xfId="0" applyNumberFormat="1" applyFont="1" applyFill="1" applyBorder="1" applyAlignment="1">
      <alignment horizontal="center" vertical="center"/>
    </xf>
    <xf numFmtId="10" fontId="996" fillId="891" borderId="1" xfId="0" applyNumberFormat="1" applyFont="1" applyFill="1" applyBorder="1" applyAlignment="1">
      <alignment horizontal="center" vertical="center"/>
    </xf>
    <xf numFmtId="10" fontId="997" fillId="0" borderId="1" xfId="0" applyNumberFormat="1" applyFont="1" applyFill="1" applyBorder="1" applyAlignment="1">
      <alignment horizontal="center" vertical="center"/>
    </xf>
    <xf numFmtId="10" fontId="998" fillId="892" borderId="1" xfId="0" applyNumberFormat="1" applyFont="1" applyFill="1" applyBorder="1" applyAlignment="1">
      <alignment horizontal="center" vertical="center"/>
    </xf>
    <xf numFmtId="2" fontId="999" fillId="893" borderId="1" xfId="0" applyNumberFormat="1" applyFont="1" applyFill="1" applyBorder="1" applyAlignment="1">
      <alignment horizontal="center" vertical="center"/>
    </xf>
    <xf numFmtId="2" fontId="1000" fillId="894" borderId="1" xfId="0" applyNumberFormat="1" applyFont="1" applyFill="1" applyBorder="1" applyAlignment="1">
      <alignment horizontal="center" vertical="center"/>
    </xf>
    <xf numFmtId="0" fontId="1001" fillId="0" borderId="1" xfId="0" applyFont="1" applyFill="1" applyBorder="1" applyAlignment="1">
      <alignment horizontal="center" vertical="center"/>
    </xf>
    <xf numFmtId="2" fontId="1002" fillId="0" borderId="1" xfId="0" applyNumberFormat="1" applyFont="1" applyFill="1" applyBorder="1" applyAlignment="1">
      <alignment horizontal="center" vertical="center"/>
    </xf>
    <xf numFmtId="2" fontId="1003" fillId="895" borderId="1" xfId="0" applyNumberFormat="1" applyFont="1" applyFill="1" applyBorder="1" applyAlignment="1">
      <alignment horizontal="center" vertical="center"/>
    </xf>
    <xf numFmtId="2" fontId="1004" fillId="896" borderId="1" xfId="0" applyNumberFormat="1" applyFont="1" applyFill="1" applyBorder="1" applyAlignment="1">
      <alignment horizontal="center" vertical="center"/>
    </xf>
    <xf numFmtId="2" fontId="1005" fillId="897" borderId="1" xfId="0" applyNumberFormat="1" applyFont="1" applyFill="1" applyBorder="1" applyAlignment="1">
      <alignment horizontal="center" vertical="center"/>
    </xf>
    <xf numFmtId="2" fontId="1006" fillId="898" borderId="1" xfId="0" applyNumberFormat="1" applyFont="1" applyFill="1" applyBorder="1" applyAlignment="1">
      <alignment horizontal="center" vertical="center"/>
    </xf>
    <xf numFmtId="0" fontId="1007" fillId="0" borderId="1" xfId="0" applyFont="1" applyFill="1" applyBorder="1" applyAlignment="1">
      <alignment horizontal="center" vertical="center" wrapText="1"/>
    </xf>
    <xf numFmtId="2" fontId="1008" fillId="0" borderId="1" xfId="0" applyNumberFormat="1" applyFont="1" applyFill="1" applyBorder="1" applyAlignment="1">
      <alignment horizontal="center" vertical="center"/>
    </xf>
    <xf numFmtId="2" fontId="1009" fillId="0" borderId="1" xfId="0" applyNumberFormat="1" applyFont="1" applyFill="1" applyBorder="1" applyAlignment="1">
      <alignment horizontal="center" vertical="center"/>
    </xf>
    <xf numFmtId="2" fontId="1010" fillId="0" borderId="1" xfId="0" applyNumberFormat="1" applyFont="1" applyFill="1" applyBorder="1" applyAlignment="1">
      <alignment horizontal="center" vertical="center"/>
    </xf>
    <xf numFmtId="2" fontId="1011" fillId="899" borderId="1" xfId="0" applyNumberFormat="1" applyFont="1" applyFill="1" applyBorder="1" applyAlignment="1">
      <alignment horizontal="center" vertical="center"/>
    </xf>
    <xf numFmtId="2" fontId="1012" fillId="900" borderId="1" xfId="0" applyNumberFormat="1" applyFont="1" applyFill="1" applyBorder="1" applyAlignment="1">
      <alignment horizontal="center" vertical="center"/>
    </xf>
    <xf numFmtId="2" fontId="1013" fillId="901" borderId="1" xfId="0" applyNumberFormat="1" applyFont="1" applyFill="1" applyBorder="1" applyAlignment="1">
      <alignment horizontal="center" vertical="center"/>
    </xf>
    <xf numFmtId="2" fontId="1014" fillId="902" borderId="1" xfId="0" applyNumberFormat="1" applyFont="1" applyFill="1" applyBorder="1" applyAlignment="1">
      <alignment horizontal="center" vertical="center"/>
    </xf>
    <xf numFmtId="10" fontId="1015" fillId="903" borderId="1" xfId="0" applyNumberFormat="1" applyFont="1" applyFill="1" applyBorder="1" applyAlignment="1">
      <alignment horizontal="center" vertical="center"/>
    </xf>
    <xf numFmtId="10" fontId="1016" fillId="904" borderId="1" xfId="0" applyNumberFormat="1" applyFont="1" applyFill="1" applyBorder="1" applyAlignment="1">
      <alignment horizontal="center" vertical="center"/>
    </xf>
    <xf numFmtId="10" fontId="1017" fillId="905" borderId="1" xfId="0" applyNumberFormat="1" applyFont="1" applyFill="1" applyBorder="1" applyAlignment="1">
      <alignment horizontal="center" vertical="center"/>
    </xf>
    <xf numFmtId="10" fontId="1018" fillId="906" borderId="1" xfId="0" applyNumberFormat="1" applyFont="1" applyFill="1" applyBorder="1" applyAlignment="1">
      <alignment horizontal="center" vertical="center"/>
    </xf>
    <xf numFmtId="10" fontId="1019" fillId="907" borderId="1" xfId="0" applyNumberFormat="1" applyFont="1" applyFill="1" applyBorder="1" applyAlignment="1">
      <alignment horizontal="center" vertical="center"/>
    </xf>
    <xf numFmtId="10" fontId="1020" fillId="908" borderId="1" xfId="0" applyNumberFormat="1" applyFont="1" applyFill="1" applyBorder="1" applyAlignment="1">
      <alignment horizontal="center" vertical="center"/>
    </xf>
    <xf numFmtId="10" fontId="1021" fillId="909" borderId="1" xfId="0" applyNumberFormat="1" applyFont="1" applyFill="1" applyBorder="1" applyAlignment="1">
      <alignment horizontal="center" vertical="center"/>
    </xf>
    <xf numFmtId="10" fontId="1022" fillId="910" borderId="1" xfId="0" applyNumberFormat="1" applyFont="1" applyFill="1" applyBorder="1" applyAlignment="1">
      <alignment horizontal="center" vertical="center"/>
    </xf>
    <xf numFmtId="10" fontId="1023" fillId="0" borderId="1" xfId="0" applyNumberFormat="1" applyFont="1" applyFill="1" applyBorder="1" applyAlignment="1">
      <alignment horizontal="center" vertical="center"/>
    </xf>
    <xf numFmtId="10" fontId="1024" fillId="911" borderId="1" xfId="0" applyNumberFormat="1" applyFont="1" applyFill="1" applyBorder="1" applyAlignment="1">
      <alignment horizontal="center" vertical="center"/>
    </xf>
    <xf numFmtId="10" fontId="1025" fillId="912" borderId="1" xfId="0" applyNumberFormat="1" applyFont="1" applyFill="1" applyBorder="1" applyAlignment="1">
      <alignment horizontal="center" vertical="center"/>
    </xf>
    <xf numFmtId="10" fontId="1026" fillId="0" borderId="1" xfId="0" applyNumberFormat="1" applyFont="1" applyFill="1" applyBorder="1" applyAlignment="1">
      <alignment horizontal="center" vertical="center"/>
    </xf>
    <xf numFmtId="10" fontId="1027" fillId="913" borderId="1" xfId="0" applyNumberFormat="1" applyFont="1" applyFill="1" applyBorder="1" applyAlignment="1">
      <alignment horizontal="center" vertical="center"/>
    </xf>
    <xf numFmtId="10" fontId="1028" fillId="914" borderId="1" xfId="0" applyNumberFormat="1" applyFont="1" applyFill="1" applyBorder="1" applyAlignment="1">
      <alignment horizontal="center" vertical="center"/>
    </xf>
    <xf numFmtId="10" fontId="1029" fillId="915" borderId="1" xfId="0" applyNumberFormat="1" applyFont="1" applyFill="1" applyBorder="1" applyAlignment="1">
      <alignment horizontal="center" vertical="center"/>
    </xf>
    <xf numFmtId="10" fontId="1030" fillId="916" borderId="1" xfId="0" applyNumberFormat="1" applyFont="1" applyFill="1" applyBorder="1" applyAlignment="1">
      <alignment horizontal="center" vertical="center"/>
    </xf>
    <xf numFmtId="10" fontId="1031" fillId="917" borderId="1" xfId="0" applyNumberFormat="1" applyFont="1" applyFill="1" applyBorder="1" applyAlignment="1">
      <alignment horizontal="center" vertical="center"/>
    </xf>
    <xf numFmtId="10" fontId="1032" fillId="0" borderId="1" xfId="0" applyNumberFormat="1" applyFont="1" applyFill="1" applyBorder="1" applyAlignment="1">
      <alignment horizontal="center" vertical="center"/>
    </xf>
    <xf numFmtId="10" fontId="1033" fillId="918" borderId="1" xfId="0" applyNumberFormat="1" applyFont="1" applyFill="1" applyBorder="1" applyAlignment="1">
      <alignment horizontal="center" vertical="center"/>
    </xf>
    <xf numFmtId="2" fontId="1034" fillId="919" borderId="1" xfId="0" applyNumberFormat="1" applyFont="1" applyFill="1" applyBorder="1" applyAlignment="1">
      <alignment horizontal="center" vertical="center"/>
    </xf>
    <xf numFmtId="2" fontId="1035" fillId="920" borderId="1" xfId="0" applyNumberFormat="1" applyFont="1" applyFill="1" applyBorder="1" applyAlignment="1">
      <alignment horizontal="center" vertical="center"/>
    </xf>
    <xf numFmtId="10" fontId="1036" fillId="921" borderId="1" xfId="0" applyNumberFormat="1" applyFont="1" applyFill="1" applyBorder="1" applyAlignment="1">
      <alignment horizontal="center" vertical="center"/>
    </xf>
    <xf numFmtId="10" fontId="1037" fillId="922" borderId="1" xfId="0" applyNumberFormat="1" applyFont="1" applyFill="1" applyBorder="1" applyAlignment="1">
      <alignment horizontal="center" vertical="center"/>
    </xf>
    <xf numFmtId="10" fontId="1038" fillId="0" borderId="1" xfId="0" applyNumberFormat="1" applyFont="1" applyFill="1" applyBorder="1" applyAlignment="1">
      <alignment horizontal="center" vertical="center"/>
    </xf>
    <xf numFmtId="10" fontId="1039" fillId="923" borderId="1" xfId="0" applyNumberFormat="1" applyFont="1" applyFill="1" applyBorder="1" applyAlignment="1">
      <alignment horizontal="center" vertical="center"/>
    </xf>
    <xf numFmtId="10" fontId="1040" fillId="924" borderId="1" xfId="0" applyNumberFormat="1" applyFont="1" applyFill="1" applyBorder="1" applyAlignment="1">
      <alignment horizontal="center" vertical="center"/>
    </xf>
    <xf numFmtId="10" fontId="1041" fillId="0" borderId="1" xfId="0" applyNumberFormat="1" applyFont="1" applyFill="1" applyBorder="1" applyAlignment="1">
      <alignment horizontal="center" vertical="center"/>
    </xf>
    <xf numFmtId="10" fontId="1042" fillId="925" borderId="1" xfId="0" applyNumberFormat="1" applyFont="1" applyFill="1" applyBorder="1" applyAlignment="1">
      <alignment horizontal="center" vertical="center"/>
    </xf>
    <xf numFmtId="10" fontId="1043" fillId="926" borderId="1" xfId="0" applyNumberFormat="1" applyFont="1" applyFill="1" applyBorder="1" applyAlignment="1">
      <alignment horizontal="center" vertical="center"/>
    </xf>
    <xf numFmtId="10" fontId="1044" fillId="0" borderId="1" xfId="0" applyNumberFormat="1" applyFont="1" applyFill="1" applyBorder="1" applyAlignment="1">
      <alignment horizontal="center" vertical="center"/>
    </xf>
    <xf numFmtId="2" fontId="1045" fillId="927" borderId="1" xfId="0" applyNumberFormat="1" applyFont="1" applyFill="1" applyBorder="1" applyAlignment="1">
      <alignment horizontal="center" vertical="center"/>
    </xf>
    <xf numFmtId="10" fontId="1046" fillId="0" borderId="1" xfId="0" applyNumberFormat="1" applyFont="1" applyFill="1" applyBorder="1" applyAlignment="1">
      <alignment horizontal="center" vertical="center" wrapText="1"/>
    </xf>
    <xf numFmtId="2" fontId="1047" fillId="0" borderId="1" xfId="0" applyNumberFormat="1" applyFont="1" applyFill="1" applyBorder="1" applyAlignment="1">
      <alignment horizontal="center" vertical="center"/>
    </xf>
    <xf numFmtId="2" fontId="1048" fillId="928" borderId="1" xfId="0" applyNumberFormat="1" applyFont="1" applyFill="1" applyBorder="1" applyAlignment="1">
      <alignment horizontal="center" vertical="center"/>
    </xf>
    <xf numFmtId="2" fontId="1049" fillId="929" borderId="1" xfId="0" applyNumberFormat="1" applyFont="1" applyFill="1" applyBorder="1" applyAlignment="1">
      <alignment horizontal="center" vertical="center"/>
    </xf>
    <xf numFmtId="2" fontId="1050" fillId="930" borderId="1" xfId="0" applyNumberFormat="1" applyFont="1" applyFill="1" applyBorder="1" applyAlignment="1">
      <alignment horizontal="center" vertical="center"/>
    </xf>
    <xf numFmtId="2" fontId="1051" fillId="931" borderId="1" xfId="0" applyNumberFormat="1" applyFont="1" applyFill="1" applyBorder="1" applyAlignment="1">
      <alignment horizontal="center" vertical="center"/>
    </xf>
    <xf numFmtId="2" fontId="1052" fillId="932" borderId="1" xfId="0" applyNumberFormat="1" applyFont="1" applyFill="1" applyBorder="1" applyAlignment="1">
      <alignment horizontal="center" vertical="center"/>
    </xf>
    <xf numFmtId="10" fontId="1053" fillId="0" borderId="1" xfId="0" applyNumberFormat="1" applyFont="1" applyFill="1" applyBorder="1" applyAlignment="1">
      <alignment horizontal="center" vertical="center"/>
    </xf>
    <xf numFmtId="2" fontId="1054" fillId="933" borderId="1" xfId="0" applyNumberFormat="1" applyFont="1" applyFill="1" applyBorder="1" applyAlignment="1">
      <alignment horizontal="center" vertical="center"/>
    </xf>
    <xf numFmtId="10" fontId="1055" fillId="934" borderId="1" xfId="0" applyNumberFormat="1" applyFont="1" applyFill="1" applyBorder="1" applyAlignment="1">
      <alignment horizontal="center" vertical="center"/>
    </xf>
    <xf numFmtId="10" fontId="1056" fillId="0" borderId="1" xfId="0" applyNumberFormat="1" applyFont="1" applyFill="1" applyBorder="1" applyAlignment="1">
      <alignment horizontal="center" vertical="center"/>
    </xf>
    <xf numFmtId="10" fontId="1057" fillId="935" borderId="1" xfId="0" applyNumberFormat="1" applyFont="1" applyFill="1" applyBorder="1" applyAlignment="1">
      <alignment horizontal="center" vertical="center"/>
    </xf>
    <xf numFmtId="2" fontId="1058" fillId="936" borderId="1" xfId="0" applyNumberFormat="1" applyFont="1" applyFill="1" applyBorder="1" applyAlignment="1">
      <alignment horizontal="center" vertical="center"/>
    </xf>
    <xf numFmtId="2" fontId="1059" fillId="937" borderId="1" xfId="0" applyNumberFormat="1" applyFont="1" applyFill="1" applyBorder="1" applyAlignment="1">
      <alignment horizontal="center" vertical="center"/>
    </xf>
    <xf numFmtId="10" fontId="1060" fillId="938" borderId="1" xfId="0" applyNumberFormat="1" applyFont="1" applyFill="1" applyBorder="1" applyAlignment="1">
      <alignment horizontal="center" vertical="center"/>
    </xf>
    <xf numFmtId="10" fontId="1061" fillId="939" borderId="1" xfId="0" applyNumberFormat="1" applyFont="1" applyFill="1" applyBorder="1" applyAlignment="1">
      <alignment horizontal="center" vertical="center"/>
    </xf>
    <xf numFmtId="10" fontId="1062" fillId="940" borderId="1" xfId="0" applyNumberFormat="1" applyFont="1" applyFill="1" applyBorder="1" applyAlignment="1">
      <alignment horizontal="center" vertical="center"/>
    </xf>
    <xf numFmtId="10" fontId="1063" fillId="0" borderId="1" xfId="0" applyNumberFormat="1" applyFont="1" applyFill="1" applyBorder="1" applyAlignment="1">
      <alignment horizontal="center" vertical="center"/>
    </xf>
    <xf numFmtId="10" fontId="1064" fillId="0" borderId="1" xfId="0" applyNumberFormat="1" applyFont="1" applyFill="1" applyBorder="1" applyAlignment="1">
      <alignment horizontal="center" vertical="center"/>
    </xf>
    <xf numFmtId="10" fontId="1065" fillId="941" borderId="1" xfId="0" applyNumberFormat="1" applyFont="1" applyFill="1" applyBorder="1" applyAlignment="1">
      <alignment horizontal="center" vertical="center"/>
    </xf>
    <xf numFmtId="10" fontId="1066" fillId="942" borderId="1" xfId="0" applyNumberFormat="1" applyFont="1" applyFill="1" applyBorder="1" applyAlignment="1">
      <alignment horizontal="center" vertical="center"/>
    </xf>
    <xf numFmtId="10" fontId="1067" fillId="943" borderId="1" xfId="0" applyNumberFormat="1" applyFont="1" applyFill="1" applyBorder="1" applyAlignment="1">
      <alignment horizontal="center" vertical="center" wrapText="1"/>
    </xf>
    <xf numFmtId="10" fontId="1068" fillId="944" borderId="1" xfId="0" applyNumberFormat="1" applyFont="1" applyFill="1" applyBorder="1" applyAlignment="1">
      <alignment horizontal="center" vertical="center" wrapText="1"/>
    </xf>
    <xf numFmtId="10" fontId="1069" fillId="945" borderId="1" xfId="0" applyNumberFormat="1" applyFont="1" applyFill="1" applyBorder="1" applyAlignment="1">
      <alignment horizontal="center" vertical="center" wrapText="1"/>
    </xf>
    <xf numFmtId="10" fontId="1070" fillId="946" borderId="1" xfId="0" applyNumberFormat="1" applyFont="1" applyFill="1" applyBorder="1" applyAlignment="1">
      <alignment horizontal="center" vertical="center"/>
    </xf>
    <xf numFmtId="10" fontId="1071" fillId="947" borderId="1" xfId="0" applyNumberFormat="1" applyFont="1" applyFill="1" applyBorder="1" applyAlignment="1">
      <alignment horizontal="center" vertical="center"/>
    </xf>
    <xf numFmtId="2" fontId="1072" fillId="948" borderId="1" xfId="0" applyNumberFormat="1" applyFont="1" applyFill="1" applyBorder="1" applyAlignment="1">
      <alignment horizontal="center" vertical="center"/>
    </xf>
    <xf numFmtId="10" fontId="1073" fillId="949" borderId="1" xfId="0" applyNumberFormat="1" applyFont="1" applyFill="1" applyBorder="1" applyAlignment="1">
      <alignment horizontal="center" vertical="center"/>
    </xf>
    <xf numFmtId="2" fontId="1074" fillId="950" borderId="1" xfId="0" applyNumberFormat="1" applyFont="1" applyFill="1" applyBorder="1" applyAlignment="1">
      <alignment horizontal="center" vertical="center"/>
    </xf>
    <xf numFmtId="10" fontId="1075" fillId="951" borderId="1" xfId="0" applyNumberFormat="1" applyFont="1" applyFill="1" applyBorder="1" applyAlignment="1">
      <alignment horizontal="center" vertical="center"/>
    </xf>
    <xf numFmtId="2" fontId="1076" fillId="0" borderId="1" xfId="0" applyNumberFormat="1" applyFont="1" applyFill="1" applyBorder="1" applyAlignment="1">
      <alignment horizontal="center" vertical="center"/>
    </xf>
    <xf numFmtId="2" fontId="1077" fillId="952" borderId="1" xfId="0" applyNumberFormat="1" applyFont="1" applyFill="1" applyBorder="1" applyAlignment="1">
      <alignment horizontal="center" vertical="center"/>
    </xf>
    <xf numFmtId="10" fontId="1078" fillId="953" borderId="1" xfId="0" applyNumberFormat="1" applyFont="1" applyFill="1" applyBorder="1" applyAlignment="1">
      <alignment horizontal="center" vertical="center"/>
    </xf>
    <xf numFmtId="2" fontId="1079" fillId="0" borderId="1" xfId="0" applyNumberFormat="1" applyFont="1" applyFill="1" applyBorder="1" applyAlignment="1">
      <alignment horizontal="center" vertical="center"/>
    </xf>
    <xf numFmtId="2" fontId="1080" fillId="0" borderId="1" xfId="0" applyNumberFormat="1" applyFont="1" applyFill="1" applyBorder="1" applyAlignment="1">
      <alignment horizontal="center" vertical="center"/>
    </xf>
    <xf numFmtId="10" fontId="1081" fillId="0" borderId="1" xfId="0" applyNumberFormat="1" applyFont="1" applyFill="1" applyBorder="1" applyAlignment="1">
      <alignment horizontal="center" vertical="center"/>
    </xf>
    <xf numFmtId="10" fontId="1082" fillId="0" borderId="1" xfId="0" applyNumberFormat="1" applyFont="1" applyFill="1" applyBorder="1" applyAlignment="1">
      <alignment horizontal="center" vertical="center"/>
    </xf>
    <xf numFmtId="10" fontId="1083" fillId="0" borderId="1" xfId="0" applyNumberFormat="1" applyFont="1" applyFill="1" applyBorder="1" applyAlignment="1">
      <alignment horizontal="center" vertical="center"/>
    </xf>
    <xf numFmtId="10" fontId="1084" fillId="954" borderId="1" xfId="0" applyNumberFormat="1" applyFont="1" applyFill="1" applyBorder="1" applyAlignment="1">
      <alignment horizontal="center" vertical="center"/>
    </xf>
    <xf numFmtId="10" fontId="1085" fillId="955" borderId="1" xfId="0" applyNumberFormat="1" applyFont="1" applyFill="1" applyBorder="1" applyAlignment="1">
      <alignment horizontal="center" vertical="center"/>
    </xf>
    <xf numFmtId="10" fontId="1086" fillId="0" borderId="1" xfId="0" applyNumberFormat="1" applyFont="1" applyFill="1" applyBorder="1" applyAlignment="1">
      <alignment horizontal="center" vertical="center" wrapText="1"/>
    </xf>
    <xf numFmtId="10" fontId="1087" fillId="956" borderId="1" xfId="0" applyNumberFormat="1" applyFont="1" applyFill="1" applyBorder="1" applyAlignment="1">
      <alignment horizontal="center" vertical="center"/>
    </xf>
    <xf numFmtId="10" fontId="1088" fillId="957" borderId="1" xfId="0" applyNumberFormat="1" applyFont="1" applyFill="1" applyBorder="1" applyAlignment="1">
      <alignment horizontal="center" vertical="center"/>
    </xf>
    <xf numFmtId="2" fontId="1089" fillId="958" borderId="1" xfId="0" applyNumberFormat="1" applyFont="1" applyFill="1" applyBorder="1" applyAlignment="1">
      <alignment horizontal="center" vertical="center"/>
    </xf>
    <xf numFmtId="10" fontId="1090" fillId="959" borderId="1" xfId="0" applyNumberFormat="1" applyFont="1" applyFill="1" applyBorder="1" applyAlignment="1">
      <alignment horizontal="center" vertical="center" wrapText="1"/>
    </xf>
    <xf numFmtId="2" fontId="1091" fillId="960" borderId="1" xfId="0" applyNumberFormat="1" applyFont="1" applyFill="1" applyBorder="1" applyAlignment="1">
      <alignment horizontal="center" vertical="center"/>
    </xf>
    <xf numFmtId="10" fontId="1092" fillId="961" borderId="1" xfId="0" applyNumberFormat="1" applyFont="1" applyFill="1" applyBorder="1" applyAlignment="1">
      <alignment horizontal="center" vertical="center"/>
    </xf>
    <xf numFmtId="2" fontId="1093" fillId="0" borderId="1" xfId="0" applyNumberFormat="1" applyFont="1" applyFill="1" applyBorder="1" applyAlignment="1">
      <alignment horizontal="center" vertical="center"/>
    </xf>
    <xf numFmtId="10" fontId="1094" fillId="962" borderId="1" xfId="0" applyNumberFormat="1" applyFont="1" applyFill="1" applyBorder="1" applyAlignment="1">
      <alignment horizontal="center" vertical="center"/>
    </xf>
    <xf numFmtId="2" fontId="1095" fillId="963" borderId="1" xfId="0" applyNumberFormat="1" applyFont="1" applyFill="1" applyBorder="1" applyAlignment="1">
      <alignment horizontal="center" vertical="center"/>
    </xf>
    <xf numFmtId="2" fontId="1096" fillId="964" borderId="1" xfId="0" applyNumberFormat="1" applyFont="1" applyFill="1" applyBorder="1" applyAlignment="1">
      <alignment horizontal="center" vertical="center"/>
    </xf>
    <xf numFmtId="10" fontId="1097" fillId="965" borderId="1" xfId="0" applyNumberFormat="1" applyFont="1" applyFill="1" applyBorder="1" applyAlignment="1">
      <alignment horizontal="center" vertical="center"/>
    </xf>
    <xf numFmtId="2" fontId="1098" fillId="966" borderId="1" xfId="0" applyNumberFormat="1" applyFont="1" applyFill="1" applyBorder="1" applyAlignment="1">
      <alignment horizontal="center" vertical="center" wrapText="1"/>
    </xf>
    <xf numFmtId="10" fontId="1099" fillId="967" borderId="1" xfId="0" applyNumberFormat="1" applyFont="1" applyFill="1" applyBorder="1" applyAlignment="1">
      <alignment horizontal="center" vertical="center"/>
    </xf>
    <xf numFmtId="2" fontId="1100" fillId="968" borderId="1" xfId="0" applyNumberFormat="1" applyFont="1" applyFill="1" applyBorder="1" applyAlignment="1">
      <alignment horizontal="center" vertical="center"/>
    </xf>
    <xf numFmtId="2" fontId="1101" fillId="969" borderId="1" xfId="0" applyNumberFormat="1" applyFont="1" applyFill="1" applyBorder="1" applyAlignment="1">
      <alignment horizontal="center" vertical="center"/>
    </xf>
    <xf numFmtId="10" fontId="1102" fillId="0" borderId="1" xfId="0" applyNumberFormat="1" applyFont="1" applyFill="1" applyBorder="1" applyAlignment="1">
      <alignment horizontal="center" vertical="center"/>
    </xf>
    <xf numFmtId="2" fontId="1103" fillId="0" borderId="1" xfId="0" applyNumberFormat="1" applyFont="1" applyFill="1" applyBorder="1" applyAlignment="1">
      <alignment horizontal="center" vertical="center"/>
    </xf>
    <xf numFmtId="10" fontId="1104" fillId="970" borderId="1" xfId="0" applyNumberFormat="1" applyFont="1" applyFill="1" applyBorder="1" applyAlignment="1">
      <alignment horizontal="center" vertical="center"/>
    </xf>
    <xf numFmtId="10" fontId="1105" fillId="971" borderId="1" xfId="0" applyNumberFormat="1" applyFont="1" applyFill="1" applyBorder="1" applyAlignment="1">
      <alignment horizontal="center" vertical="center"/>
    </xf>
    <xf numFmtId="10" fontId="1106" fillId="972" borderId="1" xfId="0" applyNumberFormat="1" applyFont="1" applyFill="1" applyBorder="1" applyAlignment="1">
      <alignment horizontal="center" vertical="center"/>
    </xf>
    <xf numFmtId="10" fontId="1107" fillId="973" borderId="1" xfId="0" applyNumberFormat="1" applyFont="1" applyFill="1" applyBorder="1" applyAlignment="1">
      <alignment horizontal="center" vertical="center"/>
    </xf>
    <xf numFmtId="10" fontId="1108" fillId="974" borderId="1" xfId="0" applyNumberFormat="1" applyFont="1" applyFill="1" applyBorder="1" applyAlignment="1">
      <alignment horizontal="center" vertical="center"/>
    </xf>
    <xf numFmtId="10" fontId="1109" fillId="975" borderId="1" xfId="0" applyNumberFormat="1" applyFont="1" applyFill="1" applyBorder="1" applyAlignment="1">
      <alignment horizontal="center" vertical="center"/>
    </xf>
    <xf numFmtId="10" fontId="1110" fillId="976" borderId="1" xfId="0" applyNumberFormat="1" applyFont="1" applyFill="1" applyBorder="1" applyAlignment="1">
      <alignment horizontal="center" vertical="center"/>
    </xf>
    <xf numFmtId="10" fontId="1111" fillId="977" borderId="1" xfId="0" applyNumberFormat="1" applyFont="1" applyFill="1" applyBorder="1" applyAlignment="1">
      <alignment horizontal="center" vertical="center"/>
    </xf>
    <xf numFmtId="10" fontId="1112" fillId="978" borderId="1" xfId="0" applyNumberFormat="1" applyFont="1" applyFill="1" applyBorder="1" applyAlignment="1">
      <alignment horizontal="center" vertical="center"/>
    </xf>
    <xf numFmtId="10" fontId="1113" fillId="979" borderId="1" xfId="0" applyNumberFormat="1" applyFont="1" applyFill="1" applyBorder="1" applyAlignment="1">
      <alignment horizontal="center" vertical="center"/>
    </xf>
    <xf numFmtId="10" fontId="1114" fillId="980" borderId="1" xfId="0" applyNumberFormat="1" applyFont="1" applyFill="1" applyBorder="1" applyAlignment="1">
      <alignment horizontal="center" vertical="center"/>
    </xf>
    <xf numFmtId="2" fontId="1115" fillId="981" borderId="1" xfId="0" applyNumberFormat="1" applyFont="1" applyFill="1" applyBorder="1" applyAlignment="1">
      <alignment horizontal="center" vertical="center"/>
    </xf>
    <xf numFmtId="10" fontId="1116" fillId="982" borderId="1" xfId="0" applyNumberFormat="1" applyFont="1" applyFill="1" applyBorder="1" applyAlignment="1">
      <alignment horizontal="center" vertical="center"/>
    </xf>
    <xf numFmtId="2" fontId="1117" fillId="983" borderId="1" xfId="0" applyNumberFormat="1" applyFont="1" applyFill="1" applyBorder="1" applyAlignment="1">
      <alignment horizontal="center" vertical="center"/>
    </xf>
    <xf numFmtId="10" fontId="1118" fillId="0" borderId="1" xfId="0" applyNumberFormat="1" applyFont="1" applyFill="1" applyBorder="1" applyAlignment="1">
      <alignment horizontal="center" vertical="center"/>
    </xf>
    <xf numFmtId="2" fontId="1119" fillId="984" borderId="1" xfId="0" applyNumberFormat="1" applyFont="1" applyFill="1" applyBorder="1" applyAlignment="1">
      <alignment horizontal="center" vertical="center"/>
    </xf>
    <xf numFmtId="2" fontId="1120" fillId="985" borderId="1" xfId="0" applyNumberFormat="1" applyFont="1" applyFill="1" applyBorder="1" applyAlignment="1">
      <alignment horizontal="center" vertical="center"/>
    </xf>
    <xf numFmtId="2" fontId="1121" fillId="986" borderId="1" xfId="0" applyNumberFormat="1" applyFont="1" applyFill="1" applyBorder="1" applyAlignment="1">
      <alignment horizontal="center" vertical="center"/>
    </xf>
    <xf numFmtId="2" fontId="1122" fillId="0" borderId="1" xfId="0" applyNumberFormat="1" applyFont="1" applyFill="1" applyBorder="1" applyAlignment="1">
      <alignment horizontal="center" vertical="center"/>
    </xf>
    <xf numFmtId="10" fontId="1123" fillId="987" borderId="1" xfId="0" applyNumberFormat="1" applyFont="1" applyFill="1" applyBorder="1" applyAlignment="1">
      <alignment horizontal="center" vertical="center"/>
    </xf>
    <xf numFmtId="10" fontId="1124" fillId="988" borderId="1" xfId="0" applyNumberFormat="1" applyFont="1" applyFill="1" applyBorder="1" applyAlignment="1">
      <alignment horizontal="center" vertical="center"/>
    </xf>
    <xf numFmtId="10" fontId="1125" fillId="989" borderId="1" xfId="0" applyNumberFormat="1" applyFont="1" applyFill="1" applyBorder="1" applyAlignment="1">
      <alignment horizontal="center" vertical="center"/>
    </xf>
    <xf numFmtId="2" fontId="1126" fillId="990" borderId="1" xfId="0" applyNumberFormat="1" applyFont="1" applyFill="1" applyBorder="1" applyAlignment="1">
      <alignment horizontal="center" vertical="center"/>
    </xf>
    <xf numFmtId="2" fontId="1127" fillId="991" borderId="1" xfId="0" applyNumberFormat="1" applyFont="1" applyFill="1" applyBorder="1" applyAlignment="1">
      <alignment horizontal="center" vertical="center"/>
    </xf>
    <xf numFmtId="10" fontId="1128" fillId="0" borderId="1" xfId="0" applyNumberFormat="1" applyFont="1" applyFill="1" applyBorder="1" applyAlignment="1">
      <alignment horizontal="center" vertical="center"/>
    </xf>
    <xf numFmtId="2" fontId="1129" fillId="992" borderId="1" xfId="0" applyNumberFormat="1" applyFont="1" applyFill="1" applyBorder="1" applyAlignment="1">
      <alignment horizontal="center" vertical="center"/>
    </xf>
    <xf numFmtId="2" fontId="1130" fillId="993" borderId="1" xfId="0" applyNumberFormat="1" applyFont="1" applyFill="1" applyBorder="1" applyAlignment="1">
      <alignment horizontal="center" vertical="center"/>
    </xf>
    <xf numFmtId="2" fontId="1131" fillId="994" borderId="1" xfId="0" applyNumberFormat="1" applyFont="1" applyFill="1" applyBorder="1" applyAlignment="1">
      <alignment horizontal="center" vertical="center"/>
    </xf>
    <xf numFmtId="2" fontId="1132" fillId="0" borderId="1" xfId="0" applyNumberFormat="1" applyFont="1" applyFill="1" applyBorder="1" applyAlignment="1">
      <alignment horizontal="center" vertical="center"/>
    </xf>
    <xf numFmtId="2" fontId="1133" fillId="995" borderId="1" xfId="0" applyNumberFormat="1" applyFont="1" applyFill="1" applyBorder="1" applyAlignment="1">
      <alignment horizontal="center" vertical="center"/>
    </xf>
    <xf numFmtId="2" fontId="1134" fillId="996" borderId="1" xfId="0" applyNumberFormat="1" applyFont="1" applyFill="1" applyBorder="1" applyAlignment="1">
      <alignment horizontal="center" vertical="center"/>
    </xf>
    <xf numFmtId="10" fontId="1135" fillId="997" borderId="1" xfId="0" applyNumberFormat="1" applyFont="1" applyFill="1" applyBorder="1" applyAlignment="1">
      <alignment horizontal="center" vertical="center"/>
    </xf>
    <xf numFmtId="10" fontId="1136" fillId="0" borderId="1" xfId="0" applyNumberFormat="1" applyFont="1" applyFill="1" applyBorder="1" applyAlignment="1">
      <alignment horizontal="center" vertical="center"/>
    </xf>
    <xf numFmtId="10" fontId="1137" fillId="998" borderId="1" xfId="0" applyNumberFormat="1" applyFont="1" applyFill="1" applyBorder="1" applyAlignment="1">
      <alignment horizontal="center" vertical="center"/>
    </xf>
    <xf numFmtId="2" fontId="1138" fillId="999" borderId="1" xfId="0" applyNumberFormat="1" applyFont="1" applyFill="1" applyBorder="1" applyAlignment="1">
      <alignment horizontal="center" vertical="center"/>
    </xf>
    <xf numFmtId="2" fontId="1139" fillId="1000" borderId="1" xfId="0" applyNumberFormat="1" applyFont="1" applyFill="1" applyBorder="1" applyAlignment="1">
      <alignment horizontal="center" vertical="center"/>
    </xf>
    <xf numFmtId="0" fontId="1140" fillId="0" borderId="1" xfId="0" applyFont="1" applyFill="1" applyBorder="1" applyAlignment="1">
      <alignment horizontal="center" vertical="center"/>
    </xf>
    <xf numFmtId="2" fontId="1141" fillId="0" borderId="1" xfId="0" applyNumberFormat="1" applyFont="1" applyFill="1" applyBorder="1" applyAlignment="1">
      <alignment horizontal="center" vertical="center"/>
    </xf>
    <xf numFmtId="2" fontId="1142" fillId="1001" borderId="1" xfId="0" applyNumberFormat="1" applyFont="1" applyFill="1" applyBorder="1" applyAlignment="1">
      <alignment horizontal="center" vertical="center"/>
    </xf>
    <xf numFmtId="2" fontId="1143" fillId="1002" borderId="1" xfId="0" applyNumberFormat="1" applyFont="1" applyFill="1" applyBorder="1" applyAlignment="1">
      <alignment horizontal="center" vertical="center"/>
    </xf>
    <xf numFmtId="2" fontId="1144" fillId="1003" borderId="1" xfId="0" applyNumberFormat="1" applyFont="1" applyFill="1" applyBorder="1" applyAlignment="1">
      <alignment horizontal="center" vertical="center"/>
    </xf>
    <xf numFmtId="2" fontId="1145" fillId="1004" borderId="1" xfId="0" applyNumberFormat="1" applyFont="1" applyFill="1" applyBorder="1" applyAlignment="1">
      <alignment horizontal="center" vertical="center"/>
    </xf>
    <xf numFmtId="0" fontId="1146" fillId="0" borderId="1" xfId="0" applyFont="1" applyFill="1" applyBorder="1" applyAlignment="1">
      <alignment horizontal="center" vertical="center" wrapText="1"/>
    </xf>
    <xf numFmtId="2" fontId="1147" fillId="0" borderId="1" xfId="0" applyNumberFormat="1" applyFont="1" applyFill="1" applyBorder="1" applyAlignment="1">
      <alignment horizontal="center" vertical="center"/>
    </xf>
    <xf numFmtId="2" fontId="1148" fillId="0" borderId="1" xfId="0" applyNumberFormat="1" applyFont="1" applyFill="1" applyBorder="1" applyAlignment="1">
      <alignment horizontal="center" vertical="center"/>
    </xf>
    <xf numFmtId="2" fontId="1149" fillId="0" borderId="1" xfId="0" applyNumberFormat="1" applyFont="1" applyFill="1" applyBorder="1" applyAlignment="1">
      <alignment horizontal="center" vertical="center"/>
    </xf>
    <xf numFmtId="2" fontId="1150" fillId="1005" borderId="1" xfId="0" applyNumberFormat="1" applyFont="1" applyFill="1" applyBorder="1" applyAlignment="1">
      <alignment horizontal="center" vertical="center"/>
    </xf>
    <xf numFmtId="2" fontId="1151" fillId="1006" borderId="1" xfId="0" applyNumberFormat="1" applyFont="1" applyFill="1" applyBorder="1" applyAlignment="1">
      <alignment horizontal="center" vertical="center"/>
    </xf>
    <xf numFmtId="2" fontId="1152" fillId="1007" borderId="1" xfId="0" applyNumberFormat="1" applyFont="1" applyFill="1" applyBorder="1" applyAlignment="1">
      <alignment horizontal="center" vertical="center"/>
    </xf>
    <xf numFmtId="2" fontId="1153" fillId="1008" borderId="1" xfId="0" applyNumberFormat="1" applyFont="1" applyFill="1" applyBorder="1" applyAlignment="1">
      <alignment horizontal="center" vertical="center"/>
    </xf>
    <xf numFmtId="10" fontId="1154" fillId="1009" borderId="1" xfId="0" applyNumberFormat="1" applyFont="1" applyFill="1" applyBorder="1" applyAlignment="1">
      <alignment horizontal="center" vertical="center"/>
    </xf>
    <xf numFmtId="10" fontId="1155" fillId="1010" borderId="1" xfId="0" applyNumberFormat="1" applyFont="1" applyFill="1" applyBorder="1" applyAlignment="1">
      <alignment horizontal="center" vertical="center"/>
    </xf>
    <xf numFmtId="10" fontId="1156" fillId="1011" borderId="1" xfId="0" applyNumberFormat="1" applyFont="1" applyFill="1" applyBorder="1" applyAlignment="1">
      <alignment horizontal="center" vertical="center"/>
    </xf>
    <xf numFmtId="10" fontId="1157" fillId="1012" borderId="1" xfId="0" applyNumberFormat="1" applyFont="1" applyFill="1" applyBorder="1" applyAlignment="1">
      <alignment horizontal="center" vertical="center"/>
    </xf>
    <xf numFmtId="10" fontId="1158" fillId="1013" borderId="1" xfId="0" applyNumberFormat="1" applyFont="1" applyFill="1" applyBorder="1" applyAlignment="1">
      <alignment horizontal="center" vertical="center"/>
    </xf>
    <xf numFmtId="10" fontId="1159" fillId="1014" borderId="1" xfId="0" applyNumberFormat="1" applyFont="1" applyFill="1" applyBorder="1" applyAlignment="1">
      <alignment horizontal="center" vertical="center"/>
    </xf>
    <xf numFmtId="10" fontId="1160" fillId="1015" borderId="1" xfId="0" applyNumberFormat="1" applyFont="1" applyFill="1" applyBorder="1" applyAlignment="1">
      <alignment horizontal="center" vertical="center"/>
    </xf>
    <xf numFmtId="10" fontId="1161" fillId="1016" borderId="1" xfId="0" applyNumberFormat="1" applyFont="1" applyFill="1" applyBorder="1" applyAlignment="1">
      <alignment horizontal="center" vertical="center"/>
    </xf>
    <xf numFmtId="10" fontId="1162" fillId="0" borderId="1" xfId="0" applyNumberFormat="1" applyFont="1" applyFill="1" applyBorder="1" applyAlignment="1">
      <alignment horizontal="center" vertical="center"/>
    </xf>
    <xf numFmtId="10" fontId="1163" fillId="1017" borderId="1" xfId="0" applyNumberFormat="1" applyFont="1" applyFill="1" applyBorder="1" applyAlignment="1">
      <alignment horizontal="center" vertical="center"/>
    </xf>
    <xf numFmtId="10" fontId="1164" fillId="1018" borderId="1" xfId="0" applyNumberFormat="1" applyFont="1" applyFill="1" applyBorder="1" applyAlignment="1">
      <alignment horizontal="center" vertical="center"/>
    </xf>
    <xf numFmtId="10" fontId="1165" fillId="0" borderId="1" xfId="0" applyNumberFormat="1" applyFont="1" applyFill="1" applyBorder="1" applyAlignment="1">
      <alignment horizontal="center" vertical="center"/>
    </xf>
    <xf numFmtId="10" fontId="1166" fillId="1019" borderId="1" xfId="0" applyNumberFormat="1" applyFont="1" applyFill="1" applyBorder="1" applyAlignment="1">
      <alignment horizontal="center" vertical="center"/>
    </xf>
    <xf numFmtId="10" fontId="1167" fillId="1020" borderId="1" xfId="0" applyNumberFormat="1" applyFont="1" applyFill="1" applyBorder="1" applyAlignment="1">
      <alignment horizontal="center" vertical="center"/>
    </xf>
    <xf numFmtId="10" fontId="1168" fillId="1021" borderId="1" xfId="0" applyNumberFormat="1" applyFont="1" applyFill="1" applyBorder="1" applyAlignment="1">
      <alignment horizontal="center" vertical="center"/>
    </xf>
    <xf numFmtId="10" fontId="1169" fillId="1022" borderId="1" xfId="0" applyNumberFormat="1" applyFont="1" applyFill="1" applyBorder="1" applyAlignment="1">
      <alignment horizontal="center" vertical="center"/>
    </xf>
    <xf numFmtId="10" fontId="1170" fillId="1023" borderId="1" xfId="0" applyNumberFormat="1" applyFont="1" applyFill="1" applyBorder="1" applyAlignment="1">
      <alignment horizontal="center" vertical="center"/>
    </xf>
    <xf numFmtId="10" fontId="1171" fillId="0" borderId="1" xfId="0" applyNumberFormat="1" applyFont="1" applyFill="1" applyBorder="1" applyAlignment="1">
      <alignment horizontal="center" vertical="center"/>
    </xf>
    <xf numFmtId="10" fontId="1172" fillId="1024" borderId="1" xfId="0" applyNumberFormat="1" applyFont="1" applyFill="1" applyBorder="1" applyAlignment="1">
      <alignment horizontal="center" vertical="center"/>
    </xf>
    <xf numFmtId="2" fontId="1173" fillId="1025" borderId="1" xfId="0" applyNumberFormat="1" applyFont="1" applyFill="1" applyBorder="1" applyAlignment="1">
      <alignment horizontal="center" vertical="center"/>
    </xf>
    <xf numFmtId="2" fontId="1174" fillId="1026" borderId="1" xfId="0" applyNumberFormat="1" applyFont="1" applyFill="1" applyBorder="1" applyAlignment="1">
      <alignment horizontal="center" vertical="center"/>
    </xf>
    <xf numFmtId="10" fontId="1175" fillId="1027" borderId="1" xfId="0" applyNumberFormat="1" applyFont="1" applyFill="1" applyBorder="1" applyAlignment="1">
      <alignment horizontal="center" vertical="center"/>
    </xf>
    <xf numFmtId="10" fontId="1176" fillId="1028" borderId="1" xfId="0" applyNumberFormat="1" applyFont="1" applyFill="1" applyBorder="1" applyAlignment="1">
      <alignment horizontal="center" vertical="center"/>
    </xf>
    <xf numFmtId="10" fontId="1177" fillId="0" borderId="1" xfId="0" applyNumberFormat="1" applyFont="1" applyFill="1" applyBorder="1" applyAlignment="1">
      <alignment horizontal="center" vertical="center"/>
    </xf>
    <xf numFmtId="10" fontId="1178" fillId="1029" borderId="1" xfId="0" applyNumberFormat="1" applyFont="1" applyFill="1" applyBorder="1" applyAlignment="1">
      <alignment horizontal="center" vertical="center"/>
    </xf>
    <xf numFmtId="10" fontId="1179" fillId="1030" borderId="1" xfId="0" applyNumberFormat="1" applyFont="1" applyFill="1" applyBorder="1" applyAlignment="1">
      <alignment horizontal="center" vertical="center"/>
    </xf>
    <xf numFmtId="10" fontId="1180" fillId="0" borderId="1" xfId="0" applyNumberFormat="1" applyFont="1" applyFill="1" applyBorder="1" applyAlignment="1">
      <alignment horizontal="center" vertical="center"/>
    </xf>
    <xf numFmtId="10" fontId="1181" fillId="1031" borderId="1" xfId="0" applyNumberFormat="1" applyFont="1" applyFill="1" applyBorder="1" applyAlignment="1">
      <alignment horizontal="center" vertical="center"/>
    </xf>
    <xf numFmtId="10" fontId="1182" fillId="1032" borderId="1" xfId="0" applyNumberFormat="1" applyFont="1" applyFill="1" applyBorder="1" applyAlignment="1">
      <alignment horizontal="center" vertical="center"/>
    </xf>
    <xf numFmtId="10" fontId="1183" fillId="0" borderId="1" xfId="0" applyNumberFormat="1" applyFont="1" applyFill="1" applyBorder="1" applyAlignment="1">
      <alignment horizontal="center" vertical="center"/>
    </xf>
    <xf numFmtId="2" fontId="1184" fillId="1033" borderId="1" xfId="0" applyNumberFormat="1" applyFont="1" applyFill="1" applyBorder="1" applyAlignment="1">
      <alignment horizontal="center" vertical="center"/>
    </xf>
    <xf numFmtId="10" fontId="1185" fillId="0" borderId="1" xfId="0" applyNumberFormat="1" applyFont="1" applyFill="1" applyBorder="1" applyAlignment="1">
      <alignment horizontal="center" vertical="center" wrapText="1"/>
    </xf>
    <xf numFmtId="2" fontId="1186" fillId="0" borderId="1" xfId="0" applyNumberFormat="1" applyFont="1" applyFill="1" applyBorder="1" applyAlignment="1">
      <alignment horizontal="center" vertical="center"/>
    </xf>
    <xf numFmtId="2" fontId="1187" fillId="1034" borderId="1" xfId="0" applyNumberFormat="1" applyFont="1" applyFill="1" applyBorder="1" applyAlignment="1">
      <alignment horizontal="center" vertical="center"/>
    </xf>
    <xf numFmtId="2" fontId="1188" fillId="0" borderId="1" xfId="0" applyNumberFormat="1" applyFont="1" applyFill="1" applyBorder="1" applyAlignment="1">
      <alignment horizontal="center" vertical="center"/>
    </xf>
    <xf numFmtId="2" fontId="1189" fillId="1035" borderId="1" xfId="0" applyNumberFormat="1" applyFont="1" applyFill="1" applyBorder="1" applyAlignment="1">
      <alignment horizontal="center" vertical="center"/>
    </xf>
    <xf numFmtId="2" fontId="1190" fillId="1036" borderId="1" xfId="0" applyNumberFormat="1" applyFont="1" applyFill="1" applyBorder="1" applyAlignment="1">
      <alignment horizontal="center" vertical="center"/>
    </xf>
    <xf numFmtId="2" fontId="1191" fillId="1037" borderId="1" xfId="0" applyNumberFormat="1" applyFont="1" applyFill="1" applyBorder="1" applyAlignment="1">
      <alignment horizontal="center" vertical="center"/>
    </xf>
    <xf numFmtId="10" fontId="1192" fillId="0" borderId="1" xfId="0" applyNumberFormat="1" applyFont="1" applyFill="1" applyBorder="1" applyAlignment="1">
      <alignment horizontal="center" vertical="center"/>
    </xf>
    <xf numFmtId="2" fontId="1193" fillId="1038" borderId="1" xfId="0" applyNumberFormat="1" applyFont="1" applyFill="1" applyBorder="1" applyAlignment="1">
      <alignment horizontal="center" vertical="center"/>
    </xf>
    <xf numFmtId="10" fontId="1194" fillId="1039" borderId="1" xfId="0" applyNumberFormat="1" applyFont="1" applyFill="1" applyBorder="1" applyAlignment="1">
      <alignment horizontal="center" vertical="center"/>
    </xf>
    <xf numFmtId="10" fontId="1195" fillId="0" borderId="1" xfId="0" applyNumberFormat="1" applyFont="1" applyFill="1" applyBorder="1" applyAlignment="1">
      <alignment horizontal="center" vertical="center"/>
    </xf>
    <xf numFmtId="10" fontId="1196" fillId="1040" borderId="1" xfId="0" applyNumberFormat="1" applyFont="1" applyFill="1" applyBorder="1" applyAlignment="1">
      <alignment horizontal="center" vertical="center"/>
    </xf>
    <xf numFmtId="2" fontId="1197" fillId="1041" borderId="1" xfId="0" applyNumberFormat="1" applyFont="1" applyFill="1" applyBorder="1" applyAlignment="1">
      <alignment horizontal="center" vertical="center"/>
    </xf>
    <xf numFmtId="2" fontId="1198" fillId="1042" borderId="1" xfId="0" applyNumberFormat="1" applyFont="1" applyFill="1" applyBorder="1" applyAlignment="1">
      <alignment horizontal="center" vertical="center"/>
    </xf>
    <xf numFmtId="10" fontId="1199" fillId="1043" borderId="1" xfId="0" applyNumberFormat="1" applyFont="1" applyFill="1" applyBorder="1" applyAlignment="1">
      <alignment horizontal="center" vertical="center"/>
    </xf>
    <xf numFmtId="10" fontId="1200" fillId="1044" borderId="1" xfId="0" applyNumberFormat="1" applyFont="1" applyFill="1" applyBorder="1" applyAlignment="1">
      <alignment horizontal="center" vertical="center"/>
    </xf>
    <xf numFmtId="10" fontId="1201" fillId="1045" borderId="1" xfId="0" applyNumberFormat="1" applyFont="1" applyFill="1" applyBorder="1" applyAlignment="1">
      <alignment horizontal="center" vertical="center"/>
    </xf>
    <xf numFmtId="10" fontId="1202" fillId="0" borderId="1" xfId="0" applyNumberFormat="1" applyFont="1" applyFill="1" applyBorder="1" applyAlignment="1">
      <alignment horizontal="center" vertical="center"/>
    </xf>
    <xf numFmtId="10" fontId="1203" fillId="0" borderId="1" xfId="0" applyNumberFormat="1" applyFont="1" applyFill="1" applyBorder="1" applyAlignment="1">
      <alignment horizontal="center" vertical="center"/>
    </xf>
    <xf numFmtId="10" fontId="1204" fillId="1046" borderId="1" xfId="0" applyNumberFormat="1" applyFont="1" applyFill="1" applyBorder="1" applyAlignment="1">
      <alignment horizontal="center" vertical="center"/>
    </xf>
    <xf numFmtId="10" fontId="1205" fillId="1047" borderId="1" xfId="0" applyNumberFormat="1" applyFont="1" applyFill="1" applyBorder="1" applyAlignment="1">
      <alignment horizontal="center" vertical="center"/>
    </xf>
    <xf numFmtId="10" fontId="1206" fillId="1048" borderId="1" xfId="0" applyNumberFormat="1" applyFont="1" applyFill="1" applyBorder="1" applyAlignment="1">
      <alignment horizontal="center" vertical="center" wrapText="1"/>
    </xf>
    <xf numFmtId="10" fontId="1207" fillId="1049" borderId="1" xfId="0" applyNumberFormat="1" applyFont="1" applyFill="1" applyBorder="1" applyAlignment="1">
      <alignment horizontal="center" vertical="center" wrapText="1"/>
    </xf>
    <xf numFmtId="10" fontId="1208" fillId="1050" borderId="1" xfId="0" applyNumberFormat="1" applyFont="1" applyFill="1" applyBorder="1" applyAlignment="1">
      <alignment horizontal="center" vertical="center" wrapText="1"/>
    </xf>
    <xf numFmtId="10" fontId="1209" fillId="1051" borderId="1" xfId="0" applyNumberFormat="1" applyFont="1" applyFill="1" applyBorder="1" applyAlignment="1">
      <alignment horizontal="center" vertical="center"/>
    </xf>
    <xf numFmtId="10" fontId="1210" fillId="1052" borderId="1" xfId="0" applyNumberFormat="1" applyFont="1" applyFill="1" applyBorder="1" applyAlignment="1">
      <alignment horizontal="center" vertical="center"/>
    </xf>
    <xf numFmtId="2" fontId="1211" fillId="1053" borderId="1" xfId="0" applyNumberFormat="1" applyFont="1" applyFill="1" applyBorder="1" applyAlignment="1">
      <alignment horizontal="center" vertical="center"/>
    </xf>
    <xf numFmtId="10" fontId="1212" fillId="1054" borderId="1" xfId="0" applyNumberFormat="1" applyFont="1" applyFill="1" applyBorder="1" applyAlignment="1">
      <alignment horizontal="center" vertical="center"/>
    </xf>
    <xf numFmtId="2" fontId="1213" fillId="1055" borderId="1" xfId="0" applyNumberFormat="1" applyFont="1" applyFill="1" applyBorder="1" applyAlignment="1">
      <alignment horizontal="center" vertical="center"/>
    </xf>
    <xf numFmtId="10" fontId="1214" fillId="1056" borderId="1" xfId="0" applyNumberFormat="1" applyFont="1" applyFill="1" applyBorder="1" applyAlignment="1">
      <alignment horizontal="center" vertical="center"/>
    </xf>
    <xf numFmtId="2" fontId="1215" fillId="0" borderId="1" xfId="0" applyNumberFormat="1" applyFont="1" applyFill="1" applyBorder="1" applyAlignment="1">
      <alignment horizontal="center" vertical="center"/>
    </xf>
    <xf numFmtId="2" fontId="1216" fillId="1057" borderId="1" xfId="0" applyNumberFormat="1" applyFont="1" applyFill="1" applyBorder="1" applyAlignment="1">
      <alignment horizontal="center" vertical="center"/>
    </xf>
    <xf numFmtId="10" fontId="1217" fillId="1058" borderId="1" xfId="0" applyNumberFormat="1" applyFont="1" applyFill="1" applyBorder="1" applyAlignment="1">
      <alignment horizontal="center" vertical="center"/>
    </xf>
    <xf numFmtId="2" fontId="1218" fillId="0" borderId="1" xfId="0" applyNumberFormat="1" applyFont="1" applyFill="1" applyBorder="1" applyAlignment="1">
      <alignment horizontal="center" vertical="center"/>
    </xf>
    <xf numFmtId="2" fontId="1219" fillId="0" borderId="1" xfId="0" applyNumberFormat="1" applyFont="1" applyFill="1" applyBorder="1" applyAlignment="1">
      <alignment horizontal="center" vertical="center"/>
    </xf>
    <xf numFmtId="10" fontId="1220" fillId="0" borderId="1" xfId="0" applyNumberFormat="1" applyFont="1" applyFill="1" applyBorder="1" applyAlignment="1">
      <alignment horizontal="center" vertical="center"/>
    </xf>
    <xf numFmtId="10" fontId="1221" fillId="0" borderId="1" xfId="0" applyNumberFormat="1" applyFont="1" applyFill="1" applyBorder="1" applyAlignment="1">
      <alignment horizontal="center" vertical="center"/>
    </xf>
    <xf numFmtId="10" fontId="1222" fillId="0" borderId="1" xfId="0" applyNumberFormat="1" applyFont="1" applyFill="1" applyBorder="1" applyAlignment="1">
      <alignment horizontal="center" vertical="center"/>
    </xf>
    <xf numFmtId="10" fontId="1223" fillId="1059" borderId="1" xfId="0" applyNumberFormat="1" applyFont="1" applyFill="1" applyBorder="1" applyAlignment="1">
      <alignment horizontal="center" vertical="center"/>
    </xf>
    <xf numFmtId="10" fontId="1224" fillId="1060" borderId="1" xfId="0" applyNumberFormat="1" applyFont="1" applyFill="1" applyBorder="1" applyAlignment="1">
      <alignment horizontal="center" vertical="center"/>
    </xf>
    <xf numFmtId="10" fontId="1225" fillId="0" borderId="1" xfId="0" applyNumberFormat="1" applyFont="1" applyFill="1" applyBorder="1" applyAlignment="1">
      <alignment horizontal="center" vertical="center" wrapText="1"/>
    </xf>
    <xf numFmtId="10" fontId="1226" fillId="1061" borderId="1" xfId="0" applyNumberFormat="1" applyFont="1" applyFill="1" applyBorder="1" applyAlignment="1">
      <alignment horizontal="center" vertical="center"/>
    </xf>
    <xf numFmtId="10" fontId="1227" fillId="1062" borderId="1" xfId="0" applyNumberFormat="1" applyFont="1" applyFill="1" applyBorder="1" applyAlignment="1">
      <alignment horizontal="center" vertical="center"/>
    </xf>
    <xf numFmtId="2" fontId="1228" fillId="1063" borderId="1" xfId="0" applyNumberFormat="1" applyFont="1" applyFill="1" applyBorder="1" applyAlignment="1">
      <alignment horizontal="center" vertical="center"/>
    </xf>
    <xf numFmtId="10" fontId="1229" fillId="1064" borderId="1" xfId="0" applyNumberFormat="1" applyFont="1" applyFill="1" applyBorder="1" applyAlignment="1">
      <alignment horizontal="center" vertical="center" wrapText="1"/>
    </xf>
    <xf numFmtId="2" fontId="1230" fillId="1065" borderId="1" xfId="0" applyNumberFormat="1" applyFont="1" applyFill="1" applyBorder="1" applyAlignment="1">
      <alignment horizontal="center" vertical="center"/>
    </xf>
    <xf numFmtId="10" fontId="1231" fillId="1066" borderId="1" xfId="0" applyNumberFormat="1" applyFont="1" applyFill="1" applyBorder="1" applyAlignment="1">
      <alignment horizontal="center" vertical="center"/>
    </xf>
    <xf numFmtId="2" fontId="1232" fillId="0" borderId="1" xfId="0" applyNumberFormat="1" applyFont="1" applyFill="1" applyBorder="1" applyAlignment="1">
      <alignment horizontal="center" vertical="center"/>
    </xf>
    <xf numFmtId="10" fontId="1233" fillId="1067" borderId="1" xfId="0" applyNumberFormat="1" applyFont="1" applyFill="1" applyBorder="1" applyAlignment="1">
      <alignment horizontal="center" vertical="center"/>
    </xf>
    <xf numFmtId="2" fontId="1234" fillId="1068" borderId="1" xfId="0" applyNumberFormat="1" applyFont="1" applyFill="1" applyBorder="1" applyAlignment="1">
      <alignment horizontal="center" vertical="center"/>
    </xf>
    <xf numFmtId="2" fontId="1235" fillId="1069" borderId="1" xfId="0" applyNumberFormat="1" applyFont="1" applyFill="1" applyBorder="1" applyAlignment="1">
      <alignment horizontal="center" vertical="center"/>
    </xf>
    <xf numFmtId="10" fontId="1236" fillId="1070" borderId="1" xfId="0" applyNumberFormat="1" applyFont="1" applyFill="1" applyBorder="1" applyAlignment="1">
      <alignment horizontal="center" vertical="center"/>
    </xf>
    <xf numFmtId="2" fontId="1237" fillId="1071" borderId="1" xfId="0" applyNumberFormat="1" applyFont="1" applyFill="1" applyBorder="1" applyAlignment="1">
      <alignment horizontal="center" vertical="center" wrapText="1"/>
    </xf>
    <xf numFmtId="10" fontId="1238" fillId="1072" borderId="1" xfId="0" applyNumberFormat="1" applyFont="1" applyFill="1" applyBorder="1" applyAlignment="1">
      <alignment horizontal="center" vertical="center"/>
    </xf>
  </cellXfs>
  <cellStyles count="49">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s>
  <dxfs count="17">
    <dxf>
      <fill>
        <patternFill>
          <bgColor theme="4" tint="0.79998"/>
        </patternFill>
      </fill>
    </dxf>
    <dxf>
      <fill>
        <patternFill>
          <bgColor theme="4" tint="0.79998"/>
        </patternFill>
      </fill>
    </dxf>
    <dxf>
      <font>
        <b/>
        <color theme="1"/>
      </font>
    </dxf>
    <dxf>
      <font>
        <b/>
        <color theme="1"/>
      </font>
    </dxf>
    <dxf>
      <font>
        <b/>
        <color theme="1"/>
      </font>
      <border>
        <top style="double">
          <color theme="4"/>
        </top>
      </border>
    </dxf>
    <dxf>
      <font>
        <b/>
        <color theme="0"/>
      </font>
      <fill>
        <patternFill>
          <bgColor theme="4"/>
        </patternFill>
      </fill>
    </dxf>
    <dxf>
      <font>
        <color theme="1"/>
      </font>
      <border>
        <left style="thin">
          <color theme="4"/>
        </left>
        <right style="thin">
          <color theme="4"/>
        </right>
        <top style="thin">
          <color theme="4"/>
        </top>
        <bottom style="thin">
          <color theme="4"/>
        </bottom>
      </border>
    </dxf>
    <dxf>
      <fill>
        <patternFill>
          <bgColor theme="4" tint="0.79998"/>
        </patternFill>
      </fill>
      <border>
        <bottom style="thin">
          <color theme="4" tint="0.39998"/>
        </bottom>
      </border>
    </dxf>
    <dxf>
      <font>
        <b/>
      </font>
      <fill>
        <patternFill>
          <bgColor theme="4" tint="0.79998"/>
        </patternFill>
      </fill>
      <border>
        <bottom style="thin">
          <color theme="4" tint="0.39998"/>
        </bottom>
      </border>
    </dxf>
    <dxf>
      <font>
        <color theme="1"/>
      </font>
    </dxf>
    <dxf>
      <font>
        <color theme="1"/>
      </font>
      <border>
        <bottom style="thin">
          <color theme="4" tint="0.39998"/>
        </bottom>
      </border>
    </dxf>
    <dxf>
      <font>
        <b/>
        <color theme="1"/>
      </font>
    </dxf>
    <dxf>
      <font>
        <b/>
        <color theme="1"/>
      </font>
      <border>
        <top style="thin">
          <color theme="4"/>
        </top>
        <bottom style="thin">
          <color theme="4"/>
        </bottom>
      </border>
    </dxf>
    <dxf>
      <fill>
        <patternFill>
          <bgColor theme="4" tint="0.79998"/>
        </patternFill>
      </fill>
    </dxf>
    <dxf>
      <fill>
        <patternFill>
          <bgColor theme="4" tint="0.79998"/>
        </patternFill>
      </fill>
    </dxf>
    <dxf>
      <font>
        <b/>
        <color theme="1"/>
      </font>
      <fill>
        <patternFill>
          <bgColor theme="4" tint="0.79998"/>
        </patternFill>
      </fill>
      <border>
        <top style="thin">
          <color theme="4" tint="0.39998"/>
        </top>
        <bottom style="thin">
          <color theme="4" tint="0.39998"/>
        </bottom>
      </border>
    </dxf>
    <dxf>
      <font>
        <b/>
        <color theme="1"/>
      </font>
      <fill>
        <patternFill>
          <bgColor theme="4" tint="0.79998"/>
        </patternFill>
      </fill>
      <border>
        <bottom style="thin">
          <color theme="4" tint="0.39998"/>
        </bottom>
      </border>
    </dxf>
  </dxfs>
</styleSheet>
</file>

<file path=xl/_rels/workbook.xml.rels>&#65279;<?xml version="1.0" encoding="utf-8"?><Relationships xmlns="http://schemas.openxmlformats.org/package/2006/relationships"><Relationship Type="http://schemas.openxmlformats.org/officeDocument/2006/relationships/styles" Target="/xl/styles.xml" Id="Rf5c4905e35ae47c4" /><Relationship Type="http://schemas.openxmlformats.org/officeDocument/2006/relationships/theme" Target="/xl/theme/theme1.xml" Id="R498fc6ad21424fc0" /><Relationship Type="http://schemas.openxmlformats.org/officeDocument/2006/relationships/sharedStrings" Target="/xl/sharedStrings.xml" Id="R95d0723766aa45b0" /><Relationship Type="http://schemas.openxmlformats.org/officeDocument/2006/relationships/worksheet" Target="/xl/worksheets/sheet1.xml" Id="R1dabd27e9ade4e84" /><Relationship Type="http://schemas.openxmlformats.org/officeDocument/2006/relationships/worksheet" Target="/xl/worksheets/sheet2.xml" Id="R86aef99a4cf442c9" /></Relationships>
</file>

<file path=xl/drawings/_rels/drawing1.xml.rels>&#65279;<?xml version="1.0" encoding="utf-8"?><Relationships xmlns="http://schemas.openxmlformats.org/package/2006/relationships"><Relationship Type="http://schemas.openxmlformats.org/officeDocument/2006/relationships/chart" Target="/xl/drawings/charts/chart1.xml" Id="Rcc24b0978fb748f5" /><Relationship Type="http://schemas.openxmlformats.org/officeDocument/2006/relationships/chart" Target="/xl/drawings/charts/chart2.xml" Id="Rd480f5717fd7492e" /><Relationship Type="http://schemas.openxmlformats.org/officeDocument/2006/relationships/chart" Target="/xl/drawings/charts/chart3.xml" Id="Rda4d0779dfc54246" /><Relationship Type="http://schemas.openxmlformats.org/officeDocument/2006/relationships/chart" Target="/xl/drawings/charts/chart4.xml" Id="R016646575dd64832" /><Relationship Type="http://schemas.openxmlformats.org/officeDocument/2006/relationships/chart" Target="/xl/drawings/charts/chart5.xml" Id="R66c90ba2100d40cb" /><Relationship Type="http://schemas.openxmlformats.org/officeDocument/2006/relationships/chart" Target="/xl/drawings/charts/chart6.xml" Id="R842e4d4b888d4465" /><Relationship Type="http://schemas.openxmlformats.org/officeDocument/2006/relationships/chart" Target="/xl/drawings/charts/chart7.xml" Id="R09e54b8a804e48dd" /><Relationship Type="http://schemas.openxmlformats.org/officeDocument/2006/relationships/chart" Target="/xl/drawings/charts/chart8.xml" Id="Ra4369511294a42ce" /><Relationship Type="http://schemas.openxmlformats.org/officeDocument/2006/relationships/chart" Target="/xl/drawings/charts/chart9.xml" Id="Rbb9fc14ccc214f53" /><Relationship Type="http://schemas.openxmlformats.org/officeDocument/2006/relationships/chart" Target="/xl/drawings/charts/chart10.xml" Id="R745c2d3f4d9a4921" /><Relationship Type="http://schemas.openxmlformats.org/officeDocument/2006/relationships/chart" Target="/xl/drawings/charts/chart11.xml" Id="R751edb11c7ab4571" /><Relationship Type="http://schemas.openxmlformats.org/officeDocument/2006/relationships/chart" Target="/xl/drawings/charts/chart12.xml" Id="R8c8d79ca123d4479" /><Relationship Type="http://schemas.openxmlformats.org/officeDocument/2006/relationships/chart" Target="/xl/drawings/charts/chart13.xml" Id="R0579b642aa38435f" /><Relationship Type="http://schemas.openxmlformats.org/officeDocument/2006/relationships/chart" Target="/xl/drawings/charts/chart14.xml" Id="R5821f5c084904258" /><Relationship Type="http://schemas.openxmlformats.org/officeDocument/2006/relationships/chart" Target="/xl/drawings/charts/chart15.xml" Id="Ra56c357f6ffe4eeb" /><Relationship Type="http://schemas.openxmlformats.org/officeDocument/2006/relationships/chart" Target="/xl/drawings/charts/chart16.xml" Id="R3643ccf4e072471b" /><Relationship Type="http://schemas.openxmlformats.org/officeDocument/2006/relationships/chart" Target="/xl/drawings/charts/chart17.xml" Id="R47dadfe955cc4039" /><Relationship Type="http://schemas.openxmlformats.org/officeDocument/2006/relationships/chart" Target="/xl/drawings/charts/chart18.xml" Id="R834e9156ee7e4585" /><Relationship Type="http://schemas.openxmlformats.org/officeDocument/2006/relationships/chart" Target="/xl/drawings/charts/chart19.xml" Id="R6633229cd7344434" /><Relationship Type="http://schemas.openxmlformats.org/officeDocument/2006/relationships/chart" Target="/xl/drawings/charts/chart20.xml" Id="Rc67cc9704b0e4171" /><Relationship Type="http://schemas.openxmlformats.org/officeDocument/2006/relationships/chart" Target="/xl/drawings/charts/chart21.xml" Id="Rc0b8aefdde1a431e" /><Relationship Type="http://schemas.openxmlformats.org/officeDocument/2006/relationships/chart" Target="/xl/drawings/charts/chart22.xml" Id="R20fe09ed34e7406e" /><Relationship Type="http://schemas.openxmlformats.org/officeDocument/2006/relationships/chart" Target="/xl/drawings/charts/chart23.xml" Id="R48d5cff99e6d4813" /><Relationship Type="http://schemas.openxmlformats.org/officeDocument/2006/relationships/chart" Target="/xl/drawings/charts/chart24.xml" Id="R2d6474ead7bf47e1" /><Relationship Type="http://schemas.openxmlformats.org/officeDocument/2006/relationships/chart" Target="/xl/drawings/charts/chart25.xml" Id="R4f5bd89dd7d04f5c" /><Relationship Type="http://schemas.openxmlformats.org/officeDocument/2006/relationships/chart" Target="/xl/drawings/charts/chart26.xml" Id="R2a4385983e02473c" /><Relationship Type="http://schemas.openxmlformats.org/officeDocument/2006/relationships/chart" Target="/xl/drawings/charts/chart27.xml" Id="Rd857af06b3854c00" /><Relationship Type="http://schemas.openxmlformats.org/officeDocument/2006/relationships/chart" Target="/xl/drawings/charts/chart28.xml" Id="R8129a9377e574502" /><Relationship Type="http://schemas.openxmlformats.org/officeDocument/2006/relationships/chart" Target="/xl/drawings/charts/chart29.xml" Id="R981c6b49d2444dba" /><Relationship Type="http://schemas.openxmlformats.org/officeDocument/2006/relationships/chart" Target="/xl/drawings/charts/chart30.xml" Id="R990e7294a3194b33" /><Relationship Type="http://schemas.openxmlformats.org/officeDocument/2006/relationships/chart" Target="/xl/drawings/charts/chart31.xml" Id="R1c3026dea3d4411e" /><Relationship Type="http://schemas.openxmlformats.org/officeDocument/2006/relationships/chart" Target="/xl/drawings/charts/chart32.xml" Id="Rc66878c4c54540a6" /><Relationship Type="http://schemas.openxmlformats.org/officeDocument/2006/relationships/chart" Target="/xl/drawings/charts/chart33.xml" Id="R330257c351cb42a4" /><Relationship Type="http://schemas.openxmlformats.org/officeDocument/2006/relationships/chart" Target="/xl/drawings/charts/chart34.xml" Id="Rdbe88f270fd64917" /><Relationship Type="http://schemas.openxmlformats.org/officeDocument/2006/relationships/chart" Target="/xl/drawings/charts/chart35.xml" Id="R2278facec0d94923" /><Relationship Type="http://schemas.openxmlformats.org/officeDocument/2006/relationships/chart" Target="/xl/drawings/charts/chart36.xml" Id="Re2547c8be1ea4ef3" /><Relationship Type="http://schemas.openxmlformats.org/officeDocument/2006/relationships/chart" Target="/xl/drawings/charts/chart37.xml" Id="Rdc75b0aad3934404" /><Relationship Type="http://schemas.openxmlformats.org/officeDocument/2006/relationships/chart" Target="/xl/drawings/charts/chart38.xml" Id="Rd8018f3a87584a7d" /><Relationship Type="http://schemas.openxmlformats.org/officeDocument/2006/relationships/chart" Target="/xl/drawings/charts/chart39.xml" Id="Rae564a4034174629" /><Relationship Type="http://schemas.openxmlformats.org/officeDocument/2006/relationships/chart" Target="/xl/drawings/charts/chart40.xml" Id="Rb668810fe5074ba6" /><Relationship Type="http://schemas.openxmlformats.org/officeDocument/2006/relationships/chart" Target="/xl/drawings/charts/chart41.xml" Id="R49875421677e41cd" /><Relationship Type="http://schemas.openxmlformats.org/officeDocument/2006/relationships/chart" Target="/xl/drawings/charts/chart42.xml" Id="Red323027d73f465e" /><Relationship Type="http://schemas.openxmlformats.org/officeDocument/2006/relationships/chart" Target="/xl/drawings/charts/chart43.xml" Id="Rbf6e20ca760240f4" /><Relationship Type="http://schemas.openxmlformats.org/officeDocument/2006/relationships/chart" Target="/xl/drawings/charts/chart44.xml" Id="Red01e0b8981f4711" /><Relationship Type="http://schemas.openxmlformats.org/officeDocument/2006/relationships/chart" Target="/xl/drawings/charts/chart45.xml" Id="R22014b9427fa48e0" /><Relationship Type="http://schemas.openxmlformats.org/officeDocument/2006/relationships/chart" Target="/xl/drawings/charts/chart46.xml" Id="R7b709e29fac442b4" /><Relationship Type="http://schemas.openxmlformats.org/officeDocument/2006/relationships/chart" Target="/xl/drawings/charts/chart47.xml" Id="Rbb82d8e535004b34" /><Relationship Type="http://schemas.openxmlformats.org/officeDocument/2006/relationships/chart" Target="/xl/drawings/charts/chart48.xml" Id="R4288d0ffd9424f97" /><Relationship Type="http://schemas.openxmlformats.org/officeDocument/2006/relationships/chart" Target="/xl/drawings/charts/chart49.xml" Id="Rad1604ba2ae04586" /><Relationship Type="http://schemas.openxmlformats.org/officeDocument/2006/relationships/chart" Target="/xl/drawings/charts/chart50.xml" Id="Rc6cff9eb55614e42" /><Relationship Type="http://schemas.openxmlformats.org/officeDocument/2006/relationships/chart" Target="/xl/drawings/charts/chart51.xml" Id="R0d30cdbf746148c5" /><Relationship Type="http://schemas.openxmlformats.org/officeDocument/2006/relationships/chart" Target="/xl/drawings/charts/chart52.xml" Id="R82640bd236f3421f" /><Relationship Type="http://schemas.openxmlformats.org/officeDocument/2006/relationships/chart" Target="/xl/drawings/charts/chart53.xml" Id="R0f28dd2c604248c4" /><Relationship Type="http://schemas.openxmlformats.org/officeDocument/2006/relationships/chart" Target="/xl/drawings/charts/chart54.xml" Id="Reb263e4ff4b44538" /><Relationship Type="http://schemas.openxmlformats.org/officeDocument/2006/relationships/chart" Target="/xl/drawings/charts/chart55.xml" Id="R6420160aa92e490d" /><Relationship Type="http://schemas.openxmlformats.org/officeDocument/2006/relationships/chart" Target="/xl/drawings/charts/chart56.xml" Id="R9815b5fbfea54516" /><Relationship Type="http://schemas.openxmlformats.org/officeDocument/2006/relationships/chart" Target="/xl/drawings/charts/chart57.xml" Id="Rfc794dcdcbae4761" /><Relationship Type="http://schemas.openxmlformats.org/officeDocument/2006/relationships/chart" Target="/xl/drawings/charts/chart58.xml" Id="Rff794b1c494643b7" /><Relationship Type="http://schemas.openxmlformats.org/officeDocument/2006/relationships/chart" Target="/xl/drawings/charts/chart59.xml" Id="R846b19c6ac9e4abc" /><Relationship Type="http://schemas.openxmlformats.org/officeDocument/2006/relationships/chart" Target="/xl/drawings/charts/chart60.xml" Id="Rcd9c413b60654d87" /><Relationship Type="http://schemas.openxmlformats.org/officeDocument/2006/relationships/chart" Target="/xl/drawings/charts/chart61.xml" Id="Rb0f01fb6968f41dd" /><Relationship Type="http://schemas.openxmlformats.org/officeDocument/2006/relationships/chart" Target="/xl/drawings/charts/chart62.xml" Id="R03cb73b78a55447d" /><Relationship Type="http://schemas.openxmlformats.org/officeDocument/2006/relationships/chart" Target="/xl/drawings/charts/chart63.xml" Id="Rc549efae5e9545b8" /><Relationship Type="http://schemas.openxmlformats.org/officeDocument/2006/relationships/chart" Target="/xl/drawings/charts/chart64.xml" Id="Rb434e81abe6345d1" /><Relationship Type="http://schemas.openxmlformats.org/officeDocument/2006/relationships/chart" Target="/xl/drawings/charts/chart65.xml" Id="R125af8d326eb4f74" /><Relationship Type="http://schemas.openxmlformats.org/officeDocument/2006/relationships/chart" Target="/xl/drawings/charts/chart66.xml" Id="R051eb64e35d045bd" /><Relationship Type="http://schemas.openxmlformats.org/officeDocument/2006/relationships/chart" Target="/xl/drawings/charts/chart67.xml" Id="R06412417df0140d0" /><Relationship Type="http://schemas.openxmlformats.org/officeDocument/2006/relationships/chart" Target="/xl/drawings/charts/chart68.xml" Id="Rcc59ddf8ce764b2c" /><Relationship Type="http://schemas.openxmlformats.org/officeDocument/2006/relationships/chart" Target="/xl/drawings/charts/chart69.xml" Id="R73921cb84e714f9b" /><Relationship Type="http://schemas.openxmlformats.org/officeDocument/2006/relationships/chart" Target="/xl/drawings/charts/chart70.xml" Id="Rb35974eee9c741b0" /><Relationship Type="http://schemas.openxmlformats.org/officeDocument/2006/relationships/chart" Target="/xl/drawings/charts/chart71.xml" Id="R27dfa23e6dd54bbb" /><Relationship Type="http://schemas.openxmlformats.org/officeDocument/2006/relationships/chart" Target="/xl/drawings/charts/chart72.xml" Id="Rd1cf10c62da644c6" /><Relationship Type="http://schemas.openxmlformats.org/officeDocument/2006/relationships/chart" Target="/xl/drawings/charts/chart73.xml" Id="R24d93137009a4c30" /><Relationship Type="http://schemas.openxmlformats.org/officeDocument/2006/relationships/chart" Target="/xl/drawings/charts/chart74.xml" Id="R6026714d49ea4054" /><Relationship Type="http://schemas.openxmlformats.org/officeDocument/2006/relationships/chart" Target="/xl/drawings/charts/chart75.xml" Id="R3ff823b029f24963" /><Relationship Type="http://schemas.openxmlformats.org/officeDocument/2006/relationships/chart" Target="/xl/drawings/charts/chart76.xml" Id="Rd350000a18874e31" /><Relationship Type="http://schemas.openxmlformats.org/officeDocument/2006/relationships/chart" Target="/xl/drawings/charts/chart77.xml" Id="R8018f0f3e557470e" /><Relationship Type="http://schemas.openxmlformats.org/officeDocument/2006/relationships/chart" Target="/xl/drawings/charts/chart78.xml" Id="Re809cfc0ca5f4699" /><Relationship Type="http://schemas.openxmlformats.org/officeDocument/2006/relationships/chart" Target="/xl/drawings/charts/chart79.xml" Id="R0f7b126227ed49fd" /><Relationship Type="http://schemas.openxmlformats.org/officeDocument/2006/relationships/chart" Target="/xl/drawings/charts/chart80.xml" Id="R85e9bf265e184bb6" /><Relationship Type="http://schemas.openxmlformats.org/officeDocument/2006/relationships/chart" Target="/xl/drawings/charts/chart81.xml" Id="Rba090b20de61430e" /><Relationship Type="http://schemas.openxmlformats.org/officeDocument/2006/relationships/chart" Target="/xl/drawings/charts/chart82.xml" Id="R02cc18a18df7435a" /><Relationship Type="http://schemas.openxmlformats.org/officeDocument/2006/relationships/chart" Target="/xl/drawings/charts/chart83.xml" Id="R6f23796cbe7b4df1" /><Relationship Type="http://schemas.openxmlformats.org/officeDocument/2006/relationships/chart" Target="/xl/drawings/charts/chart84.xml" Id="R0052b8f46e5644fb" /><Relationship Type="http://schemas.openxmlformats.org/officeDocument/2006/relationships/chart" Target="/xl/drawings/charts/chart85.xml" Id="R4406515f4e664422" /><Relationship Type="http://schemas.openxmlformats.org/officeDocument/2006/relationships/chart" Target="/xl/drawings/charts/chart86.xml" Id="Rf6d19b67114746ac" /><Relationship Type="http://schemas.openxmlformats.org/officeDocument/2006/relationships/chart" Target="/xl/drawings/charts/chart87.xml" Id="Ra846cfff917e4517" /><Relationship Type="http://schemas.openxmlformats.org/officeDocument/2006/relationships/chart" Target="/xl/drawings/charts/chart88.xml" Id="Raf60c0fde6b34fef" /><Relationship Type="http://schemas.openxmlformats.org/officeDocument/2006/relationships/chart" Target="/xl/drawings/charts/chart89.xml" Id="R058e5fa987e54ab8" /><Relationship Type="http://schemas.openxmlformats.org/officeDocument/2006/relationships/chart" Target="/xl/drawings/charts/chart90.xml" Id="R81253b3267b24060" /><Relationship Type="http://schemas.openxmlformats.org/officeDocument/2006/relationships/chart" Target="/xl/drawings/charts/chart91.xml" Id="Rdcd4a00ca3484137" /><Relationship Type="http://schemas.openxmlformats.org/officeDocument/2006/relationships/chart" Target="/xl/drawings/charts/chart92.xml" Id="Rd8ed9434a0b34644" /><Relationship Type="http://schemas.openxmlformats.org/officeDocument/2006/relationships/chart" Target="/xl/drawings/charts/chart93.xml" Id="Rb40867c6ad37414d" /><Relationship Type="http://schemas.openxmlformats.org/officeDocument/2006/relationships/chart" Target="/xl/drawings/charts/chart94.xml" Id="R1296e3ce6cf448d0" /><Relationship Type="http://schemas.openxmlformats.org/officeDocument/2006/relationships/chart" Target="/xl/drawings/charts/chart95.xml" Id="R81bc871702b2429a" /><Relationship Type="http://schemas.openxmlformats.org/officeDocument/2006/relationships/chart" Target="/xl/drawings/charts/chart96.xml" Id="Rc092e818462b484b" /><Relationship Type="http://schemas.openxmlformats.org/officeDocument/2006/relationships/chart" Target="/xl/drawings/charts/chart97.xml" Id="Ra2b5e495c0b6490a" /><Relationship Type="http://schemas.openxmlformats.org/officeDocument/2006/relationships/chart" Target="/xl/drawings/charts/chart98.xml" Id="Rd4b0a151707549e1" /><Relationship Type="http://schemas.openxmlformats.org/officeDocument/2006/relationships/chart" Target="/xl/drawings/charts/chart99.xml" Id="R4fb48ab1aec5420e" /><Relationship Type="http://schemas.openxmlformats.org/officeDocument/2006/relationships/chart" Target="/xl/drawings/charts/chart100.xml" Id="Rf24a970b6579423b" /><Relationship Type="http://schemas.openxmlformats.org/officeDocument/2006/relationships/chart" Target="/xl/drawings/charts/chart101.xml" Id="R99f5779fd7684113" /><Relationship Type="http://schemas.openxmlformats.org/officeDocument/2006/relationships/chart" Target="/xl/drawings/charts/chart102.xml" Id="R1bd9b861b5ab4806" /><Relationship Type="http://schemas.openxmlformats.org/officeDocument/2006/relationships/chart" Target="/xl/drawings/charts/chart103.xml" Id="R173a30c23c9b4c26" /><Relationship Type="http://schemas.openxmlformats.org/officeDocument/2006/relationships/chart" Target="/xl/drawings/charts/chart104.xml" Id="R9da5fcf9d3694347" /><Relationship Type="http://schemas.openxmlformats.org/officeDocument/2006/relationships/chart" Target="/xl/drawings/charts/chart105.xml" Id="R3afd200d4ec54111" /><Relationship Type="http://schemas.openxmlformats.org/officeDocument/2006/relationships/chart" Target="/xl/drawings/charts/chart106.xml" Id="Ra3ba237369f041b6" /><Relationship Type="http://schemas.openxmlformats.org/officeDocument/2006/relationships/chart" Target="/xl/drawings/charts/chart107.xml" Id="R9831146cb0f2440d" /><Relationship Type="http://schemas.openxmlformats.org/officeDocument/2006/relationships/chart" Target="/xl/drawings/charts/chart108.xml" Id="R5467ecfe1303405b" /><Relationship Type="http://schemas.openxmlformats.org/officeDocument/2006/relationships/chart" Target="/xl/drawings/charts/chart109.xml" Id="Rd61dd901150b45a2" /><Relationship Type="http://schemas.openxmlformats.org/officeDocument/2006/relationships/chart" Target="/xl/drawings/charts/chart110.xml" Id="R985aa08270e54eab" /><Relationship Type="http://schemas.openxmlformats.org/officeDocument/2006/relationships/chart" Target="/xl/drawings/charts/chart111.xml" Id="R1ff5b22b14534a5b" /><Relationship Type="http://schemas.openxmlformats.org/officeDocument/2006/relationships/chart" Target="/xl/drawings/charts/chart112.xml" Id="Rec21fdd22f2c47b5" /><Relationship Type="http://schemas.openxmlformats.org/officeDocument/2006/relationships/chart" Target="/xl/drawings/charts/chart113.xml" Id="R803a8482d1874b02" /><Relationship Type="http://schemas.openxmlformats.org/officeDocument/2006/relationships/chart" Target="/xl/drawings/charts/chart114.xml" Id="R28272ba243d34b13" /><Relationship Type="http://schemas.openxmlformats.org/officeDocument/2006/relationships/chart" Target="/xl/drawings/charts/chart115.xml" Id="Rc814b63a41004e6f" /><Relationship Type="http://schemas.openxmlformats.org/officeDocument/2006/relationships/chart" Target="/xl/drawings/charts/chart116.xml" Id="R98b3566403bb4348" /><Relationship Type="http://schemas.openxmlformats.org/officeDocument/2006/relationships/chart" Target="/xl/drawings/charts/chart117.xml" Id="R859eab946cbd4d35" /><Relationship Type="http://schemas.openxmlformats.org/officeDocument/2006/relationships/chart" Target="/xl/drawings/charts/chart118.xml" Id="R272a33843b834996" /><Relationship Type="http://schemas.openxmlformats.org/officeDocument/2006/relationships/chart" Target="/xl/drawings/charts/chart119.xml" Id="R1bdf3e5c95314adc" /><Relationship Type="http://schemas.openxmlformats.org/officeDocument/2006/relationships/chart" Target="/xl/drawings/charts/chart120.xml" Id="Rb3c051fcf88a4b97" /><Relationship Type="http://schemas.openxmlformats.org/officeDocument/2006/relationships/chart" Target="/xl/drawings/charts/chart121.xml" Id="Rd014eed7f8964d96" /><Relationship Type="http://schemas.openxmlformats.org/officeDocument/2006/relationships/chart" Target="/xl/drawings/charts/chart122.xml" Id="Rd45fa04e014b45e3" /><Relationship Type="http://schemas.openxmlformats.org/officeDocument/2006/relationships/chart" Target="/xl/drawings/charts/chart123.xml" Id="Rd0b1693c2000426a" /><Relationship Type="http://schemas.openxmlformats.org/officeDocument/2006/relationships/chart" Target="/xl/drawings/charts/chart124.xml" Id="R8dc83f48bd1a4cca" /><Relationship Type="http://schemas.openxmlformats.org/officeDocument/2006/relationships/chart" Target="/xl/drawings/charts/chart125.xml" Id="Rb328a98b32bc4ef9" /><Relationship Type="http://schemas.openxmlformats.org/officeDocument/2006/relationships/chart" Target="/xl/drawings/charts/chart126.xml" Id="Re97a4249db5d45a0" /><Relationship Type="http://schemas.openxmlformats.org/officeDocument/2006/relationships/chart" Target="/xl/drawings/charts/chart127.xml" Id="Reaa5056669b9434e" /><Relationship Type="http://schemas.openxmlformats.org/officeDocument/2006/relationships/chart" Target="/xl/drawings/charts/chart128.xml" Id="Red3573bf9fc742e4" /><Relationship Type="http://schemas.openxmlformats.org/officeDocument/2006/relationships/chart" Target="/xl/drawings/charts/chart129.xml" Id="R1bfff2c8086b4ba9" /><Relationship Type="http://schemas.openxmlformats.org/officeDocument/2006/relationships/chart" Target="/xl/drawings/charts/chart130.xml" Id="R9efba82dcf284542" /><Relationship Type="http://schemas.openxmlformats.org/officeDocument/2006/relationships/chart" Target="/xl/drawings/charts/chart131.xml" Id="R244191acd66f4fcc" /><Relationship Type="http://schemas.openxmlformats.org/officeDocument/2006/relationships/chart" Target="/xl/drawings/charts/chart132.xml" Id="R4c2976d1e4a9478d" /><Relationship Type="http://schemas.openxmlformats.org/officeDocument/2006/relationships/chart" Target="/xl/drawings/charts/chart133.xml" Id="R2d04786ec08542e1" /><Relationship Type="http://schemas.openxmlformats.org/officeDocument/2006/relationships/chart" Target="/xl/drawings/charts/chart134.xml" Id="Rcbac355923154b25" /><Relationship Type="http://schemas.openxmlformats.org/officeDocument/2006/relationships/chart" Target="/xl/drawings/charts/chart135.xml" Id="Re7cc443d10894f9a" /><Relationship Type="http://schemas.openxmlformats.org/officeDocument/2006/relationships/chart" Target="/xl/drawings/charts/chart136.xml" Id="Rfc22cc2775774b94" /><Relationship Type="http://schemas.openxmlformats.org/officeDocument/2006/relationships/chart" Target="/xl/drawings/charts/chart137.xml" Id="Rcbf0dd9833884396" /><Relationship Type="http://schemas.openxmlformats.org/officeDocument/2006/relationships/chart" Target="/xl/drawings/charts/chart138.xml" Id="Rf6c420777e20444b" /><Relationship Type="http://schemas.openxmlformats.org/officeDocument/2006/relationships/chart" Target="/xl/drawings/charts/chart139.xml" Id="Re81bb4543fa34fa7" /><Relationship Type="http://schemas.openxmlformats.org/officeDocument/2006/relationships/chart" Target="/xl/drawings/charts/chart140.xml" Id="R612c82fc006541fa" /><Relationship Type="http://schemas.openxmlformats.org/officeDocument/2006/relationships/chart" Target="/xl/drawings/charts/chart141.xml" Id="R8c7d70952bab4a7a" /><Relationship Type="http://schemas.openxmlformats.org/officeDocument/2006/relationships/chart" Target="/xl/drawings/charts/chart142.xml" Id="R2b0807269d5b4638" /><Relationship Type="http://schemas.openxmlformats.org/officeDocument/2006/relationships/chart" Target="/xl/drawings/charts/chart143.xml" Id="R9be1408fd65945fc" /><Relationship Type="http://schemas.openxmlformats.org/officeDocument/2006/relationships/chart" Target="/xl/drawings/charts/chart144.xml" Id="R57659dc3beed4621" /><Relationship Type="http://schemas.openxmlformats.org/officeDocument/2006/relationships/chart" Target="/xl/drawings/charts/chart145.xml" Id="R5e47395766ec4213" /><Relationship Type="http://schemas.openxmlformats.org/officeDocument/2006/relationships/chart" Target="/xl/drawings/charts/chart146.xml" Id="Re50a6906e71f4c1f" /><Relationship Type="http://schemas.openxmlformats.org/officeDocument/2006/relationships/chart" Target="/xl/drawings/charts/chart147.xml" Id="R5f479f7ffa4f4ea1" /><Relationship Type="http://schemas.openxmlformats.org/officeDocument/2006/relationships/chart" Target="/xl/drawings/charts/chart148.xml" Id="Rd12b55cd31e44cba" /><Relationship Type="http://schemas.openxmlformats.org/officeDocument/2006/relationships/chart" Target="/xl/drawings/charts/chart149.xml" Id="R3dbc9f5fd3a7487f" /><Relationship Type="http://schemas.openxmlformats.org/officeDocument/2006/relationships/chart" Target="/xl/drawings/charts/chart150.xml" Id="R332b0a554a194438" /><Relationship Type="http://schemas.openxmlformats.org/officeDocument/2006/relationships/chart" Target="/xl/drawings/charts/chart151.xml" Id="Ra172b199fd774cc4" /><Relationship Type="http://schemas.openxmlformats.org/officeDocument/2006/relationships/chart" Target="/xl/drawings/charts/chart152.xml" Id="Redd69449a32b40cc" /><Relationship Type="http://schemas.openxmlformats.org/officeDocument/2006/relationships/chart" Target="/xl/drawings/charts/chart153.xml" Id="Rf60f75d75ab04236" /><Relationship Type="http://schemas.openxmlformats.org/officeDocument/2006/relationships/chart" Target="/xl/drawings/charts/chart154.xml" Id="R36de982f4d644d16" /><Relationship Type="http://schemas.openxmlformats.org/officeDocument/2006/relationships/chart" Target="/xl/drawings/charts/chart155.xml" Id="R538c9bc62b524dbd" /><Relationship Type="http://schemas.openxmlformats.org/officeDocument/2006/relationships/chart" Target="/xl/drawings/charts/chart156.xml" Id="R379545531b1843f2" /><Relationship Type="http://schemas.openxmlformats.org/officeDocument/2006/relationships/chart" Target="/xl/drawings/charts/chart157.xml" Id="R41913f9abefe4316" /><Relationship Type="http://schemas.openxmlformats.org/officeDocument/2006/relationships/chart" Target="/xl/drawings/charts/chart158.xml" Id="R6130c5d52b91416a" /><Relationship Type="http://schemas.openxmlformats.org/officeDocument/2006/relationships/chart" Target="/xl/drawings/charts/chart159.xml" Id="R44b797a6d8854b4e" /><Relationship Type="http://schemas.openxmlformats.org/officeDocument/2006/relationships/chart" Target="/xl/drawings/charts/chart160.xml" Id="R66d50bf07db54e2d" /><Relationship Type="http://schemas.openxmlformats.org/officeDocument/2006/relationships/chart" Target="/xl/drawings/charts/chart161.xml" Id="Rb9c0df0c816e47e9" /><Relationship Type="http://schemas.openxmlformats.org/officeDocument/2006/relationships/chart" Target="/xl/drawings/charts/chart162.xml" Id="R85da38366770413f" /><Relationship Type="http://schemas.openxmlformats.org/officeDocument/2006/relationships/chart" Target="/xl/drawings/charts/chart163.xml" Id="R3c6e84ea5c06432c" /><Relationship Type="http://schemas.openxmlformats.org/officeDocument/2006/relationships/chart" Target="/xl/drawings/charts/chart164.xml" Id="R45e2bc2d1cba4e76" /><Relationship Type="http://schemas.openxmlformats.org/officeDocument/2006/relationships/chart" Target="/xl/drawings/charts/chart165.xml" Id="R6f79ee672d694933" /><Relationship Type="http://schemas.openxmlformats.org/officeDocument/2006/relationships/chart" Target="/xl/drawings/charts/chart166.xml" Id="R22f73e7e83f44040" /><Relationship Type="http://schemas.openxmlformats.org/officeDocument/2006/relationships/chart" Target="/xl/drawings/charts/chart167.xml" Id="Re58253935ff540df" /><Relationship Type="http://schemas.openxmlformats.org/officeDocument/2006/relationships/chart" Target="/xl/drawings/charts/chart168.xml" Id="R43aef9227606449c" /><Relationship Type="http://schemas.openxmlformats.org/officeDocument/2006/relationships/chart" Target="/xl/drawings/charts/chart169.xml" Id="R7af6b153e5764b4a" /><Relationship Type="http://schemas.openxmlformats.org/officeDocument/2006/relationships/chart" Target="/xl/drawings/charts/chart170.xml" Id="R2e3418ad0cd2471d" /><Relationship Type="http://schemas.openxmlformats.org/officeDocument/2006/relationships/chart" Target="/xl/drawings/charts/chart171.xml" Id="R2ec0222d735648e4" /><Relationship Type="http://schemas.openxmlformats.org/officeDocument/2006/relationships/chart" Target="/xl/drawings/charts/chart172.xml" Id="Rc052ad63ead9453a" /><Relationship Type="http://schemas.openxmlformats.org/officeDocument/2006/relationships/chart" Target="/xl/drawings/charts/chart173.xml" Id="Rc3b71dd49cea4d4b" /><Relationship Type="http://schemas.openxmlformats.org/officeDocument/2006/relationships/chart" Target="/xl/drawings/charts/chart174.xml" Id="R7dfc28f0034a473d" /><Relationship Type="http://schemas.openxmlformats.org/officeDocument/2006/relationships/chart" Target="/xl/drawings/charts/chart175.xml" Id="R0a50fe91c1c74ffe" /><Relationship Type="http://schemas.openxmlformats.org/officeDocument/2006/relationships/chart" Target="/xl/drawings/charts/chart176.xml" Id="Rea538a9ee5334399" /><Relationship Type="http://schemas.openxmlformats.org/officeDocument/2006/relationships/chart" Target="/xl/drawings/charts/chart177.xml" Id="R4f52e21e585c4c54" /><Relationship Type="http://schemas.openxmlformats.org/officeDocument/2006/relationships/chart" Target="/xl/drawings/charts/chart178.xml" Id="R951edcbafa3b44d8" /><Relationship Type="http://schemas.openxmlformats.org/officeDocument/2006/relationships/chart" Target="/xl/drawings/charts/chart179.xml" Id="R0dfbfd3fd0ea4f04" /><Relationship Type="http://schemas.openxmlformats.org/officeDocument/2006/relationships/chart" Target="/xl/drawings/charts/chart180.xml" Id="Rf53b3b8b653f4bdb" /><Relationship Type="http://schemas.openxmlformats.org/officeDocument/2006/relationships/chart" Target="/xl/drawings/charts/chart181.xml" Id="Rb5488b3bca4645e5" /><Relationship Type="http://schemas.openxmlformats.org/officeDocument/2006/relationships/chart" Target="/xl/drawings/charts/chart182.xml" Id="Ra7ba03291c9541d1" /><Relationship Type="http://schemas.openxmlformats.org/officeDocument/2006/relationships/chart" Target="/xl/drawings/charts/chart183.xml" Id="R3bffb9d9f8bd43d9" /><Relationship Type="http://schemas.openxmlformats.org/officeDocument/2006/relationships/chart" Target="/xl/drawings/charts/chart184.xml" Id="Rcec986bd8ba44044" /></Relationships>
</file>

<file path=xl/drawings/charts/chart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{1.4,1.4,1.4,1.4,1.4,1.4,1.4,1.4,1.4,1.4,1.4,1.4,1.4,1.4,1.4,1.4,1.4,1.4,1.4,1.4,1.4,1.4,1.4,1.4,1.4,1.4,1.4,1.4,1.4,1.4,1.4,1.4,1.4,1.4,1.4,1.4,1.4,1.4,1.4,1.4,1.4,1.4,1.4,1.4,1.4,1.4,1.4,1.4,1.4,1.4,1.4,1.4,1.4,1.4,1.4,1.4,1.4,1.4,1.4,1.4}</c:f>
              <c:numCache>
                <c:formatCode>General</c:formatCode>
                <c:ptCount val="60"/>
                <c:pt idx="0">
                  <c:v>1.4</c:v>
                </c:pt>
                <c:pt idx="1">
                  <c:v>1.4</c:v>
                </c:pt>
                <c:pt idx="2">
                  <c:v>1.4</c:v>
                </c:pt>
                <c:pt idx="3">
                  <c:v>1.4</c:v>
                </c:pt>
                <c:pt idx="4">
                  <c:v>1.4</c:v>
                </c:pt>
                <c:pt idx="5">
                  <c:v>1.4</c:v>
                </c:pt>
                <c:pt idx="6">
                  <c:v>1.4</c:v>
                </c:pt>
                <c:pt idx="7">
                  <c:v>1.4</c:v>
                </c:pt>
                <c:pt idx="8">
                  <c:v>1.4</c:v>
                </c:pt>
                <c:pt idx="9">
                  <c:v>1.4</c:v>
                </c:pt>
                <c:pt idx="10">
                  <c:v>1.4</c:v>
                </c:pt>
                <c:pt idx="11">
                  <c:v>1.4</c:v>
                </c:pt>
                <c:pt idx="12">
                  <c:v>1.4</c:v>
                </c:pt>
                <c:pt idx="13">
                  <c:v>1.4</c:v>
                </c:pt>
                <c:pt idx="14">
                  <c:v>1.4</c:v>
                </c:pt>
                <c:pt idx="15">
                  <c:v>1.4</c:v>
                </c:pt>
                <c:pt idx="16">
                  <c:v>1.4</c:v>
                </c:pt>
                <c:pt idx="17">
                  <c:v>1.4</c:v>
                </c:pt>
                <c:pt idx="18">
                  <c:v>1.4</c:v>
                </c:pt>
                <c:pt idx="19">
                  <c:v>1.4</c:v>
                </c:pt>
                <c:pt idx="20">
                  <c:v>1.4</c:v>
                </c:pt>
                <c:pt idx="21">
                  <c:v>1.4</c:v>
                </c:pt>
                <c:pt idx="22">
                  <c:v>1.4</c:v>
                </c:pt>
                <c:pt idx="23">
                  <c:v>1.4</c:v>
                </c:pt>
                <c:pt idx="24">
                  <c:v>1.4</c:v>
                </c:pt>
                <c:pt idx="25">
                  <c:v>1.4</c:v>
                </c:pt>
                <c:pt idx="26">
                  <c:v>1.4</c:v>
                </c:pt>
                <c:pt idx="27">
                  <c:v>1.4</c:v>
                </c:pt>
                <c:pt idx="28">
                  <c:v>1.4</c:v>
                </c:pt>
                <c:pt idx="29">
                  <c:v>1.4</c:v>
                </c:pt>
                <c:pt idx="30">
                  <c:v>1.4</c:v>
                </c:pt>
                <c:pt idx="31">
                  <c:v>1.4</c:v>
                </c:pt>
                <c:pt idx="32">
                  <c:v>1.4</c:v>
                </c:pt>
                <c:pt idx="33">
                  <c:v>1.4</c:v>
                </c:pt>
                <c:pt idx="34">
                  <c:v>1.4</c:v>
                </c:pt>
                <c:pt idx="35">
                  <c:v>1.4</c:v>
                </c:pt>
                <c:pt idx="36">
                  <c:v>1.4</c:v>
                </c:pt>
                <c:pt idx="37">
                  <c:v>1.4</c:v>
                </c:pt>
                <c:pt idx="38">
                  <c:v>1.4</c:v>
                </c:pt>
                <c:pt idx="39">
                  <c:v>1.4</c:v>
                </c:pt>
                <c:pt idx="40">
                  <c:v>1.4</c:v>
                </c:pt>
                <c:pt idx="41">
                  <c:v>1.4</c:v>
                </c:pt>
                <c:pt idx="42">
                  <c:v>1.4</c:v>
                </c:pt>
                <c:pt idx="43">
                  <c:v>1.4</c:v>
                </c:pt>
                <c:pt idx="44">
                  <c:v>1.4</c:v>
                </c:pt>
                <c:pt idx="45">
                  <c:v>1.4</c:v>
                </c:pt>
                <c:pt idx="46">
                  <c:v>1.4</c:v>
                </c:pt>
                <c:pt idx="47">
                  <c:v>1.4</c:v>
                </c:pt>
                <c:pt idx="48">
                  <c:v>1.4</c:v>
                </c:pt>
                <c:pt idx="49">
                  <c:v>1.4</c:v>
                </c:pt>
                <c:pt idx="50">
                  <c:v>1.4</c:v>
                </c:pt>
                <c:pt idx="51">
                  <c:v>1.4</c:v>
                </c:pt>
                <c:pt idx="52">
                  <c:v>1.4</c:v>
                </c:pt>
                <c:pt idx="53">
                  <c:v>1.4</c:v>
                </c:pt>
                <c:pt idx="54">
                  <c:v>1.4</c:v>
                </c:pt>
                <c:pt idx="55">
                  <c:v>1.4</c:v>
                </c:pt>
                <c:pt idx="56">
                  <c:v>1.4</c:v>
                </c:pt>
                <c:pt idx="57">
                  <c:v>1.4</c:v>
                </c:pt>
                <c:pt idx="58">
                  <c:v>1.4</c:v>
                </c:pt>
                <c:pt idx="59">
                  <c:v>1.4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{9,9,9,9,9,9,9,9,9,9,9,9}</c:f>
              <c:numCache>
                <c:formatCode>General</c:formatCode>
                <c:ptCount val="12"/>
                <c:pt idx="0">
                  <c:v>9</c:v>
                </c:pt>
                <c:pt idx="1">
                  <c:v>9</c:v>
                </c:pt>
                <c:pt idx="2">
                  <c:v>9</c:v>
                </c:pt>
                <c:pt idx="3">
                  <c:v>9</c:v>
                </c:pt>
                <c:pt idx="4">
                  <c:v>9</c:v>
                </c:pt>
                <c:pt idx="5">
                  <c:v>9</c:v>
                </c:pt>
                <c:pt idx="6">
                  <c:v>9</c:v>
                </c:pt>
                <c:pt idx="7">
                  <c:v>9</c:v>
                </c:pt>
                <c:pt idx="8">
                  <c:v>9</c:v>
                </c:pt>
                <c:pt idx="9">
                  <c:v>9</c:v>
                </c:pt>
                <c:pt idx="10">
                  <c:v>9</c:v>
                </c:pt>
                <c:pt idx="11">
                  <c:v>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{0,10,5,5,0,0,-15,0,40,55,0,45,2180,385,199,1257,-2669,-992,5,5,5,5,-255,-265,0,0,0,495,995,1525,2570,2485,1276,13,-300,-2470,-2488,-1776,-1013,920,2075,1528,1590,1885,1780,2065,2965,2613,595,-3415,750,2422,1225,2315,-190,-1550,-11625,-820,-1685,495}</c:f>
              <c:numCache>
                <c:formatCode>General</c:formatCode>
                <c:ptCount val="60"/>
                <c:pt idx="0">
                  <c:v>0</c:v>
                </c:pt>
                <c:pt idx="1">
                  <c:v>10</c:v>
                </c:pt>
                <c:pt idx="2">
                  <c:v>5</c:v>
                </c:pt>
                <c:pt idx="3">
                  <c:v>5</c:v>
                </c:pt>
                <c:pt idx="4">
                  <c:v>0</c:v>
                </c:pt>
                <c:pt idx="5">
                  <c:v>0</c:v>
                </c:pt>
                <c:pt idx="6">
                  <c:v>-15</c:v>
                </c:pt>
                <c:pt idx="7">
                  <c:v>0</c:v>
                </c:pt>
                <c:pt idx="8">
                  <c:v>40</c:v>
                </c:pt>
                <c:pt idx="9">
                  <c:v>55</c:v>
                </c:pt>
                <c:pt idx="10">
                  <c:v>0</c:v>
                </c:pt>
                <c:pt idx="11">
                  <c:v>45</c:v>
                </c:pt>
                <c:pt idx="12">
                  <c:v>2180</c:v>
                </c:pt>
                <c:pt idx="13">
                  <c:v>385</c:v>
                </c:pt>
                <c:pt idx="14">
                  <c:v>199</c:v>
                </c:pt>
                <c:pt idx="15">
                  <c:v>1257</c:v>
                </c:pt>
                <c:pt idx="16">
                  <c:v>-2669</c:v>
                </c:pt>
                <c:pt idx="17">
                  <c:v>-992</c:v>
                </c:pt>
                <c:pt idx="18">
                  <c:v>5</c:v>
                </c:pt>
                <c:pt idx="19">
                  <c:v>5</c:v>
                </c:pt>
                <c:pt idx="20">
                  <c:v>5</c:v>
                </c:pt>
                <c:pt idx="21">
                  <c:v>5</c:v>
                </c:pt>
                <c:pt idx="22">
                  <c:v>-255</c:v>
                </c:pt>
                <c:pt idx="23">
                  <c:v>-265</c:v>
                </c:pt>
                <c:pt idx="24">
                  <c:v>0</c:v>
                </c:pt>
                <c:pt idx="25">
                  <c:v>0</c:v>
                </c:pt>
                <c:pt idx="26">
                  <c:v>0</c:v>
                </c:pt>
                <c:pt idx="27">
                  <c:v>495</c:v>
                </c:pt>
                <c:pt idx="28">
                  <c:v>995</c:v>
                </c:pt>
                <c:pt idx="29">
                  <c:v>1525</c:v>
                </c:pt>
                <c:pt idx="30">
                  <c:v>2570</c:v>
                </c:pt>
                <c:pt idx="31">
                  <c:v>2485</c:v>
                </c:pt>
                <c:pt idx="32">
                  <c:v>1276</c:v>
                </c:pt>
                <c:pt idx="33">
                  <c:v>13</c:v>
                </c:pt>
                <c:pt idx="34">
                  <c:v>-300</c:v>
                </c:pt>
                <c:pt idx="35">
                  <c:v>-2470</c:v>
                </c:pt>
                <c:pt idx="36">
                  <c:v>-2488</c:v>
                </c:pt>
                <c:pt idx="37">
                  <c:v>-1776</c:v>
                </c:pt>
                <c:pt idx="38">
                  <c:v>-1013</c:v>
                </c:pt>
                <c:pt idx="39">
                  <c:v>920</c:v>
                </c:pt>
                <c:pt idx="40">
                  <c:v>2075</c:v>
                </c:pt>
                <c:pt idx="41">
                  <c:v>1528</c:v>
                </c:pt>
                <c:pt idx="42">
                  <c:v>1590</c:v>
                </c:pt>
                <c:pt idx="43">
                  <c:v>1885</c:v>
                </c:pt>
                <c:pt idx="44">
                  <c:v>1780</c:v>
                </c:pt>
                <c:pt idx="45">
                  <c:v>2065</c:v>
                </c:pt>
                <c:pt idx="46">
                  <c:v>2965</c:v>
                </c:pt>
                <c:pt idx="47">
                  <c:v>2613</c:v>
                </c:pt>
                <c:pt idx="48">
                  <c:v>595</c:v>
                </c:pt>
                <c:pt idx="49">
                  <c:v>-3415</c:v>
                </c:pt>
                <c:pt idx="50">
                  <c:v>750</c:v>
                </c:pt>
                <c:pt idx="51">
                  <c:v>2422</c:v>
                </c:pt>
                <c:pt idx="52">
                  <c:v>1225</c:v>
                </c:pt>
                <c:pt idx="53">
                  <c:v>2315</c:v>
                </c:pt>
                <c:pt idx="54">
                  <c:v>-190</c:v>
                </c:pt>
                <c:pt idx="55">
                  <c:v>-1550</c:v>
                </c:pt>
                <c:pt idx="56">
                  <c:v>-11625</c:v>
                </c:pt>
                <c:pt idx="57">
                  <c:v>-820</c:v>
                </c:pt>
                <c:pt idx="58">
                  <c:v>-1685</c:v>
                </c:pt>
                <c:pt idx="59">
                  <c:v>495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-3501,4600,6566,-6717,-727,1021,10672,-13753,-2265,13011,-705,69,-5365,-4149,13652,1961,-12047,1961,5623,6406,1959,-16423,-2319,781,12008,-15722,6262,5540,-1642,-8480,47,-110,-348,11710,-16550,8128,2295,5805,-7560,12089,380,-7274,-12474,-1011,658,2319,-1702,-3005,-5,140,4021,-3656,-505,3015,6044,-6827,8858,8238,3297,-15870}</c:f>
              <c:numCache>
                <c:formatCode>General</c:formatCode>
                <c:ptCount val="60"/>
                <c:pt idx="0">
                  <c:v>-3501</c:v>
                </c:pt>
                <c:pt idx="1">
                  <c:v>4600</c:v>
                </c:pt>
                <c:pt idx="2">
                  <c:v>6566</c:v>
                </c:pt>
                <c:pt idx="3">
                  <c:v>-6717</c:v>
                </c:pt>
                <c:pt idx="4">
                  <c:v>-727</c:v>
                </c:pt>
                <c:pt idx="5">
                  <c:v>1021</c:v>
                </c:pt>
                <c:pt idx="6">
                  <c:v>10672</c:v>
                </c:pt>
                <c:pt idx="7">
                  <c:v>-13753</c:v>
                </c:pt>
                <c:pt idx="8">
                  <c:v>-2265</c:v>
                </c:pt>
                <c:pt idx="9">
                  <c:v>13011</c:v>
                </c:pt>
                <c:pt idx="10">
                  <c:v>-705</c:v>
                </c:pt>
                <c:pt idx="11">
                  <c:v>69</c:v>
                </c:pt>
                <c:pt idx="12">
                  <c:v>-5365</c:v>
                </c:pt>
                <c:pt idx="13">
                  <c:v>-4149</c:v>
                </c:pt>
                <c:pt idx="14">
                  <c:v>13652</c:v>
                </c:pt>
                <c:pt idx="15">
                  <c:v>1961</c:v>
                </c:pt>
                <c:pt idx="16">
                  <c:v>-12047</c:v>
                </c:pt>
                <c:pt idx="17">
                  <c:v>1961</c:v>
                </c:pt>
                <c:pt idx="18">
                  <c:v>5623</c:v>
                </c:pt>
                <c:pt idx="19">
                  <c:v>6406</c:v>
                </c:pt>
                <c:pt idx="20">
                  <c:v>1959</c:v>
                </c:pt>
                <c:pt idx="21">
                  <c:v>-16423</c:v>
                </c:pt>
                <c:pt idx="22">
                  <c:v>-2319</c:v>
                </c:pt>
                <c:pt idx="23">
                  <c:v>781</c:v>
                </c:pt>
                <c:pt idx="24">
                  <c:v>12008</c:v>
                </c:pt>
                <c:pt idx="25">
                  <c:v>-15722</c:v>
                </c:pt>
                <c:pt idx="26">
                  <c:v>6262</c:v>
                </c:pt>
                <c:pt idx="27">
                  <c:v>5540</c:v>
                </c:pt>
                <c:pt idx="28">
                  <c:v>-1642</c:v>
                </c:pt>
                <c:pt idx="29">
                  <c:v>-8480</c:v>
                </c:pt>
                <c:pt idx="30">
                  <c:v>47</c:v>
                </c:pt>
                <c:pt idx="31">
                  <c:v>-110</c:v>
                </c:pt>
                <c:pt idx="32">
                  <c:v>-348</c:v>
                </c:pt>
                <c:pt idx="33">
                  <c:v>11710</c:v>
                </c:pt>
                <c:pt idx="34">
                  <c:v>-16550</c:v>
                </c:pt>
                <c:pt idx="35">
                  <c:v>8128</c:v>
                </c:pt>
                <c:pt idx="36">
                  <c:v>2295</c:v>
                </c:pt>
                <c:pt idx="37">
                  <c:v>5805</c:v>
                </c:pt>
                <c:pt idx="38">
                  <c:v>-7560</c:v>
                </c:pt>
                <c:pt idx="39">
                  <c:v>12089</c:v>
                </c:pt>
                <c:pt idx="40">
                  <c:v>380</c:v>
                </c:pt>
                <c:pt idx="41">
                  <c:v>-7274</c:v>
                </c:pt>
                <c:pt idx="42">
                  <c:v>-12474</c:v>
                </c:pt>
                <c:pt idx="43">
                  <c:v>-1011</c:v>
                </c:pt>
                <c:pt idx="44">
                  <c:v>658</c:v>
                </c:pt>
                <c:pt idx="45">
                  <c:v>2319</c:v>
                </c:pt>
                <c:pt idx="46">
                  <c:v>-1702</c:v>
                </c:pt>
                <c:pt idx="47">
                  <c:v>-3005</c:v>
                </c:pt>
                <c:pt idx="48">
                  <c:v>-5</c:v>
                </c:pt>
                <c:pt idx="49">
                  <c:v>140</c:v>
                </c:pt>
                <c:pt idx="50">
                  <c:v>4021</c:v>
                </c:pt>
                <c:pt idx="51">
                  <c:v>-3656</c:v>
                </c:pt>
                <c:pt idx="52">
                  <c:v>-505</c:v>
                </c:pt>
                <c:pt idx="53">
                  <c:v>3015</c:v>
                </c:pt>
                <c:pt idx="54">
                  <c:v>6044</c:v>
                </c:pt>
                <c:pt idx="55">
                  <c:v>-6827</c:v>
                </c:pt>
                <c:pt idx="56">
                  <c:v>8858</c:v>
                </c:pt>
                <c:pt idx="57">
                  <c:v>8238</c:v>
                </c:pt>
                <c:pt idx="58">
                  <c:v>3297</c:v>
                </c:pt>
                <c:pt idx="59">
                  <c:v>-15870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{10948}</c:f>
              <c:numCache>
                <c:formatCode>General</c:formatCode>
                <c:ptCount val="1"/>
                <c:pt idx="0">
                  <c:v>10948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{-3,2,19,-24,-3,71,-79,0,8,-7,9,0}</c:f>
              <c:numCache>
                <c:formatCode>General</c:formatCode>
                <c:ptCount val="12"/>
                <c:pt idx="0">
                  <c:v>-3</c:v>
                </c:pt>
                <c:pt idx="1">
                  <c:v>2</c:v>
                </c:pt>
                <c:pt idx="2">
                  <c:v>19</c:v>
                </c:pt>
                <c:pt idx="3">
                  <c:v>-24</c:v>
                </c:pt>
                <c:pt idx="4">
                  <c:v>-3</c:v>
                </c:pt>
                <c:pt idx="5">
                  <c:v>71</c:v>
                </c:pt>
                <c:pt idx="6">
                  <c:v>-79</c:v>
                </c:pt>
                <c:pt idx="7">
                  <c:v>0</c:v>
                </c:pt>
                <c:pt idx="8">
                  <c:v>8</c:v>
                </c:pt>
                <c:pt idx="9">
                  <c:v>-7</c:v>
                </c:pt>
                <c:pt idx="10">
                  <c:v>9</c:v>
                </c:pt>
                <c:pt idx="11">
                  <c:v>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{1000,3000,3000,2000,1000,1000,7000,3000,500,-2000,1000,2000}</c:f>
              <c:numCache>
                <c:formatCode>General</c:formatCode>
                <c:ptCount val="12"/>
                <c:pt idx="0">
                  <c:v>1000</c:v>
                </c:pt>
                <c:pt idx="1">
                  <c:v>3000</c:v>
                </c:pt>
                <c:pt idx="2">
                  <c:v>3000</c:v>
                </c:pt>
                <c:pt idx="3">
                  <c:v>2000</c:v>
                </c:pt>
                <c:pt idx="4">
                  <c:v>1000</c:v>
                </c:pt>
                <c:pt idx="5">
                  <c:v>1000</c:v>
                </c:pt>
                <c:pt idx="6">
                  <c:v>7000</c:v>
                </c:pt>
                <c:pt idx="7">
                  <c:v>3000</c:v>
                </c:pt>
                <c:pt idx="8">
                  <c:v>500</c:v>
                </c:pt>
                <c:pt idx="9">
                  <c:v>-2000</c:v>
                </c:pt>
                <c:pt idx="10">
                  <c:v>1000</c:v>
                </c:pt>
                <c:pt idx="11">
                  <c:v>2000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{-2300,-1608,-883,-55,254,-56,1744,0,0,-2000,-1545,-500}</c:f>
              <c:numCache>
                <c:formatCode>General</c:formatCode>
                <c:ptCount val="12"/>
                <c:pt idx="0">
                  <c:v>-2300</c:v>
                </c:pt>
                <c:pt idx="1">
                  <c:v>-1608</c:v>
                </c:pt>
                <c:pt idx="2">
                  <c:v>-883</c:v>
                </c:pt>
                <c:pt idx="3">
                  <c:v>-55</c:v>
                </c:pt>
                <c:pt idx="4">
                  <c:v>254</c:v>
                </c:pt>
                <c:pt idx="5">
                  <c:v>-56</c:v>
                </c:pt>
                <c:pt idx="6">
                  <c:v>1744</c:v>
                </c:pt>
                <c:pt idx="7">
                  <c:v>0</c:v>
                </c:pt>
                <c:pt idx="8">
                  <c:v>0</c:v>
                </c:pt>
                <c:pt idx="9">
                  <c:v>-2000</c:v>
                </c:pt>
                <c:pt idx="10">
                  <c:v>-1545</c:v>
                </c:pt>
                <c:pt idx="11">
                  <c:v>-500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{-12,1005,-70,-173,1150,1594,641,-76,1728,3667,1129,-1372}</c:f>
              <c:numCache>
                <c:formatCode>General</c:formatCode>
                <c:ptCount val="12"/>
                <c:pt idx="0">
                  <c:v>-12</c:v>
                </c:pt>
                <c:pt idx="1">
                  <c:v>1005</c:v>
                </c:pt>
                <c:pt idx="2">
                  <c:v>-70</c:v>
                </c:pt>
                <c:pt idx="3">
                  <c:v>-173</c:v>
                </c:pt>
                <c:pt idx="4">
                  <c:v>1150</c:v>
                </c:pt>
                <c:pt idx="5">
                  <c:v>1594</c:v>
                </c:pt>
                <c:pt idx="6">
                  <c:v>641</c:v>
                </c:pt>
                <c:pt idx="7">
                  <c:v>-76</c:v>
                </c:pt>
                <c:pt idx="8">
                  <c:v>1728</c:v>
                </c:pt>
                <c:pt idx="9">
                  <c:v>3667</c:v>
                </c:pt>
                <c:pt idx="10">
                  <c:v>1129</c:v>
                </c:pt>
                <c:pt idx="11">
                  <c:v>-1372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1.2178,1.2209,1.2257,1.2258,1.2258,1.2228,1.2205,1.2219,1.2167,1.217,1.2181,1.2171,1.2188,1.2386,1.2397,1.2385,1.3196,1.2691,1.272,1.243,1.2179,1.2188,1.2583,1.267,1.2651,1.2646,1.2659,1.2667,1.2871,1.2897,1.323,1.329,1.3189,1.3152,1.3149,1.3349,1.3242,1.315,1.3229,1.3226,1.3408,1.3675,1.3965,1.3939,1.4046,1.4162,1.4356,1.436,1.4246,1.4317,1.4334,1.455,1.4119,1.4003,1.3702,1.3535,1.3626,1.4153,1.4048,1.3608}</c:f>
              <c:numCache>
                <c:formatCode>General</c:formatCode>
                <c:ptCount val="60"/>
                <c:pt idx="0">
                  <c:v>1.2178</c:v>
                </c:pt>
                <c:pt idx="1">
                  <c:v>1.2209</c:v>
                </c:pt>
                <c:pt idx="2">
                  <c:v>1.2257</c:v>
                </c:pt>
                <c:pt idx="3">
                  <c:v>1.2258</c:v>
                </c:pt>
                <c:pt idx="4">
                  <c:v>1.2258</c:v>
                </c:pt>
                <c:pt idx="5">
                  <c:v>1.2228</c:v>
                </c:pt>
                <c:pt idx="6">
                  <c:v>1.2205</c:v>
                </c:pt>
                <c:pt idx="7">
                  <c:v>1.2219</c:v>
                </c:pt>
                <c:pt idx="8">
                  <c:v>1.2167</c:v>
                </c:pt>
                <c:pt idx="9">
                  <c:v>1.217</c:v>
                </c:pt>
                <c:pt idx="10">
                  <c:v>1.2181</c:v>
                </c:pt>
                <c:pt idx="11">
                  <c:v>1.2171</c:v>
                </c:pt>
                <c:pt idx="12">
                  <c:v>1.2188</c:v>
                </c:pt>
                <c:pt idx="13">
                  <c:v>1.2386</c:v>
                </c:pt>
                <c:pt idx="14">
                  <c:v>1.2397</c:v>
                </c:pt>
                <c:pt idx="15">
                  <c:v>1.2385</c:v>
                </c:pt>
                <c:pt idx="16">
                  <c:v>1.3196</c:v>
                </c:pt>
                <c:pt idx="17">
                  <c:v>1.2691</c:v>
                </c:pt>
                <c:pt idx="18">
                  <c:v>1.272</c:v>
                </c:pt>
                <c:pt idx="19">
                  <c:v>1.243</c:v>
                </c:pt>
                <c:pt idx="20">
                  <c:v>1.2179</c:v>
                </c:pt>
                <c:pt idx="21">
                  <c:v>1.2188</c:v>
                </c:pt>
                <c:pt idx="22">
                  <c:v>1.2583</c:v>
                </c:pt>
                <c:pt idx="23">
                  <c:v>1.267</c:v>
                </c:pt>
                <c:pt idx="24">
                  <c:v>1.2651</c:v>
                </c:pt>
                <c:pt idx="25">
                  <c:v>1.2646</c:v>
                </c:pt>
                <c:pt idx="26">
                  <c:v>1.2659</c:v>
                </c:pt>
                <c:pt idx="27">
                  <c:v>1.2667</c:v>
                </c:pt>
                <c:pt idx="28">
                  <c:v>1.2871</c:v>
                </c:pt>
                <c:pt idx="29">
                  <c:v>1.2897</c:v>
                </c:pt>
                <c:pt idx="30">
                  <c:v>1.323</c:v>
                </c:pt>
                <c:pt idx="31">
                  <c:v>1.329</c:v>
                </c:pt>
                <c:pt idx="32">
                  <c:v>1.3189</c:v>
                </c:pt>
                <c:pt idx="33">
                  <c:v>1.3152</c:v>
                </c:pt>
                <c:pt idx="34">
                  <c:v>1.3149</c:v>
                </c:pt>
                <c:pt idx="35">
                  <c:v>1.3349</c:v>
                </c:pt>
                <c:pt idx="36">
                  <c:v>1.3242</c:v>
                </c:pt>
                <c:pt idx="37">
                  <c:v>1.315</c:v>
                </c:pt>
                <c:pt idx="38">
                  <c:v>1.3229</c:v>
                </c:pt>
                <c:pt idx="39">
                  <c:v>1.3226</c:v>
                </c:pt>
                <c:pt idx="40">
                  <c:v>1.3408</c:v>
                </c:pt>
                <c:pt idx="41">
                  <c:v>1.3675</c:v>
                </c:pt>
                <c:pt idx="42">
                  <c:v>1.3965</c:v>
                </c:pt>
                <c:pt idx="43">
                  <c:v>1.3939</c:v>
                </c:pt>
                <c:pt idx="44">
                  <c:v>1.4046</c:v>
                </c:pt>
                <c:pt idx="45">
                  <c:v>1.4162</c:v>
                </c:pt>
                <c:pt idx="46">
                  <c:v>1.4356</c:v>
                </c:pt>
                <c:pt idx="47">
                  <c:v>1.436</c:v>
                </c:pt>
                <c:pt idx="48">
                  <c:v>1.4246</c:v>
                </c:pt>
                <c:pt idx="49">
                  <c:v>1.4317</c:v>
                </c:pt>
                <c:pt idx="50">
                  <c:v>1.4334</c:v>
                </c:pt>
                <c:pt idx="51">
                  <c:v>1.455</c:v>
                </c:pt>
                <c:pt idx="52">
                  <c:v>1.4119</c:v>
                </c:pt>
                <c:pt idx="53">
                  <c:v>1.4003</c:v>
                </c:pt>
                <c:pt idx="54">
                  <c:v>1.3702</c:v>
                </c:pt>
                <c:pt idx="55">
                  <c:v>1.3535</c:v>
                </c:pt>
                <c:pt idx="56">
                  <c:v>1.3626</c:v>
                </c:pt>
                <c:pt idx="57">
                  <c:v>1.4153</c:v>
                </c:pt>
                <c:pt idx="58">
                  <c:v>1.4048</c:v>
                </c:pt>
                <c:pt idx="59">
                  <c:v>1.3608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1.3235,1.331,1.3233,1.3679,1.3648,1.3664,1.328,1.3201,1.3358,1.3271,1.3202,1.3238,1.3257,1.3611,1.363,1.3729,1.3897,1.3699,1.3724,1.3365,1.2987,1.3401,1.3011,1.2942,1.3021,1.3186,1.3283,1.3214,1.3287,1.328,1.3634,1.3936,1.3752,1.365,1.3578,1.3809,1.3644,1.3442,1.3428,1.3479,1.3822,1.4031,1.4154,1.4152,1.4435,1.4551,1.4671,1.4856,1.4645,1.4606,1.4713,1.4944,1.5434,1.5098,1.4672,1.4531,1.4587,1.4537,1.4278,1.3924}</c:f>
              <c:numCache>
                <c:formatCode>General</c:formatCode>
                <c:ptCount val="60"/>
                <c:pt idx="0">
                  <c:v>1.3235</c:v>
                </c:pt>
                <c:pt idx="1">
                  <c:v>1.331</c:v>
                </c:pt>
                <c:pt idx="2">
                  <c:v>1.3233</c:v>
                </c:pt>
                <c:pt idx="3">
                  <c:v>1.3679</c:v>
                </c:pt>
                <c:pt idx="4">
                  <c:v>1.3648</c:v>
                </c:pt>
                <c:pt idx="5">
                  <c:v>1.3664</c:v>
                </c:pt>
                <c:pt idx="6">
                  <c:v>1.328</c:v>
                </c:pt>
                <c:pt idx="7">
                  <c:v>1.3201</c:v>
                </c:pt>
                <c:pt idx="8">
                  <c:v>1.3358</c:v>
                </c:pt>
                <c:pt idx="9">
                  <c:v>1.3271</c:v>
                </c:pt>
                <c:pt idx="10">
                  <c:v>1.3202</c:v>
                </c:pt>
                <c:pt idx="11">
                  <c:v>1.3238</c:v>
                </c:pt>
                <c:pt idx="12">
                  <c:v>1.3257</c:v>
                </c:pt>
                <c:pt idx="13">
                  <c:v>1.3611</c:v>
                </c:pt>
                <c:pt idx="14">
                  <c:v>1.363</c:v>
                </c:pt>
                <c:pt idx="15">
                  <c:v>1.3729</c:v>
                </c:pt>
                <c:pt idx="16">
                  <c:v>1.3897</c:v>
                </c:pt>
                <c:pt idx="17">
                  <c:v>1.3699</c:v>
                </c:pt>
                <c:pt idx="18">
                  <c:v>1.3724</c:v>
                </c:pt>
                <c:pt idx="19">
                  <c:v>1.3365</c:v>
                </c:pt>
                <c:pt idx="20">
                  <c:v>1.2987</c:v>
                </c:pt>
                <c:pt idx="21">
                  <c:v>1.3401</c:v>
                </c:pt>
                <c:pt idx="22">
                  <c:v>1.3011</c:v>
                </c:pt>
                <c:pt idx="23">
                  <c:v>1.2942</c:v>
                </c:pt>
                <c:pt idx="24">
                  <c:v>1.3021</c:v>
                </c:pt>
                <c:pt idx="25">
                  <c:v>1.3186</c:v>
                </c:pt>
                <c:pt idx="26">
                  <c:v>1.3283</c:v>
                </c:pt>
                <c:pt idx="27">
                  <c:v>1.3214</c:v>
                </c:pt>
                <c:pt idx="28">
                  <c:v>1.3287</c:v>
                </c:pt>
                <c:pt idx="29">
                  <c:v>1.328</c:v>
                </c:pt>
                <c:pt idx="30">
                  <c:v>1.3634</c:v>
                </c:pt>
                <c:pt idx="31">
                  <c:v>1.3936</c:v>
                </c:pt>
                <c:pt idx="32">
                  <c:v>1.3752</c:v>
                </c:pt>
                <c:pt idx="33">
                  <c:v>1.365</c:v>
                </c:pt>
                <c:pt idx="34">
                  <c:v>1.3578</c:v>
                </c:pt>
                <c:pt idx="35">
                  <c:v>1.3809</c:v>
                </c:pt>
                <c:pt idx="36">
                  <c:v>1.3644</c:v>
                </c:pt>
                <c:pt idx="37">
                  <c:v>1.3442</c:v>
                </c:pt>
                <c:pt idx="38">
                  <c:v>1.3428</c:v>
                </c:pt>
                <c:pt idx="39">
                  <c:v>1.3479</c:v>
                </c:pt>
                <c:pt idx="40">
                  <c:v>1.3822</c:v>
                </c:pt>
                <c:pt idx="41">
                  <c:v>1.4031</c:v>
                </c:pt>
                <c:pt idx="42">
                  <c:v>1.4154</c:v>
                </c:pt>
                <c:pt idx="43">
                  <c:v>1.4152</c:v>
                </c:pt>
                <c:pt idx="44">
                  <c:v>1.4435</c:v>
                </c:pt>
                <c:pt idx="45">
                  <c:v>1.4551</c:v>
                </c:pt>
                <c:pt idx="46">
                  <c:v>1.4671</c:v>
                </c:pt>
                <c:pt idx="47">
                  <c:v>1.4856</c:v>
                </c:pt>
                <c:pt idx="48">
                  <c:v>1.4645</c:v>
                </c:pt>
                <c:pt idx="49">
                  <c:v>1.4606</c:v>
                </c:pt>
                <c:pt idx="50">
                  <c:v>1.4713</c:v>
                </c:pt>
                <c:pt idx="51">
                  <c:v>1.4944</c:v>
                </c:pt>
                <c:pt idx="52">
                  <c:v>1.5434</c:v>
                </c:pt>
                <c:pt idx="53">
                  <c:v>1.5098</c:v>
                </c:pt>
                <c:pt idx="54">
                  <c:v>1.4672</c:v>
                </c:pt>
                <c:pt idx="55">
                  <c:v>1.4531</c:v>
                </c:pt>
                <c:pt idx="56">
                  <c:v>1.4587</c:v>
                </c:pt>
                <c:pt idx="57">
                  <c:v>1.4537</c:v>
                </c:pt>
                <c:pt idx="58">
                  <c:v>1.4278</c:v>
                </c:pt>
                <c:pt idx="59">
                  <c:v>1.3924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1.2718,1.2785,1.2869,1.2962,1.2985,1.2941,1.2879,1.2878,1.2858,1.2853,1.2891,1.2902,1.2911,1.3124,1.3129,1.3122,1.3749,1.3456,1.3385,1.2548,1.2257,1.2779,1.2852,1.2873,1.2897,1.2909,1.2978,1.3025,1.3186,1.3248,1.361,1.3735,1.3557,1.3488,1.3485,1.3889,1.3607,1.3508,1.3556,1.3562,1.3864,1.4174,1.4274,1.4212,1.4406,1.4472,1.4646,1.4685,1.4537,1.454,1.4702,1.5066,1.4547,1.4268,1.4015,1.3958,1.5029,1.4696,1.4364,1.3861}</c:f>
              <c:numCache>
                <c:formatCode>General</c:formatCode>
                <c:ptCount val="60"/>
                <c:pt idx="0">
                  <c:v>1.2718</c:v>
                </c:pt>
                <c:pt idx="1">
                  <c:v>1.2785</c:v>
                </c:pt>
                <c:pt idx="2">
                  <c:v>1.2869</c:v>
                </c:pt>
                <c:pt idx="3">
                  <c:v>1.2962</c:v>
                </c:pt>
                <c:pt idx="4">
                  <c:v>1.2985</c:v>
                </c:pt>
                <c:pt idx="5">
                  <c:v>1.2941</c:v>
                </c:pt>
                <c:pt idx="6">
                  <c:v>1.2879</c:v>
                </c:pt>
                <c:pt idx="7">
                  <c:v>1.2878</c:v>
                </c:pt>
                <c:pt idx="8">
                  <c:v>1.2858</c:v>
                </c:pt>
                <c:pt idx="9">
                  <c:v>1.2853</c:v>
                </c:pt>
                <c:pt idx="10">
                  <c:v>1.2891</c:v>
                </c:pt>
                <c:pt idx="11">
                  <c:v>1.2902</c:v>
                </c:pt>
                <c:pt idx="12">
                  <c:v>1.2911</c:v>
                </c:pt>
                <c:pt idx="13">
                  <c:v>1.3124</c:v>
                </c:pt>
                <c:pt idx="14">
                  <c:v>1.3129</c:v>
                </c:pt>
                <c:pt idx="15">
                  <c:v>1.3122</c:v>
                </c:pt>
                <c:pt idx="16">
                  <c:v>1.3749</c:v>
                </c:pt>
                <c:pt idx="17">
                  <c:v>1.3456</c:v>
                </c:pt>
                <c:pt idx="18">
                  <c:v>1.3385</c:v>
                </c:pt>
                <c:pt idx="19">
                  <c:v>1.2548</c:v>
                </c:pt>
                <c:pt idx="20">
                  <c:v>1.2257</c:v>
                </c:pt>
                <c:pt idx="21">
                  <c:v>1.2779</c:v>
                </c:pt>
                <c:pt idx="22">
                  <c:v>1.2852</c:v>
                </c:pt>
                <c:pt idx="23">
                  <c:v>1.2873</c:v>
                </c:pt>
                <c:pt idx="24">
                  <c:v>1.2897</c:v>
                </c:pt>
                <c:pt idx="25">
                  <c:v>1.2909</c:v>
                </c:pt>
                <c:pt idx="26">
                  <c:v>1.2978</c:v>
                </c:pt>
                <c:pt idx="27">
                  <c:v>1.3025</c:v>
                </c:pt>
                <c:pt idx="28">
                  <c:v>1.3186</c:v>
                </c:pt>
                <c:pt idx="29">
                  <c:v>1.3248</c:v>
                </c:pt>
                <c:pt idx="30">
                  <c:v>1.361</c:v>
                </c:pt>
                <c:pt idx="31">
                  <c:v>1.3735</c:v>
                </c:pt>
                <c:pt idx="32">
                  <c:v>1.3557</c:v>
                </c:pt>
                <c:pt idx="33">
                  <c:v>1.3488</c:v>
                </c:pt>
                <c:pt idx="34">
                  <c:v>1.3485</c:v>
                </c:pt>
                <c:pt idx="35">
                  <c:v>1.3889</c:v>
                </c:pt>
                <c:pt idx="36">
                  <c:v>1.3607</c:v>
                </c:pt>
                <c:pt idx="37">
                  <c:v>1.3508</c:v>
                </c:pt>
                <c:pt idx="38">
                  <c:v>1.3556</c:v>
                </c:pt>
                <c:pt idx="39">
                  <c:v>1.3562</c:v>
                </c:pt>
                <c:pt idx="40">
                  <c:v>1.3864</c:v>
                </c:pt>
                <c:pt idx="41">
                  <c:v>1.4174</c:v>
                </c:pt>
                <c:pt idx="42">
                  <c:v>1.4274</c:v>
                </c:pt>
                <c:pt idx="43">
                  <c:v>1.4212</c:v>
                </c:pt>
                <c:pt idx="44">
                  <c:v>1.4406</c:v>
                </c:pt>
                <c:pt idx="45">
                  <c:v>1.4472</c:v>
                </c:pt>
                <c:pt idx="46">
                  <c:v>1.4646</c:v>
                </c:pt>
                <c:pt idx="47">
                  <c:v>1.4685</c:v>
                </c:pt>
                <c:pt idx="48">
                  <c:v>1.4537</c:v>
                </c:pt>
                <c:pt idx="49">
                  <c:v>1.454</c:v>
                </c:pt>
                <c:pt idx="50">
                  <c:v>1.4702</c:v>
                </c:pt>
                <c:pt idx="51">
                  <c:v>1.5066</c:v>
                </c:pt>
                <c:pt idx="52">
                  <c:v>1.4547</c:v>
                </c:pt>
                <c:pt idx="53">
                  <c:v>1.4268</c:v>
                </c:pt>
                <c:pt idx="54">
                  <c:v>1.4015</c:v>
                </c:pt>
                <c:pt idx="55">
                  <c:v>1.3958</c:v>
                </c:pt>
                <c:pt idx="56">
                  <c:v>1.5029</c:v>
                </c:pt>
                <c:pt idx="57">
                  <c:v>1.4696</c:v>
                </c:pt>
                <c:pt idx="58">
                  <c:v>1.4364</c:v>
                </c:pt>
                <c:pt idx="59">
                  <c:v>1.3861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1.3972,1.4011,1.3991,1.4075,1.409,1.4082,1.3995,1.3914,1.391,1.3945,1.3921,1.3869,1.3702,1.3826,1.3885,1.399,1.3998,1.3961,1.3931,1.3678,1.3007,1.3693,1.3489,1.3445,1.3478,1.3565,1.3586,1.3566,1.3599,1.3659,1.3831,1.4034,1.3891,1.3764,1.3782,1.3997,1.376,1.3725,1.3726,1.3767,1.3907,1.4043,1.4132,1.4156,1.4398,1.4625,1.4678,1.484,1.4739,1.4729,1.4807,1.5229,1.5684,1.5429,1.5103,1.5023,1.5268,1.4964,1.4837,1.4225}</c:f>
              <c:numCache>
                <c:formatCode>General</c:formatCode>
                <c:ptCount val="60"/>
                <c:pt idx="0">
                  <c:v>1.3972</c:v>
                </c:pt>
                <c:pt idx="1">
                  <c:v>1.4011</c:v>
                </c:pt>
                <c:pt idx="2">
                  <c:v>1.3991</c:v>
                </c:pt>
                <c:pt idx="3">
                  <c:v>1.4075</c:v>
                </c:pt>
                <c:pt idx="4">
                  <c:v>1.409</c:v>
                </c:pt>
                <c:pt idx="5">
                  <c:v>1.4082</c:v>
                </c:pt>
                <c:pt idx="6">
                  <c:v>1.3995</c:v>
                </c:pt>
                <c:pt idx="7">
                  <c:v>1.3914</c:v>
                </c:pt>
                <c:pt idx="8">
                  <c:v>1.391</c:v>
                </c:pt>
                <c:pt idx="9">
                  <c:v>1.3945</c:v>
                </c:pt>
                <c:pt idx="10">
                  <c:v>1.3921</c:v>
                </c:pt>
                <c:pt idx="11">
                  <c:v>1.3869</c:v>
                </c:pt>
                <c:pt idx="12">
                  <c:v>1.3702</c:v>
                </c:pt>
                <c:pt idx="13">
                  <c:v>1.3826</c:v>
                </c:pt>
                <c:pt idx="14">
                  <c:v>1.3885</c:v>
                </c:pt>
                <c:pt idx="15">
                  <c:v>1.399</c:v>
                </c:pt>
                <c:pt idx="16">
                  <c:v>1.3998</c:v>
                </c:pt>
                <c:pt idx="17">
                  <c:v>1.3961</c:v>
                </c:pt>
                <c:pt idx="18">
                  <c:v>1.3931</c:v>
                </c:pt>
                <c:pt idx="19">
                  <c:v>1.3678</c:v>
                </c:pt>
                <c:pt idx="20">
                  <c:v>1.3007</c:v>
                </c:pt>
                <c:pt idx="21">
                  <c:v>1.3693</c:v>
                </c:pt>
                <c:pt idx="22">
                  <c:v>1.3489</c:v>
                </c:pt>
                <c:pt idx="23">
                  <c:v>1.3445</c:v>
                </c:pt>
                <c:pt idx="24">
                  <c:v>1.3478</c:v>
                </c:pt>
                <c:pt idx="25">
                  <c:v>1.3565</c:v>
                </c:pt>
                <c:pt idx="26">
                  <c:v>1.3586</c:v>
                </c:pt>
                <c:pt idx="27">
                  <c:v>1.3566</c:v>
                </c:pt>
                <c:pt idx="28">
                  <c:v>1.3599</c:v>
                </c:pt>
                <c:pt idx="29">
                  <c:v>1.3659</c:v>
                </c:pt>
                <c:pt idx="30">
                  <c:v>1.3831</c:v>
                </c:pt>
                <c:pt idx="31">
                  <c:v>1.4034</c:v>
                </c:pt>
                <c:pt idx="32">
                  <c:v>1.3891</c:v>
                </c:pt>
                <c:pt idx="33">
                  <c:v>1.3764</c:v>
                </c:pt>
                <c:pt idx="34">
                  <c:v>1.3782</c:v>
                </c:pt>
                <c:pt idx="35">
                  <c:v>1.3997</c:v>
                </c:pt>
                <c:pt idx="36">
                  <c:v>1.376</c:v>
                </c:pt>
                <c:pt idx="37">
                  <c:v>1.3725</c:v>
                </c:pt>
                <c:pt idx="38">
                  <c:v>1.3726</c:v>
                </c:pt>
                <c:pt idx="39">
                  <c:v>1.3767</c:v>
                </c:pt>
                <c:pt idx="40">
                  <c:v>1.3907</c:v>
                </c:pt>
                <c:pt idx="41">
                  <c:v>1.4043</c:v>
                </c:pt>
                <c:pt idx="42">
                  <c:v>1.4132</c:v>
                </c:pt>
                <c:pt idx="43">
                  <c:v>1.4156</c:v>
                </c:pt>
                <c:pt idx="44">
                  <c:v>1.4398</c:v>
                </c:pt>
                <c:pt idx="45">
                  <c:v>1.4625</c:v>
                </c:pt>
                <c:pt idx="46">
                  <c:v>1.4678</c:v>
                </c:pt>
                <c:pt idx="47">
                  <c:v>1.484</c:v>
                </c:pt>
                <c:pt idx="48">
                  <c:v>1.4739</c:v>
                </c:pt>
                <c:pt idx="49">
                  <c:v>1.4729</c:v>
                </c:pt>
                <c:pt idx="50">
                  <c:v>1.4807</c:v>
                </c:pt>
                <c:pt idx="51">
                  <c:v>1.5229</c:v>
                </c:pt>
                <c:pt idx="52">
                  <c:v>1.5684</c:v>
                </c:pt>
                <c:pt idx="53">
                  <c:v>1.5429</c:v>
                </c:pt>
                <c:pt idx="54">
                  <c:v>1.5103</c:v>
                </c:pt>
                <c:pt idx="55">
                  <c:v>1.5023</c:v>
                </c:pt>
                <c:pt idx="56">
                  <c:v>1.5268</c:v>
                </c:pt>
                <c:pt idx="57">
                  <c:v>1.4964</c:v>
                </c:pt>
                <c:pt idx="58">
                  <c:v>1.4837</c:v>
                </c:pt>
                <c:pt idx="59">
                  <c:v>1.4225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{42251,11307,25660,35299,8178,24926,22075,72185,23837,52240,6238,20264}</c:f>
              <c:numCache>
                <c:formatCode>General</c:formatCode>
                <c:ptCount val="12"/>
                <c:pt idx="0">
                  <c:v>42251</c:v>
                </c:pt>
                <c:pt idx="1">
                  <c:v>11307</c:v>
                </c:pt>
                <c:pt idx="2">
                  <c:v>25660</c:v>
                </c:pt>
                <c:pt idx="3">
                  <c:v>35299</c:v>
                </c:pt>
                <c:pt idx="4">
                  <c:v>8178</c:v>
                </c:pt>
                <c:pt idx="5">
                  <c:v>24926</c:v>
                </c:pt>
                <c:pt idx="6">
                  <c:v>22075</c:v>
                </c:pt>
                <c:pt idx="7">
                  <c:v>72185</c:v>
                </c:pt>
                <c:pt idx="8">
                  <c:v>23837</c:v>
                </c:pt>
                <c:pt idx="9">
                  <c:v>52240</c:v>
                </c:pt>
                <c:pt idx="10">
                  <c:v>6238</c:v>
                </c:pt>
                <c:pt idx="11">
                  <c:v>20264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{23600,-4296,6253,16081,-154,4096,9804,49016,8458,31522,-4006,4965}</c:f>
              <c:numCache>
                <c:formatCode>General</c:formatCode>
                <c:ptCount val="12"/>
                <c:pt idx="0">
                  <c:v>23600</c:v>
                </c:pt>
                <c:pt idx="1">
                  <c:v>-4296</c:v>
                </c:pt>
                <c:pt idx="2">
                  <c:v>6253</c:v>
                </c:pt>
                <c:pt idx="3">
                  <c:v>16081</c:v>
                </c:pt>
                <c:pt idx="4">
                  <c:v>-154</c:v>
                </c:pt>
                <c:pt idx="5">
                  <c:v>4096</c:v>
                </c:pt>
                <c:pt idx="6">
                  <c:v>9804</c:v>
                </c:pt>
                <c:pt idx="7">
                  <c:v>49016</c:v>
                </c:pt>
                <c:pt idx="8">
                  <c:v>8458</c:v>
                </c:pt>
                <c:pt idx="9">
                  <c:v>31522</c:v>
                </c:pt>
                <c:pt idx="10">
                  <c:v>-4006</c:v>
                </c:pt>
                <c:pt idx="11">
                  <c:v>4965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{13508,12482,13672,11893,4852,12077,6833,9764,14014,11658,9041,12236}</c:f>
              <c:numCache>
                <c:formatCode>General</c:formatCode>
                <c:ptCount val="12"/>
                <c:pt idx="0">
                  <c:v>13508</c:v>
                </c:pt>
                <c:pt idx="1">
                  <c:v>12482</c:v>
                </c:pt>
                <c:pt idx="2">
                  <c:v>13672</c:v>
                </c:pt>
                <c:pt idx="3">
                  <c:v>11893</c:v>
                </c:pt>
                <c:pt idx="4">
                  <c:v>4852</c:v>
                </c:pt>
                <c:pt idx="5">
                  <c:v>12077</c:v>
                </c:pt>
                <c:pt idx="6">
                  <c:v>6833</c:v>
                </c:pt>
                <c:pt idx="7">
                  <c:v>9764</c:v>
                </c:pt>
                <c:pt idx="8">
                  <c:v>14014</c:v>
                </c:pt>
                <c:pt idx="9">
                  <c:v>11658</c:v>
                </c:pt>
                <c:pt idx="10">
                  <c:v>9041</c:v>
                </c:pt>
                <c:pt idx="11">
                  <c:v>12236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{-1900,-1638,1973,3234,-2895,1488,-1492,6293,-1755,1258,-5284,-685}</c:f>
              <c:numCache>
                <c:formatCode>General</c:formatCode>
                <c:ptCount val="12"/>
                <c:pt idx="0">
                  <c:v>-1900</c:v>
                </c:pt>
                <c:pt idx="1">
                  <c:v>-1638</c:v>
                </c:pt>
                <c:pt idx="2">
                  <c:v>1973</c:v>
                </c:pt>
                <c:pt idx="3">
                  <c:v>3234</c:v>
                </c:pt>
                <c:pt idx="4">
                  <c:v>-2895</c:v>
                </c:pt>
                <c:pt idx="5">
                  <c:v>1488</c:v>
                </c:pt>
                <c:pt idx="6">
                  <c:v>-1492</c:v>
                </c:pt>
                <c:pt idx="7">
                  <c:v>6293</c:v>
                </c:pt>
                <c:pt idx="8">
                  <c:v>-1755</c:v>
                </c:pt>
                <c:pt idx="9">
                  <c:v>1258</c:v>
                </c:pt>
                <c:pt idx="10">
                  <c:v>-5284</c:v>
                </c:pt>
                <c:pt idx="11">
                  <c:v>-685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{2422,2748,1338,136,2500,4145,1541,5033,1522,3910,4520,1680}</c:f>
              <c:numCache>
                <c:formatCode>General</c:formatCode>
                <c:ptCount val="12"/>
                <c:pt idx="0">
                  <c:v>2422</c:v>
                </c:pt>
                <c:pt idx="1">
                  <c:v>2748</c:v>
                </c:pt>
                <c:pt idx="2">
                  <c:v>1338</c:v>
                </c:pt>
                <c:pt idx="3">
                  <c:v>136</c:v>
                </c:pt>
                <c:pt idx="4">
                  <c:v>2500</c:v>
                </c:pt>
                <c:pt idx="5">
                  <c:v>4145</c:v>
                </c:pt>
                <c:pt idx="6">
                  <c:v>1541</c:v>
                </c:pt>
                <c:pt idx="7">
                  <c:v>5033</c:v>
                </c:pt>
                <c:pt idx="8">
                  <c:v>1522</c:v>
                </c:pt>
                <c:pt idx="9">
                  <c:v>3910</c:v>
                </c:pt>
                <c:pt idx="10">
                  <c:v>4520</c:v>
                </c:pt>
                <c:pt idx="11">
                  <c:v>1680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{4.6,5.6,6,7.2,6.2,4.9,3.8,4.9,5.9,5.1,5,5.5}</c:f>
              <c:numCache>
                <c:formatCode>General</c:formatCode>
                <c:ptCount val="12"/>
                <c:pt idx="0">
                  <c:v>4.6</c:v>
                </c:pt>
                <c:pt idx="1">
                  <c:v>5.6</c:v>
                </c:pt>
                <c:pt idx="2">
                  <c:v>6</c:v>
                </c:pt>
                <c:pt idx="3">
                  <c:v>7.2</c:v>
                </c:pt>
                <c:pt idx="4">
                  <c:v>6.2</c:v>
                </c:pt>
                <c:pt idx="5">
                  <c:v>4.9</c:v>
                </c:pt>
                <c:pt idx="6">
                  <c:v>3.8</c:v>
                </c:pt>
                <c:pt idx="7">
                  <c:v>4.9</c:v>
                </c:pt>
                <c:pt idx="8">
                  <c:v>5.9</c:v>
                </c:pt>
                <c:pt idx="9">
                  <c:v>5.1</c:v>
                </c:pt>
                <c:pt idx="10">
                  <c:v>5</c:v>
                </c:pt>
                <c:pt idx="11">
                  <c:v>5.5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{8.3,8.8,8.8,8.4,8.2,8,8.5,9,9,8.5,8.6,8.6}</c:f>
              <c:numCache>
                <c:formatCode>General</c:formatCode>
                <c:ptCount val="12"/>
                <c:pt idx="0">
                  <c:v>8.3</c:v>
                </c:pt>
                <c:pt idx="1">
                  <c:v>8.8</c:v>
                </c:pt>
                <c:pt idx="2">
                  <c:v>8.8</c:v>
                </c:pt>
                <c:pt idx="3">
                  <c:v>8.4</c:v>
                </c:pt>
                <c:pt idx="4">
                  <c:v>8.2</c:v>
                </c:pt>
                <c:pt idx="5">
                  <c:v>8</c:v>
                </c:pt>
                <c:pt idx="6">
                  <c:v>8.5</c:v>
                </c:pt>
                <c:pt idx="7">
                  <c:v>9</c:v>
                </c:pt>
                <c:pt idx="8">
                  <c:v>9</c:v>
                </c:pt>
                <c:pt idx="9">
                  <c:v>8.5</c:v>
                </c:pt>
                <c:pt idx="10">
                  <c:v>8.6</c:v>
                </c:pt>
                <c:pt idx="11">
                  <c:v>8.6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{6.4,4.8,3.7,3.4,3,2.9,1.3,0.9,2.8,1.7,0.2,-0.6}</c:f>
              <c:numCache>
                <c:formatCode>General</c:formatCode>
                <c:ptCount val="12"/>
                <c:pt idx="0">
                  <c:v>6.4</c:v>
                </c:pt>
                <c:pt idx="1">
                  <c:v>4.8</c:v>
                </c:pt>
                <c:pt idx="2">
                  <c:v>3.7</c:v>
                </c:pt>
                <c:pt idx="3">
                  <c:v>3.4</c:v>
                </c:pt>
                <c:pt idx="4">
                  <c:v>3</c:v>
                </c:pt>
                <c:pt idx="5">
                  <c:v>2.9</c:v>
                </c:pt>
                <c:pt idx="6">
                  <c:v>1.3</c:v>
                </c:pt>
                <c:pt idx="7">
                  <c:v>0.9</c:v>
                </c:pt>
                <c:pt idx="8">
                  <c:v>2.8</c:v>
                </c:pt>
                <c:pt idx="9">
                  <c:v>1.7</c:v>
                </c:pt>
                <c:pt idx="10">
                  <c:v>0.2</c:v>
                </c:pt>
                <c:pt idx="11">
                  <c:v>-0.6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{3.7,2.8,1.6,0.5,-0.5,-1.7,-2.6,-3.8,1.8,1.7,-1.6,-4.1}</c:f>
              <c:numCache>
                <c:formatCode>General</c:formatCode>
                <c:ptCount val="12"/>
                <c:pt idx="0">
                  <c:v>3.7</c:v>
                </c:pt>
                <c:pt idx="1">
                  <c:v>2.8</c:v>
                </c:pt>
                <c:pt idx="2">
                  <c:v>1.6</c:v>
                </c:pt>
                <c:pt idx="3">
                  <c:v>0.5</c:v>
                </c:pt>
                <c:pt idx="4">
                  <c:v>-0.5</c:v>
                </c:pt>
                <c:pt idx="5">
                  <c:v>-1.7</c:v>
                </c:pt>
                <c:pt idx="6">
                  <c:v>-2.6</c:v>
                </c:pt>
                <c:pt idx="7">
                  <c:v>-3.8</c:v>
                </c:pt>
                <c:pt idx="8">
                  <c:v>1.8</c:v>
                </c:pt>
                <c:pt idx="9">
                  <c:v>1.7</c:v>
                </c:pt>
                <c:pt idx="10">
                  <c:v>-1.6</c:v>
                </c:pt>
                <c:pt idx="11">
                  <c:v>-4.1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{-2.9,-3.5,-4,-4.7,-5.5,-6.8,-7.8,-8.7,-13.5,-10.4,-10.2,-10.8}</c:f>
              <c:numCache>
                <c:formatCode>General</c:formatCode>
                <c:ptCount val="12"/>
                <c:pt idx="0">
                  <c:v>-2.9</c:v>
                </c:pt>
                <c:pt idx="1">
                  <c:v>-3.5</c:v>
                </c:pt>
                <c:pt idx="2">
                  <c:v>-4</c:v>
                </c:pt>
                <c:pt idx="3">
                  <c:v>-4.7</c:v>
                </c:pt>
                <c:pt idx="4">
                  <c:v>-5.5</c:v>
                </c:pt>
                <c:pt idx="5">
                  <c:v>-6.8</c:v>
                </c:pt>
                <c:pt idx="6">
                  <c:v>-7.8</c:v>
                </c:pt>
                <c:pt idx="7">
                  <c:v>-8.7</c:v>
                </c:pt>
                <c:pt idx="8">
                  <c:v>-13.5</c:v>
                </c:pt>
                <c:pt idx="9">
                  <c:v>-10.4</c:v>
                </c:pt>
                <c:pt idx="10">
                  <c:v>-10.2</c:v>
                </c:pt>
                <c:pt idx="11">
                  <c:v>-10.8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{-6.1,-5.9,-5.5,-5.2,-5.4,-5.7,-6.1,-6.2,-6.3,-6.3,-6.2,-5.9}</c:f>
              <c:numCache>
                <c:formatCode>General</c:formatCode>
                <c:ptCount val="12"/>
                <c:pt idx="0">
                  <c:v>-6.1</c:v>
                </c:pt>
                <c:pt idx="1">
                  <c:v>-5.9</c:v>
                </c:pt>
                <c:pt idx="2">
                  <c:v>-5.5</c:v>
                </c:pt>
                <c:pt idx="3">
                  <c:v>-5.2</c:v>
                </c:pt>
                <c:pt idx="4">
                  <c:v>-5.4</c:v>
                </c:pt>
                <c:pt idx="5">
                  <c:v>-5.7</c:v>
                </c:pt>
                <c:pt idx="6">
                  <c:v>-6.1</c:v>
                </c:pt>
                <c:pt idx="7">
                  <c:v>-6.2</c:v>
                </c:pt>
                <c:pt idx="8">
                  <c:v>-6.3</c:v>
                </c:pt>
                <c:pt idx="9">
                  <c:v>-6.3</c:v>
                </c:pt>
                <c:pt idx="10">
                  <c:v>-6.2</c:v>
                </c:pt>
                <c:pt idx="11">
                  <c:v>-5.9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{5.679733,6.996015,4.235673,8.175012,-1.272919,5.811098,6.457242,10,39.6,2.5,14,19.4}</c:f>
              <c:numCache>
                <c:formatCode>General</c:formatCode>
                <c:ptCount val="12"/>
                <c:pt idx="0">
                  <c:v>5.679733</c:v>
                </c:pt>
                <c:pt idx="1">
                  <c:v>6.996015</c:v>
                </c:pt>
                <c:pt idx="2">
                  <c:v>4.235673</c:v>
                </c:pt>
                <c:pt idx="3">
                  <c:v>8.175012</c:v>
                </c:pt>
                <c:pt idx="4">
                  <c:v>-1.272919</c:v>
                </c:pt>
                <c:pt idx="5">
                  <c:v>5.811098</c:v>
                </c:pt>
                <c:pt idx="6">
                  <c:v>6.457242</c:v>
                </c:pt>
                <c:pt idx="7">
                  <c:v>10</c:v>
                </c:pt>
                <c:pt idx="8">
                  <c:v>39.6</c:v>
                </c:pt>
                <c:pt idx="9">
                  <c:v>2.5</c:v>
                </c:pt>
                <c:pt idx="10">
                  <c:v>14</c:v>
                </c:pt>
                <c:pt idx="11">
                  <c:v>19.4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{49.3,49.4,49.8,49,49.2,50.1,49.3,49,50.4,50.3,50,50.3}</c:f>
              <c:numCache>
                <c:formatCode>General</c:formatCode>
                <c:ptCount val="12"/>
                <c:pt idx="0">
                  <c:v>49.3</c:v>
                </c:pt>
                <c:pt idx="1">
                  <c:v>49.4</c:v>
                </c:pt>
                <c:pt idx="2">
                  <c:v>49.8</c:v>
                </c:pt>
                <c:pt idx="3">
                  <c:v>49</c:v>
                </c:pt>
                <c:pt idx="4">
                  <c:v>49.2</c:v>
                </c:pt>
                <c:pt idx="5">
                  <c:v>50.1</c:v>
                </c:pt>
                <c:pt idx="6">
                  <c:v>49.3</c:v>
                </c:pt>
                <c:pt idx="7">
                  <c:v>49</c:v>
                </c:pt>
                <c:pt idx="8">
                  <c:v>50.4</c:v>
                </c:pt>
                <c:pt idx="9">
                  <c:v>50.3</c:v>
                </c:pt>
                <c:pt idx="10">
                  <c:v>50</c:v>
                </c:pt>
                <c:pt idx="11">
                  <c:v>50.3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{49.4,49.5,49.7,48.8,49.2,50.8,49.2,48.6,51.6,50.6,49.9,51.2}</c:f>
              <c:numCache>
                <c:formatCode>General</c:formatCode>
                <c:ptCount val="12"/>
                <c:pt idx="0">
                  <c:v>49.4</c:v>
                </c:pt>
                <c:pt idx="1">
                  <c:v>49.5</c:v>
                </c:pt>
                <c:pt idx="2">
                  <c:v>49.7</c:v>
                </c:pt>
                <c:pt idx="3">
                  <c:v>48.8</c:v>
                </c:pt>
                <c:pt idx="4">
                  <c:v>49.2</c:v>
                </c:pt>
                <c:pt idx="5">
                  <c:v>50.8</c:v>
                </c:pt>
                <c:pt idx="6">
                  <c:v>49.2</c:v>
                </c:pt>
                <c:pt idx="7">
                  <c:v>48.6</c:v>
                </c:pt>
                <c:pt idx="8">
                  <c:v>51.6</c:v>
                </c:pt>
                <c:pt idx="9">
                  <c:v>50.6</c:v>
                </c:pt>
                <c:pt idx="10">
                  <c:v>49.9</c:v>
                </c:pt>
                <c:pt idx="11">
                  <c:v>51.2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{50.5,50.8,51.9,49.7,50,51.7,50.6,49.6,51.4,51.5,51.2,51.4}</c:f>
              <c:numCache>
                <c:formatCode>General</c:formatCode>
                <c:ptCount val="12"/>
                <c:pt idx="0">
                  <c:v>50.5</c:v>
                </c:pt>
                <c:pt idx="1">
                  <c:v>50.8</c:v>
                </c:pt>
                <c:pt idx="2">
                  <c:v>51.9</c:v>
                </c:pt>
                <c:pt idx="3">
                  <c:v>49.7</c:v>
                </c:pt>
                <c:pt idx="4">
                  <c:v>50</c:v>
                </c:pt>
                <c:pt idx="5">
                  <c:v>51.7</c:v>
                </c:pt>
                <c:pt idx="6">
                  <c:v>50.6</c:v>
                </c:pt>
                <c:pt idx="7">
                  <c:v>49.6</c:v>
                </c:pt>
                <c:pt idx="8">
                  <c:v>51.4</c:v>
                </c:pt>
                <c:pt idx="9">
                  <c:v>51.5</c:v>
                </c:pt>
                <c:pt idx="10">
                  <c:v>51.2</c:v>
                </c:pt>
                <c:pt idx="11">
                  <c:v>51.4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2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{50.1,50.3,50,50.1,49.5,50.2,49.4,49.5,50.1,49.4,50.1,50.2}</c:f>
              <c:numCache>
                <c:formatCode>General</c:formatCode>
                <c:ptCount val="12"/>
                <c:pt idx="0">
                  <c:v>50.1</c:v>
                </c:pt>
                <c:pt idx="1">
                  <c:v>50.3</c:v>
                </c:pt>
                <c:pt idx="2">
                  <c:v>50</c:v>
                </c:pt>
                <c:pt idx="3">
                  <c:v>50.1</c:v>
                </c:pt>
                <c:pt idx="4">
                  <c:v>49.5</c:v>
                </c:pt>
                <c:pt idx="5">
                  <c:v>50.2</c:v>
                </c:pt>
                <c:pt idx="6">
                  <c:v>49.4</c:v>
                </c:pt>
                <c:pt idx="7">
                  <c:v>49.5</c:v>
                </c:pt>
                <c:pt idx="8">
                  <c:v>50.1</c:v>
                </c:pt>
                <c:pt idx="9">
                  <c:v>49.4</c:v>
                </c:pt>
                <c:pt idx="10">
                  <c:v>50.1</c:v>
                </c:pt>
                <c:pt idx="11">
                  <c:v>50.2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{6.8,5.7,5.2,6.5,4.9,4.8,5.2,6.3,6.3,5.7,4.1,4.5}</c:f>
              <c:numCache>
                <c:formatCode>General</c:formatCode>
                <c:ptCount val="12"/>
                <c:pt idx="0">
                  <c:v>6.8</c:v>
                </c:pt>
                <c:pt idx="1">
                  <c:v>5.7</c:v>
                </c:pt>
                <c:pt idx="2">
                  <c:v>5.2</c:v>
                </c:pt>
                <c:pt idx="3">
                  <c:v>6.5</c:v>
                </c:pt>
                <c:pt idx="4">
                  <c:v>4.9</c:v>
                </c:pt>
                <c:pt idx="5">
                  <c:v>4.8</c:v>
                </c:pt>
                <c:pt idx="6">
                  <c:v>5.2</c:v>
                </c:pt>
                <c:pt idx="7">
                  <c:v>6.3</c:v>
                </c:pt>
                <c:pt idx="8">
                  <c:v>6.3</c:v>
                </c:pt>
                <c:pt idx="9">
                  <c:v>5.7</c:v>
                </c:pt>
                <c:pt idx="10">
                  <c:v>4.1</c:v>
                </c:pt>
                <c:pt idx="11">
                  <c:v>4.5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{-3.6,-3.6,-2.9,-2.3,-2.1,-2.2,-1.9,-1.4,-0.9,0.5,2.8,3.9}</c:f>
              <c:numCache>
                <c:formatCode>General</c:formatCode>
                <c:ptCount val="12"/>
                <c:pt idx="0">
                  <c:v>-3.6</c:v>
                </c:pt>
                <c:pt idx="1">
                  <c:v>-3.6</c:v>
                </c:pt>
                <c:pt idx="2">
                  <c:v>-2.9</c:v>
                </c:pt>
                <c:pt idx="3">
                  <c:v>-2.3</c:v>
                </c:pt>
                <c:pt idx="4">
                  <c:v>-2.1</c:v>
                </c:pt>
                <c:pt idx="5">
                  <c:v>-2.2</c:v>
                </c:pt>
                <c:pt idx="6">
                  <c:v>-1.9</c:v>
                </c:pt>
                <c:pt idx="7">
                  <c:v>-1.4</c:v>
                </c:pt>
                <c:pt idx="8">
                  <c:v>-0.9</c:v>
                </c:pt>
                <c:pt idx="9">
                  <c:v>0.5</c:v>
                </c:pt>
                <c:pt idx="10">
                  <c:v>2.8</c:v>
                </c:pt>
                <c:pt idx="11">
                  <c:v>3.9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{0.1,0,-0.4,-0.3,0.2,0.7,0.8,0.2,1.3,1,1.2,1.2}</c:f>
              <c:numCache>
                <c:formatCode>General</c:formatCode>
                <c:ptCount val="12"/>
                <c:pt idx="0">
                  <c:v>0.1</c:v>
                </c:pt>
                <c:pt idx="1">
                  <c:v>0</c:v>
                </c:pt>
                <c:pt idx="2">
                  <c:v>-0.4</c:v>
                </c:pt>
                <c:pt idx="3">
                  <c:v>-0.3</c:v>
                </c:pt>
                <c:pt idx="4">
                  <c:v>0.2</c:v>
                </c:pt>
                <c:pt idx="5">
                  <c:v>0.7</c:v>
                </c:pt>
                <c:pt idx="6">
                  <c:v>0.8</c:v>
                </c:pt>
                <c:pt idx="7">
                  <c:v>0.2</c:v>
                </c:pt>
                <c:pt idx="8">
                  <c:v>1.3</c:v>
                </c:pt>
                <c:pt idx="9">
                  <c:v>1</c:v>
                </c:pt>
                <c:pt idx="10">
                  <c:v>1.2</c:v>
                </c:pt>
                <c:pt idx="11">
                  <c:v>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{51.5,53.3,53.2,52.5,53.6,53.1,56.1,54.8,63.9,63.7,60.5,54.2}</c:f>
              <c:numCache>
                <c:formatCode>General</c:formatCode>
                <c:ptCount val="12"/>
                <c:pt idx="0">
                  <c:v>51.5</c:v>
                </c:pt>
                <c:pt idx="1">
                  <c:v>53.3</c:v>
                </c:pt>
                <c:pt idx="2">
                  <c:v>53.2</c:v>
                </c:pt>
                <c:pt idx="3">
                  <c:v>52.5</c:v>
                </c:pt>
                <c:pt idx="4">
                  <c:v>53.6</c:v>
                </c:pt>
                <c:pt idx="5">
                  <c:v>53.1</c:v>
                </c:pt>
                <c:pt idx="6">
                  <c:v>56.1</c:v>
                </c:pt>
                <c:pt idx="7">
                  <c:v>54.8</c:v>
                </c:pt>
                <c:pt idx="8">
                  <c:v>63.9</c:v>
                </c:pt>
                <c:pt idx="9">
                  <c:v>63.7</c:v>
                </c:pt>
                <c:pt idx="10">
                  <c:v>60.5</c:v>
                </c:pt>
                <c:pt idx="11">
                  <c:v>54.2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{-1.1,-1.8,-1.7,0.9,3.2,1.9,0.1,0.6,15.2,15.5,18.2,18.8}</c:f>
              <c:numCache>
                <c:formatCode>General</c:formatCode>
                <c:ptCount val="12"/>
                <c:pt idx="0">
                  <c:v>-1.1</c:v>
                </c:pt>
                <c:pt idx="1">
                  <c:v>-1.8</c:v>
                </c:pt>
                <c:pt idx="2">
                  <c:v>-1.7</c:v>
                </c:pt>
                <c:pt idx="3">
                  <c:v>0.9</c:v>
                </c:pt>
                <c:pt idx="4">
                  <c:v>3.2</c:v>
                </c:pt>
                <c:pt idx="5">
                  <c:v>1.9</c:v>
                </c:pt>
                <c:pt idx="6">
                  <c:v>0.1</c:v>
                </c:pt>
                <c:pt idx="7">
                  <c:v>0.6</c:v>
                </c:pt>
                <c:pt idx="8">
                  <c:v>15.2</c:v>
                </c:pt>
                <c:pt idx="9">
                  <c:v>15.5</c:v>
                </c:pt>
                <c:pt idx="10">
                  <c:v>18.2</c:v>
                </c:pt>
                <c:pt idx="11">
                  <c:v>18.8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3890.1645,3994.9975,3966.1712,3986.2247,3988.558,4026.6256,4027.2095,4055.5468,4051.4254,4082.1271,4085.0766,4106.2581,4093.2501,4079.9004,4086.3442,4078.6374,4107.5144,4112.1593,4160.1737,4180.0922,4179.9524,4225.0207,4214.4891,4242.572,4177.9175,4135.3894,4131.5276,4169.5378,4162.1845,4077.2765,4112.8996,4152.5686,4145.373,4093.7266,4098.6358,4068.5691,4057.74,4075.1016,4083.974,4057.7811,4027.7362,3959.3378,4010.0307,3993.2258,3987.0147,4031.5129,4096.4717,4091.8917,4108.0762,4090.4813,4163.0965,4106.2517,4110.8134,4120.2806,4027.2648,4073.9017,4094.3972,4112.4453,4028.9038,4043.6432}</c:f>
              <c:numCache>
                <c:formatCode>General</c:formatCode>
                <c:ptCount val="60"/>
                <c:pt idx="0">
                  <c:v>3890.1645</c:v>
                </c:pt>
                <c:pt idx="1">
                  <c:v>3994.9975</c:v>
                </c:pt>
                <c:pt idx="2">
                  <c:v>3966.1712</c:v>
                </c:pt>
                <c:pt idx="3">
                  <c:v>3986.2247</c:v>
                </c:pt>
                <c:pt idx="4">
                  <c:v>3988.558</c:v>
                </c:pt>
                <c:pt idx="5">
                  <c:v>4026.6256</c:v>
                </c:pt>
                <c:pt idx="6">
                  <c:v>4027.2095</c:v>
                </c:pt>
                <c:pt idx="7">
                  <c:v>4055.5468</c:v>
                </c:pt>
                <c:pt idx="8">
                  <c:v>4051.4254</c:v>
                </c:pt>
                <c:pt idx="9">
                  <c:v>4082.1271</c:v>
                </c:pt>
                <c:pt idx="10">
                  <c:v>4085.0766</c:v>
                </c:pt>
                <c:pt idx="11">
                  <c:v>4106.2581</c:v>
                </c:pt>
                <c:pt idx="12">
                  <c:v>4093.2501</c:v>
                </c:pt>
                <c:pt idx="13">
                  <c:v>4079.9004</c:v>
                </c:pt>
                <c:pt idx="14">
                  <c:v>4086.3442</c:v>
                </c:pt>
                <c:pt idx="15">
                  <c:v>4078.6374</c:v>
                </c:pt>
                <c:pt idx="16">
                  <c:v>4107.5144</c:v>
                </c:pt>
                <c:pt idx="17">
                  <c:v>4112.1593</c:v>
                </c:pt>
                <c:pt idx="18">
                  <c:v>4160.1737</c:v>
                </c:pt>
                <c:pt idx="19">
                  <c:v>4180.0922</c:v>
                </c:pt>
                <c:pt idx="20">
                  <c:v>4179.9524</c:v>
                </c:pt>
                <c:pt idx="21">
                  <c:v>4225.0207</c:v>
                </c:pt>
                <c:pt idx="22">
                  <c:v>4214.4891</c:v>
                </c:pt>
                <c:pt idx="23">
                  <c:v>4242.572</c:v>
                </c:pt>
                <c:pt idx="24">
                  <c:v>4177.9175</c:v>
                </c:pt>
                <c:pt idx="25">
                  <c:v>4135.3894</c:v>
                </c:pt>
                <c:pt idx="26">
                  <c:v>4131.5276</c:v>
                </c:pt>
                <c:pt idx="27">
                  <c:v>4169.5378</c:v>
                </c:pt>
                <c:pt idx="28">
                  <c:v>4162.1845</c:v>
                </c:pt>
                <c:pt idx="29">
                  <c:v>4077.2765</c:v>
                </c:pt>
                <c:pt idx="30">
                  <c:v>4112.8996</c:v>
                </c:pt>
                <c:pt idx="31">
                  <c:v>4152.5686</c:v>
                </c:pt>
                <c:pt idx="32">
                  <c:v>4145.373</c:v>
                </c:pt>
                <c:pt idx="33">
                  <c:v>4093.7266</c:v>
                </c:pt>
                <c:pt idx="34">
                  <c:v>4098.6358</c:v>
                </c:pt>
                <c:pt idx="35">
                  <c:v>4068.5691</c:v>
                </c:pt>
                <c:pt idx="36">
                  <c:v>4057.74</c:v>
                </c:pt>
                <c:pt idx="37">
                  <c:v>4075.1016</c:v>
                </c:pt>
                <c:pt idx="38">
                  <c:v>4083.974</c:v>
                </c:pt>
                <c:pt idx="39">
                  <c:v>4057.7811</c:v>
                </c:pt>
                <c:pt idx="40">
                  <c:v>4027.7362</c:v>
                </c:pt>
                <c:pt idx="41">
                  <c:v>3959.3378</c:v>
                </c:pt>
                <c:pt idx="42">
                  <c:v>4010.0307</c:v>
                </c:pt>
                <c:pt idx="43">
                  <c:v>3993.2258</c:v>
                </c:pt>
                <c:pt idx="44">
                  <c:v>3987.0147</c:v>
                </c:pt>
                <c:pt idx="45">
                  <c:v>4031.5129</c:v>
                </c:pt>
                <c:pt idx="46">
                  <c:v>4096.4717</c:v>
                </c:pt>
                <c:pt idx="47">
                  <c:v>4091.8917</c:v>
                </c:pt>
                <c:pt idx="48">
                  <c:v>4108.0762</c:v>
                </c:pt>
                <c:pt idx="49">
                  <c:v>4090.4813</c:v>
                </c:pt>
                <c:pt idx="50">
                  <c:v>4163.0965</c:v>
                </c:pt>
                <c:pt idx="51">
                  <c:v>4106.2517</c:v>
                </c:pt>
                <c:pt idx="52">
                  <c:v>4110.8134</c:v>
                </c:pt>
                <c:pt idx="53">
                  <c:v>4120.2806</c:v>
                </c:pt>
                <c:pt idx="54">
                  <c:v>4027.2648</c:v>
                </c:pt>
                <c:pt idx="55">
                  <c:v>4073.9017</c:v>
                </c:pt>
                <c:pt idx="56">
                  <c:v>4094.3972</c:v>
                </c:pt>
                <c:pt idx="57">
                  <c:v>4112.4453</c:v>
                </c:pt>
                <c:pt idx="58">
                  <c:v>4028.9038</c:v>
                </c:pt>
                <c:pt idx="59">
                  <c:v>4043.6432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13400.412,14042.4964,13996.2652,14309.4718,14407.8639,14639.9522,14498.4546,14796.3345,14885.4159,14966.7468,14982.1397,15177.2862,15043.4494,14940.3003,14995.7483,14830.4552,15120.9227,15107.5532,15459.6166,15641.8855,15563.7971,15899.302,15824.9211,16089.7491,15745.736,15561.372,15530.2295,15569.9072,15569.979,15247.2702,15597.2969,15856.6102,15876.1628,15736.4688,15861.891,15575.1338,15340.3562,15591.1282,15704.7108,15661.574,15314.7002,14821.1861,15268.7147,14954.1008,14851.9751,14963.4073,15531.1095,15675.2457,15880.9507,16030.7024,16372.4987,15854.1963,16051.3193,16344.0829,15782.2229,15812.8707,16205.5565,16119.1683,15498.8101,15597.5116}</c:f>
              <c:numCache>
                <c:formatCode>General</c:formatCode>
                <c:ptCount val="60"/>
                <c:pt idx="0">
                  <c:v>13400.412</c:v>
                </c:pt>
                <c:pt idx="1">
                  <c:v>14042.4964</c:v>
                </c:pt>
                <c:pt idx="2">
                  <c:v>13996.2652</c:v>
                </c:pt>
                <c:pt idx="3">
                  <c:v>14309.4718</c:v>
                </c:pt>
                <c:pt idx="4">
                  <c:v>14407.8639</c:v>
                </c:pt>
                <c:pt idx="5">
                  <c:v>14639.9522</c:v>
                </c:pt>
                <c:pt idx="6">
                  <c:v>14498.4546</c:v>
                </c:pt>
                <c:pt idx="7">
                  <c:v>14796.3345</c:v>
                </c:pt>
                <c:pt idx="8">
                  <c:v>14885.4159</c:v>
                </c:pt>
                <c:pt idx="9">
                  <c:v>14966.7468</c:v>
                </c:pt>
                <c:pt idx="10">
                  <c:v>14982.1397</c:v>
                </c:pt>
                <c:pt idx="11">
                  <c:v>15177.2862</c:v>
                </c:pt>
                <c:pt idx="12">
                  <c:v>15043.4494</c:v>
                </c:pt>
                <c:pt idx="13">
                  <c:v>14940.3003</c:v>
                </c:pt>
                <c:pt idx="14">
                  <c:v>14995.7483</c:v>
                </c:pt>
                <c:pt idx="15">
                  <c:v>14830.4552</c:v>
                </c:pt>
                <c:pt idx="16">
                  <c:v>15120.9227</c:v>
                </c:pt>
                <c:pt idx="17">
                  <c:v>15107.5532</c:v>
                </c:pt>
                <c:pt idx="18">
                  <c:v>15459.6166</c:v>
                </c:pt>
                <c:pt idx="19">
                  <c:v>15641.8855</c:v>
                </c:pt>
                <c:pt idx="20">
                  <c:v>15563.7971</c:v>
                </c:pt>
                <c:pt idx="21">
                  <c:v>15899.302</c:v>
                </c:pt>
                <c:pt idx="22">
                  <c:v>15824.9211</c:v>
                </c:pt>
                <c:pt idx="23">
                  <c:v>16089.7491</c:v>
                </c:pt>
                <c:pt idx="24">
                  <c:v>15745.736</c:v>
                </c:pt>
                <c:pt idx="25">
                  <c:v>15561.372</c:v>
                </c:pt>
                <c:pt idx="26">
                  <c:v>15530.2295</c:v>
                </c:pt>
                <c:pt idx="27">
                  <c:v>15569.9072</c:v>
                </c:pt>
                <c:pt idx="28">
                  <c:v>15569.979</c:v>
                </c:pt>
                <c:pt idx="29">
                  <c:v>15247.2702</c:v>
                </c:pt>
                <c:pt idx="30">
                  <c:v>15597.2969</c:v>
                </c:pt>
                <c:pt idx="31">
                  <c:v>15856.6102</c:v>
                </c:pt>
                <c:pt idx="32">
                  <c:v>15876.1628</c:v>
                </c:pt>
                <c:pt idx="33">
                  <c:v>15736.4688</c:v>
                </c:pt>
                <c:pt idx="34">
                  <c:v>15861.891</c:v>
                </c:pt>
                <c:pt idx="35">
                  <c:v>15575.1338</c:v>
                </c:pt>
                <c:pt idx="36">
                  <c:v>15340.3562</c:v>
                </c:pt>
                <c:pt idx="37">
                  <c:v>15591.1282</c:v>
                </c:pt>
                <c:pt idx="38">
                  <c:v>15704.7108</c:v>
                </c:pt>
                <c:pt idx="39">
                  <c:v>15661.574</c:v>
                </c:pt>
                <c:pt idx="40">
                  <c:v>15314.7002</c:v>
                </c:pt>
                <c:pt idx="41">
                  <c:v>14821.1861</c:v>
                </c:pt>
                <c:pt idx="42">
                  <c:v>15268.7147</c:v>
                </c:pt>
                <c:pt idx="43">
                  <c:v>14954.1008</c:v>
                </c:pt>
                <c:pt idx="44">
                  <c:v>14851.9751</c:v>
                </c:pt>
                <c:pt idx="45">
                  <c:v>14963.4073</c:v>
                </c:pt>
                <c:pt idx="46">
                  <c:v>15531.1095</c:v>
                </c:pt>
                <c:pt idx="47">
                  <c:v>15675.2457</c:v>
                </c:pt>
                <c:pt idx="48">
                  <c:v>15880.9507</c:v>
                </c:pt>
                <c:pt idx="49">
                  <c:v>16030.7024</c:v>
                </c:pt>
                <c:pt idx="50">
                  <c:v>16372.4987</c:v>
                </c:pt>
                <c:pt idx="51">
                  <c:v>15854.1963</c:v>
                </c:pt>
                <c:pt idx="52">
                  <c:v>16051.3193</c:v>
                </c:pt>
                <c:pt idx="53">
                  <c:v>16344.0829</c:v>
                </c:pt>
                <c:pt idx="54">
                  <c:v>15782.2229</c:v>
                </c:pt>
                <c:pt idx="55">
                  <c:v>15812.8707</c:v>
                </c:pt>
                <c:pt idx="56">
                  <c:v>16205.5565</c:v>
                </c:pt>
                <c:pt idx="57">
                  <c:v>16119.1683</c:v>
                </c:pt>
                <c:pt idx="58">
                  <c:v>15498.8101</c:v>
                </c:pt>
                <c:pt idx="59">
                  <c:v>15597.5116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4440.6162,4595.556,4566.2237,4636.5655,4646.1546,4701.2837,4685.2464,4736.6077,4728.6716,4757.4419,4767.997,4799.627,4786.3273,4769.3688,4770.9469,4758.2083,4810.3468,4807.3069,4877.0932,4900.5098,4871.9122,4951.8366,4948.0465,4998.3417,4914.5971,4859.5927,4833.5237,4852.8832,4850.7,4783.0976,4845.0956,4921.5974,4947.8493,4908.1714,4914.2133,4892.1213,4844.2556,4914.5591,4938.8091,4904.7454,4816.9199,4713.6358,4801.8106,4748.5932,4722.4122,4777.3206,4891.7126,4884.2322,4931.3861,4941.5986,5059.6582,4919.386,4943.0197,5020.1038,4868.2205,4926.921,4979.4328,4958.9773,4812.2957,4842.1737}</c:f>
              <c:numCache>
                <c:formatCode>General</c:formatCode>
                <c:ptCount val="60"/>
                <c:pt idx="0">
                  <c:v>4440.6162</c:v>
                </c:pt>
                <c:pt idx="1">
                  <c:v>4595.556</c:v>
                </c:pt>
                <c:pt idx="2">
                  <c:v>4566.2237</c:v>
                </c:pt>
                <c:pt idx="3">
                  <c:v>4636.5655</c:v>
                </c:pt>
                <c:pt idx="4">
                  <c:v>4646.1546</c:v>
                </c:pt>
                <c:pt idx="5">
                  <c:v>4701.2837</c:v>
                </c:pt>
                <c:pt idx="6">
                  <c:v>4685.2464</c:v>
                </c:pt>
                <c:pt idx="7">
                  <c:v>4736.6077</c:v>
                </c:pt>
                <c:pt idx="8">
                  <c:v>4728.6716</c:v>
                </c:pt>
                <c:pt idx="9">
                  <c:v>4757.4419</c:v>
                </c:pt>
                <c:pt idx="10">
                  <c:v>4767.997</c:v>
                </c:pt>
                <c:pt idx="11">
                  <c:v>4799.627</c:v>
                </c:pt>
                <c:pt idx="12">
                  <c:v>4786.3273</c:v>
                </c:pt>
                <c:pt idx="13">
                  <c:v>4769.3688</c:v>
                </c:pt>
                <c:pt idx="14">
                  <c:v>4770.9469</c:v>
                </c:pt>
                <c:pt idx="15">
                  <c:v>4758.2083</c:v>
                </c:pt>
                <c:pt idx="16">
                  <c:v>4810.3468</c:v>
                </c:pt>
                <c:pt idx="17">
                  <c:v>4807.3069</c:v>
                </c:pt>
                <c:pt idx="18">
                  <c:v>4877.0932</c:v>
                </c:pt>
                <c:pt idx="19">
                  <c:v>4900.5098</c:v>
                </c:pt>
                <c:pt idx="20">
                  <c:v>4871.9122</c:v>
                </c:pt>
                <c:pt idx="21">
                  <c:v>4951.8366</c:v>
                </c:pt>
                <c:pt idx="22">
                  <c:v>4948.0465</c:v>
                </c:pt>
                <c:pt idx="23">
                  <c:v>4998.3417</c:v>
                </c:pt>
                <c:pt idx="24">
                  <c:v>4914.5971</c:v>
                </c:pt>
                <c:pt idx="25">
                  <c:v>4859.5927</c:v>
                </c:pt>
                <c:pt idx="26">
                  <c:v>4833.5237</c:v>
                </c:pt>
                <c:pt idx="27">
                  <c:v>4852.8832</c:v>
                </c:pt>
                <c:pt idx="28">
                  <c:v>4850.7</c:v>
                </c:pt>
                <c:pt idx="29">
                  <c:v>4783.0976</c:v>
                </c:pt>
                <c:pt idx="30">
                  <c:v>4845.0956</c:v>
                </c:pt>
                <c:pt idx="31">
                  <c:v>4921.5974</c:v>
                </c:pt>
                <c:pt idx="32">
                  <c:v>4947.8493</c:v>
                </c:pt>
                <c:pt idx="33">
                  <c:v>4908.1714</c:v>
                </c:pt>
                <c:pt idx="34">
                  <c:v>4914.2133</c:v>
                </c:pt>
                <c:pt idx="35">
                  <c:v>4892.1213</c:v>
                </c:pt>
                <c:pt idx="36">
                  <c:v>4844.2556</c:v>
                </c:pt>
                <c:pt idx="37">
                  <c:v>4914.5591</c:v>
                </c:pt>
                <c:pt idx="38">
                  <c:v>4938.8091</c:v>
                </c:pt>
                <c:pt idx="39">
                  <c:v>4904.7454</c:v>
                </c:pt>
                <c:pt idx="40">
                  <c:v>4816.9199</c:v>
                </c:pt>
                <c:pt idx="41">
                  <c:v>4713.6358</c:v>
                </c:pt>
                <c:pt idx="42">
                  <c:v>4801.8106</c:v>
                </c:pt>
                <c:pt idx="43">
                  <c:v>4748.5932</c:v>
                </c:pt>
                <c:pt idx="44">
                  <c:v>4722.4122</c:v>
                </c:pt>
                <c:pt idx="45">
                  <c:v>4777.3206</c:v>
                </c:pt>
                <c:pt idx="46">
                  <c:v>4891.7126</c:v>
                </c:pt>
                <c:pt idx="47">
                  <c:v>4884.2322</c:v>
                </c:pt>
                <c:pt idx="48">
                  <c:v>4931.3861</c:v>
                </c:pt>
                <c:pt idx="49">
                  <c:v>4941.5986</c:v>
                </c:pt>
                <c:pt idx="50">
                  <c:v>5059.6582</c:v>
                </c:pt>
                <c:pt idx="51">
                  <c:v>4919.386</c:v>
                </c:pt>
                <c:pt idx="52">
                  <c:v>4943.0197</c:v>
                </c:pt>
                <c:pt idx="53">
                  <c:v>5020.1038</c:v>
                </c:pt>
                <c:pt idx="54">
                  <c:v>4868.2205</c:v>
                </c:pt>
                <c:pt idx="55">
                  <c:v>4926.921</c:v>
                </c:pt>
                <c:pt idx="56">
                  <c:v>4979.4328</c:v>
                </c:pt>
                <c:pt idx="57">
                  <c:v>4958.9773</c:v>
                </c:pt>
                <c:pt idx="58">
                  <c:v>4812.2957</c:v>
                </c:pt>
                <c:pt idx="59">
                  <c:v>4842.1737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3160.8157,3347.61,3323.2989,3448.787,3476.4396,3558.5273,3514.9604,3626.271,3678.2934,3677.5758,3688.9372,3752.7591,3720.2474,3667.7851,3648.788,3596.7118,3687.1681,3677.1485,3778.1595,3833.0572,3796.1283,3928.9739,3934.882,4038.3327,3951.1404,3929.0642,3914.8753,3908.4374,3921.7894,3829.7786,3938.502,4021.1602,4043.0658,4045.7731,4125.0749,4037.951,3950.9432,4055.8709,4122.987,4088.884,3957.935,3811.7854,3961.7493,3854.7935,3811.246,3830.353,4033.5349,4102.9421,4167.0478,4252.3903,4359.392,4192.1945,4251.4244,4371.9891,4194.2089,4216.6985,4342.7123,4260.7208,4017.2735,4019.9341}</c:f>
              <c:numCache>
                <c:formatCode>General</c:formatCode>
                <c:ptCount val="60"/>
                <c:pt idx="0">
                  <c:v>3160.8157</c:v>
                </c:pt>
                <c:pt idx="1">
                  <c:v>3347.61</c:v>
                </c:pt>
                <c:pt idx="2">
                  <c:v>3323.2989</c:v>
                </c:pt>
                <c:pt idx="3">
                  <c:v>3448.787</c:v>
                </c:pt>
                <c:pt idx="4">
                  <c:v>3476.4396</c:v>
                </c:pt>
                <c:pt idx="5">
                  <c:v>3558.5273</c:v>
                </c:pt>
                <c:pt idx="6">
                  <c:v>3514.9604</c:v>
                </c:pt>
                <c:pt idx="7">
                  <c:v>3626.271</c:v>
                </c:pt>
                <c:pt idx="8">
                  <c:v>3678.2934</c:v>
                </c:pt>
                <c:pt idx="9">
                  <c:v>3677.5758</c:v>
                </c:pt>
                <c:pt idx="10">
                  <c:v>3688.9372</c:v>
                </c:pt>
                <c:pt idx="11">
                  <c:v>3752.7591</c:v>
                </c:pt>
                <c:pt idx="12">
                  <c:v>3720.2474</c:v>
                </c:pt>
                <c:pt idx="13">
                  <c:v>3667.7851</c:v>
                </c:pt>
                <c:pt idx="14">
                  <c:v>3648.788</c:v>
                </c:pt>
                <c:pt idx="15">
                  <c:v>3596.7118</c:v>
                </c:pt>
                <c:pt idx="16">
                  <c:v>3687.1681</c:v>
                </c:pt>
                <c:pt idx="17">
                  <c:v>3677.1485</c:v>
                </c:pt>
                <c:pt idx="18">
                  <c:v>3778.1595</c:v>
                </c:pt>
                <c:pt idx="19">
                  <c:v>3833.0572</c:v>
                </c:pt>
                <c:pt idx="20">
                  <c:v>3796.1283</c:v>
                </c:pt>
                <c:pt idx="21">
                  <c:v>3928.9739</c:v>
                </c:pt>
                <c:pt idx="22">
                  <c:v>3934.882</c:v>
                </c:pt>
                <c:pt idx="23">
                  <c:v>4038.3327</c:v>
                </c:pt>
                <c:pt idx="24">
                  <c:v>3951.1404</c:v>
                </c:pt>
                <c:pt idx="25">
                  <c:v>3929.0642</c:v>
                </c:pt>
                <c:pt idx="26">
                  <c:v>3914.8753</c:v>
                </c:pt>
                <c:pt idx="27">
                  <c:v>3908.4374</c:v>
                </c:pt>
                <c:pt idx="28">
                  <c:v>3921.7894</c:v>
                </c:pt>
                <c:pt idx="29">
                  <c:v>3829.7786</c:v>
                </c:pt>
                <c:pt idx="30">
                  <c:v>3938.502</c:v>
                </c:pt>
                <c:pt idx="31">
                  <c:v>4021.1602</c:v>
                </c:pt>
                <c:pt idx="32">
                  <c:v>4043.0658</c:v>
                </c:pt>
                <c:pt idx="33">
                  <c:v>4045.7731</c:v>
                </c:pt>
                <c:pt idx="34">
                  <c:v>4125.0749</c:v>
                </c:pt>
                <c:pt idx="35">
                  <c:v>4037.951</c:v>
                </c:pt>
                <c:pt idx="36">
                  <c:v>3950.9432</c:v>
                </c:pt>
                <c:pt idx="37">
                  <c:v>4055.8709</c:v>
                </c:pt>
                <c:pt idx="38">
                  <c:v>4122.987</c:v>
                </c:pt>
                <c:pt idx="39">
                  <c:v>4088.884</c:v>
                </c:pt>
                <c:pt idx="40">
                  <c:v>3957.935</c:v>
                </c:pt>
                <c:pt idx="41">
                  <c:v>3811.7854</c:v>
                </c:pt>
                <c:pt idx="42">
                  <c:v>3961.7493</c:v>
                </c:pt>
                <c:pt idx="43">
                  <c:v>3854.7935</c:v>
                </c:pt>
                <c:pt idx="44">
                  <c:v>3811.246</c:v>
                </c:pt>
                <c:pt idx="45">
                  <c:v>3830.353</c:v>
                </c:pt>
                <c:pt idx="46">
                  <c:v>4033.5349</c:v>
                </c:pt>
                <c:pt idx="47">
                  <c:v>4102.9421</c:v>
                </c:pt>
                <c:pt idx="48">
                  <c:v>4167.0478</c:v>
                </c:pt>
                <c:pt idx="49">
                  <c:v>4252.3903</c:v>
                </c:pt>
                <c:pt idx="50">
                  <c:v>4359.392</c:v>
                </c:pt>
                <c:pt idx="51">
                  <c:v>4192.1945</c:v>
                </c:pt>
                <c:pt idx="52">
                  <c:v>4251.4244</c:v>
                </c:pt>
                <c:pt idx="53">
                  <c:v>4371.9891</c:v>
                </c:pt>
                <c:pt idx="54">
                  <c:v>4194.2089</c:v>
                </c:pt>
                <c:pt idx="55">
                  <c:v>4216.6985</c:v>
                </c:pt>
                <c:pt idx="56">
                  <c:v>4342.7123</c:v>
                </c:pt>
                <c:pt idx="57">
                  <c:v>4260.7208</c:v>
                </c:pt>
                <c:pt idx="58">
                  <c:v>4017.2735</c:v>
                </c:pt>
                <c:pt idx="59">
                  <c:v>4019.9341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3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20059.0536689,20248.3769766,18577.8995238,16689.131119,16235.8102447,24506.4498882,21473.4143899,23376.1117397,21630.6488694,23967.9858792,24294.7782034,23549.6298655,24528.9322159,26065.2277841,24266.4668215,25788.4715659,28233.1553264,26576.227126,26048.0745608,25504.7321736,26088.7389289,27592.0559807,32465.9632764,31682.6972425,30757.1958638,35654.5283218,32697.3624292,32642.1232203,33880.8634118,33702.3229562,29170.7366606,29089.7662015,29764.5867776,35072.7954153,29246.5910559,32269.524533,32643.5908009,32599.0434264,29873.2631201,33408.581474,28967.2449639,28128.491195,31531.2458389,27791.6374212,31006.9030473,28234.2897693,26667.3292834,26441.4327094,25749.3258454,32361.110115,30507.4153324,30863.4694421,31140.3904993,33317.1901304,37621.0309881,34660.2669271,33069.3918892,36189.4441714,35753.9112131,35393.4110748}</c:f>
              <c:numCache>
                <c:formatCode>General</c:formatCode>
                <c:ptCount val="60"/>
                <c:pt idx="0">
                  <c:v>20059.0536689</c:v>
                </c:pt>
                <c:pt idx="1">
                  <c:v>20248.3769766</c:v>
                </c:pt>
                <c:pt idx="2">
                  <c:v>18577.8995238</c:v>
                </c:pt>
                <c:pt idx="3">
                  <c:v>16689.131119</c:v>
                </c:pt>
                <c:pt idx="4">
                  <c:v>16235.8102447</c:v>
                </c:pt>
                <c:pt idx="5">
                  <c:v>24506.4498882</c:v>
                </c:pt>
                <c:pt idx="6">
                  <c:v>21473.4143899</c:v>
                </c:pt>
                <c:pt idx="7">
                  <c:v>23376.1117397</c:v>
                </c:pt>
                <c:pt idx="8">
                  <c:v>21630.6488694</c:v>
                </c:pt>
                <c:pt idx="9">
                  <c:v>23967.9858792</c:v>
                </c:pt>
                <c:pt idx="10">
                  <c:v>24294.7782034</c:v>
                </c:pt>
                <c:pt idx="11">
                  <c:v>23549.6298655</c:v>
                </c:pt>
                <c:pt idx="12">
                  <c:v>24528.9322159</c:v>
                </c:pt>
                <c:pt idx="13">
                  <c:v>26065.2277841</c:v>
                </c:pt>
                <c:pt idx="14">
                  <c:v>24266.4668215</c:v>
                </c:pt>
                <c:pt idx="15">
                  <c:v>25788.4715659</c:v>
                </c:pt>
                <c:pt idx="16">
                  <c:v>28233.1553264</c:v>
                </c:pt>
                <c:pt idx="17">
                  <c:v>26576.227126</c:v>
                </c:pt>
                <c:pt idx="18">
                  <c:v>26048.0745608</c:v>
                </c:pt>
                <c:pt idx="19">
                  <c:v>25504.7321736</c:v>
                </c:pt>
                <c:pt idx="20">
                  <c:v>26088.7389289</c:v>
                </c:pt>
                <c:pt idx="21">
                  <c:v>27592.0559807</c:v>
                </c:pt>
                <c:pt idx="22">
                  <c:v>32465.9632764</c:v>
                </c:pt>
                <c:pt idx="23">
                  <c:v>31682.6972425</c:v>
                </c:pt>
                <c:pt idx="24">
                  <c:v>30757.1958638</c:v>
                </c:pt>
                <c:pt idx="25">
                  <c:v>35654.5283218</c:v>
                </c:pt>
                <c:pt idx="26">
                  <c:v>32697.3624292</c:v>
                </c:pt>
                <c:pt idx="27">
                  <c:v>32642.1232203</c:v>
                </c:pt>
                <c:pt idx="28">
                  <c:v>33880.8634118</c:v>
                </c:pt>
                <c:pt idx="29">
                  <c:v>33702.3229562</c:v>
                </c:pt>
                <c:pt idx="30">
                  <c:v>29170.7366606</c:v>
                </c:pt>
                <c:pt idx="31">
                  <c:v>29089.7662015</c:v>
                </c:pt>
                <c:pt idx="32">
                  <c:v>29764.5867776</c:v>
                </c:pt>
                <c:pt idx="33">
                  <c:v>35072.7954153</c:v>
                </c:pt>
                <c:pt idx="34">
                  <c:v>29246.5910559</c:v>
                </c:pt>
                <c:pt idx="35">
                  <c:v>32269.524533</c:v>
                </c:pt>
                <c:pt idx="36">
                  <c:v>32643.5908009</c:v>
                </c:pt>
                <c:pt idx="37">
                  <c:v>32599.0434264</c:v>
                </c:pt>
                <c:pt idx="38">
                  <c:v>29873.2631201</c:v>
                </c:pt>
                <c:pt idx="39">
                  <c:v>33408.581474</c:v>
                </c:pt>
                <c:pt idx="40">
                  <c:v>28967.2449639</c:v>
                </c:pt>
                <c:pt idx="41">
                  <c:v>28128.491195</c:v>
                </c:pt>
                <c:pt idx="42">
                  <c:v>31531.2458389</c:v>
                </c:pt>
                <c:pt idx="43">
                  <c:v>27791.6374212</c:v>
                </c:pt>
                <c:pt idx="44">
                  <c:v>31006.9030473</c:v>
                </c:pt>
                <c:pt idx="45">
                  <c:v>28234.2897693</c:v>
                </c:pt>
                <c:pt idx="46">
                  <c:v>26667.3292834</c:v>
                </c:pt>
                <c:pt idx="47">
                  <c:v>26441.4327094</c:v>
                </c:pt>
                <c:pt idx="48">
                  <c:v>25749.3258454</c:v>
                </c:pt>
                <c:pt idx="49">
                  <c:v>32361.110115</c:v>
                </c:pt>
                <c:pt idx="50">
                  <c:v>30507.4153324</c:v>
                </c:pt>
                <c:pt idx="51">
                  <c:v>30863.4694421</c:v>
                </c:pt>
                <c:pt idx="52">
                  <c:v>31140.3904993</c:v>
                </c:pt>
                <c:pt idx="53">
                  <c:v>33317.1901304</c:v>
                </c:pt>
                <c:pt idx="54">
                  <c:v>37621.0309881</c:v>
                </c:pt>
                <c:pt idx="55">
                  <c:v>34660.2669271</c:v>
                </c:pt>
                <c:pt idx="56">
                  <c:v>33069.3918892</c:v>
                </c:pt>
                <c:pt idx="57">
                  <c:v>36189.4441714</c:v>
                </c:pt>
                <c:pt idx="58">
                  <c:v>35753.9112131</c:v>
                </c:pt>
                <c:pt idx="59">
                  <c:v>35393.4110748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2.60865696612,2.60977883107,2.59867288216,2.58080152791,2.58496390937,2.60153359114,2.60871058636,2.61440383215,2.63073592531,2.64762722066,2.65767069594,2.66873093352,2.67102938941,2.70025951771,2.70666938251,2.72069009824,2.72427260209,2.71278606672,2.72853020843,2.72843669819,2.73230221701,2.71520848723,2.75671259552,2.78643639203,2.80250127371,2.83385779059,2.8507443141,2.87394527071,2.88275500701,2.8764604275,2.89237983105,2.89793849344,2.90493946594,2.89621090414,2.89915192596,2.92520877945,2.93262936244,2.93666666971,2.94240269745,2.91241816013,2.90430248398,2.90559525171,2.91437551437,2.92068611368,2.90668809951,2.8828952212,2.88727568609,2.8791146015,2.87362609785,2.87348227396,2.89793843612,2.92486196656,2.95288616959,2.96551186733,2.99503127686,3.0009712398,3.01514929313,3.03299174914,3.01196103407,3.00368140398}</c:f>
              <c:numCache>
                <c:formatCode>General</c:formatCode>
                <c:ptCount val="60"/>
                <c:pt idx="0">
                  <c:v>2.60865696612</c:v>
                </c:pt>
                <c:pt idx="1">
                  <c:v>2.60977883107</c:v>
                </c:pt>
                <c:pt idx="2">
                  <c:v>2.59867288216</c:v>
                </c:pt>
                <c:pt idx="3">
                  <c:v>2.58080152791</c:v>
                </c:pt>
                <c:pt idx="4">
                  <c:v>2.58496390937</c:v>
                </c:pt>
                <c:pt idx="5">
                  <c:v>2.60153359114</c:v>
                </c:pt>
                <c:pt idx="6">
                  <c:v>2.60871058636</c:v>
                </c:pt>
                <c:pt idx="7">
                  <c:v>2.61440383215</c:v>
                </c:pt>
                <c:pt idx="8">
                  <c:v>2.63073592531</c:v>
                </c:pt>
                <c:pt idx="9">
                  <c:v>2.64762722066</c:v>
                </c:pt>
                <c:pt idx="10">
                  <c:v>2.65767069594</c:v>
                </c:pt>
                <c:pt idx="11">
                  <c:v>2.66873093352</c:v>
                </c:pt>
                <c:pt idx="12">
                  <c:v>2.67102938941</c:v>
                </c:pt>
                <c:pt idx="13">
                  <c:v>2.70025951771</c:v>
                </c:pt>
                <c:pt idx="14">
                  <c:v>2.70666938251</c:v>
                </c:pt>
                <c:pt idx="15">
                  <c:v>2.72069009824</c:v>
                </c:pt>
                <c:pt idx="16">
                  <c:v>2.72427260209</c:v>
                </c:pt>
                <c:pt idx="17">
                  <c:v>2.71278606672</c:v>
                </c:pt>
                <c:pt idx="18">
                  <c:v>2.72853020843</c:v>
                </c:pt>
                <c:pt idx="19">
                  <c:v>2.72843669819</c:v>
                </c:pt>
                <c:pt idx="20">
                  <c:v>2.73230221701</c:v>
                </c:pt>
                <c:pt idx="21">
                  <c:v>2.71520848723</c:v>
                </c:pt>
                <c:pt idx="22">
                  <c:v>2.75671259552</c:v>
                </c:pt>
                <c:pt idx="23">
                  <c:v>2.78643639203</c:v>
                </c:pt>
                <c:pt idx="24">
                  <c:v>2.80250127371</c:v>
                </c:pt>
                <c:pt idx="25">
                  <c:v>2.83385779059</c:v>
                </c:pt>
                <c:pt idx="26">
                  <c:v>2.8507443141</c:v>
                </c:pt>
                <c:pt idx="27">
                  <c:v>2.87394527071</c:v>
                </c:pt>
                <c:pt idx="28">
                  <c:v>2.88275500701</c:v>
                </c:pt>
                <c:pt idx="29">
                  <c:v>2.8764604275</c:v>
                </c:pt>
                <c:pt idx="30">
                  <c:v>2.89237983105</c:v>
                </c:pt>
                <c:pt idx="31">
                  <c:v>2.89793849344</c:v>
                </c:pt>
                <c:pt idx="32">
                  <c:v>2.90493946594</c:v>
                </c:pt>
                <c:pt idx="33">
                  <c:v>2.89621090414</c:v>
                </c:pt>
                <c:pt idx="34">
                  <c:v>2.89915192596</c:v>
                </c:pt>
                <c:pt idx="35">
                  <c:v>2.92520877945</c:v>
                </c:pt>
                <c:pt idx="36">
                  <c:v>2.93262936244</c:v>
                </c:pt>
                <c:pt idx="37">
                  <c:v>2.93666666971</c:v>
                </c:pt>
                <c:pt idx="38">
                  <c:v>2.94240269745</c:v>
                </c:pt>
                <c:pt idx="39">
                  <c:v>2.91241816013</c:v>
                </c:pt>
                <c:pt idx="40">
                  <c:v>2.90430248398</c:v>
                </c:pt>
                <c:pt idx="41">
                  <c:v>2.90559525171</c:v>
                </c:pt>
                <c:pt idx="42">
                  <c:v>2.91437551437</c:v>
                </c:pt>
                <c:pt idx="43">
                  <c:v>2.92068611368</c:v>
                </c:pt>
                <c:pt idx="44">
                  <c:v>2.90668809951</c:v>
                </c:pt>
                <c:pt idx="45">
                  <c:v>2.8828952212</c:v>
                </c:pt>
                <c:pt idx="46">
                  <c:v>2.88727568609</c:v>
                </c:pt>
                <c:pt idx="47">
                  <c:v>2.8791146015</c:v>
                </c:pt>
                <c:pt idx="48">
                  <c:v>2.87362609785</c:v>
                </c:pt>
                <c:pt idx="49">
                  <c:v>2.87348227396</c:v>
                </c:pt>
                <c:pt idx="50">
                  <c:v>2.89793843612</c:v>
                </c:pt>
                <c:pt idx="51">
                  <c:v>2.92486196656</c:v>
                </c:pt>
                <c:pt idx="52">
                  <c:v>2.95288616959</c:v>
                </c:pt>
                <c:pt idx="53">
                  <c:v>2.96551186733</c:v>
                </c:pt>
                <c:pt idx="54">
                  <c:v>2.99503127686</c:v>
                </c:pt>
                <c:pt idx="55">
                  <c:v>3.0009712398</c:v>
                </c:pt>
                <c:pt idx="56">
                  <c:v>3.01514929313</c:v>
                </c:pt>
                <c:pt idx="57">
                  <c:v>3.03299174914</c:v>
                </c:pt>
                <c:pt idx="58">
                  <c:v>3.01196103407</c:v>
                </c:pt>
                <c:pt idx="59">
                  <c:v>3.00368140398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3.21872625243,3.19939080429,3.11595917412,2.91648272466,2.76471730773,3.68130961272,3.29521616912,3.36401579801,3.1774821512,3.40515371328,3.4854602316,3.50946328522,3.7063957943,3.76320670948,3.54009935969,3.5911776655,3.83492381123,3.64519297737,3.7171673797,3.70469554965,3.73320725495,3.76423038393,4.23767238776,4.16955466824,4.20335032715,4.60926180176,4.22860604362,4.13358814857,4.26268123162,4.28607253987,3.90741019926,3.8396643564,3.85057362506,4.54005809599,3.81799365654,4.04341250111,4.0084162025,3.97242979889,3.6939864535,4.10320623602,3.68980509928,3.5955541712,3.75698226618,3.52496778586,3.94557033002,3.84551267528,3.50578200306,3.53757880174,3.4265954992,3.86986490346,3.69732646229,3.72229187667,3.71679015139,3.76634819808,4.31699639809,3.99308070555,3.86187129878,4.00203379481,3.89817645503,4.00649348261}</c:f>
              <c:numCache>
                <c:formatCode>General</c:formatCode>
                <c:ptCount val="60"/>
                <c:pt idx="0">
                  <c:v>3.21872625243</c:v>
                </c:pt>
                <c:pt idx="1">
                  <c:v>3.19939080429</c:v>
                </c:pt>
                <c:pt idx="2">
                  <c:v>3.11595917412</c:v>
                </c:pt>
                <c:pt idx="3">
                  <c:v>2.91648272466</c:v>
                </c:pt>
                <c:pt idx="4">
                  <c:v>2.76471730773</c:v>
                </c:pt>
                <c:pt idx="5">
                  <c:v>3.68130961272</c:v>
                </c:pt>
                <c:pt idx="6">
                  <c:v>3.29521616912</c:v>
                </c:pt>
                <c:pt idx="7">
                  <c:v>3.36401579801</c:v>
                </c:pt>
                <c:pt idx="8">
                  <c:v>3.1774821512</c:v>
                </c:pt>
                <c:pt idx="9">
                  <c:v>3.40515371328</c:v>
                </c:pt>
                <c:pt idx="10">
                  <c:v>3.4854602316</c:v>
                </c:pt>
                <c:pt idx="11">
                  <c:v>3.50946328522</c:v>
                </c:pt>
                <c:pt idx="12">
                  <c:v>3.7063957943</c:v>
                </c:pt>
                <c:pt idx="13">
                  <c:v>3.76320670948</c:v>
                </c:pt>
                <c:pt idx="14">
                  <c:v>3.54009935969</c:v>
                </c:pt>
                <c:pt idx="15">
                  <c:v>3.5911776655</c:v>
                </c:pt>
                <c:pt idx="16">
                  <c:v>3.83492381123</c:v>
                </c:pt>
                <c:pt idx="17">
                  <c:v>3.64519297737</c:v>
                </c:pt>
                <c:pt idx="18">
                  <c:v>3.7171673797</c:v>
                </c:pt>
                <c:pt idx="19">
                  <c:v>3.70469554965</c:v>
                </c:pt>
                <c:pt idx="20">
                  <c:v>3.73320725495</c:v>
                </c:pt>
                <c:pt idx="21">
                  <c:v>3.76423038393</c:v>
                </c:pt>
                <c:pt idx="22">
                  <c:v>4.23767238776</c:v>
                </c:pt>
                <c:pt idx="23">
                  <c:v>4.16955466824</c:v>
                </c:pt>
                <c:pt idx="24">
                  <c:v>4.20335032715</c:v>
                </c:pt>
                <c:pt idx="25">
                  <c:v>4.60926180176</c:v>
                </c:pt>
                <c:pt idx="26">
                  <c:v>4.22860604362</c:v>
                </c:pt>
                <c:pt idx="27">
                  <c:v>4.13358814857</c:v>
                </c:pt>
                <c:pt idx="28">
                  <c:v>4.26268123162</c:v>
                </c:pt>
                <c:pt idx="29">
                  <c:v>4.28607253987</c:v>
                </c:pt>
                <c:pt idx="30">
                  <c:v>3.90741019926</c:v>
                </c:pt>
                <c:pt idx="31">
                  <c:v>3.8396643564</c:v>
                </c:pt>
                <c:pt idx="32">
                  <c:v>3.85057362506</c:v>
                </c:pt>
                <c:pt idx="33">
                  <c:v>4.54005809599</c:v>
                </c:pt>
                <c:pt idx="34">
                  <c:v>3.81799365654</c:v>
                </c:pt>
                <c:pt idx="35">
                  <c:v>4.04341250111</c:v>
                </c:pt>
                <c:pt idx="36">
                  <c:v>4.0084162025</c:v>
                </c:pt>
                <c:pt idx="37">
                  <c:v>3.97242979889</c:v>
                </c:pt>
                <c:pt idx="38">
                  <c:v>3.6939864535</c:v>
                </c:pt>
                <c:pt idx="39">
                  <c:v>4.10320623602</c:v>
                </c:pt>
                <c:pt idx="40">
                  <c:v>3.68980509928</c:v>
                </c:pt>
                <c:pt idx="41">
                  <c:v>3.5955541712</c:v>
                </c:pt>
                <c:pt idx="42">
                  <c:v>3.75698226618</c:v>
                </c:pt>
                <c:pt idx="43">
                  <c:v>3.52496778586</c:v>
                </c:pt>
                <c:pt idx="44">
                  <c:v>3.94557033002</c:v>
                </c:pt>
                <c:pt idx="45">
                  <c:v>3.84551267528</c:v>
                </c:pt>
                <c:pt idx="46">
                  <c:v>3.50578200306</c:v>
                </c:pt>
                <c:pt idx="47">
                  <c:v>3.53757880174</c:v>
                </c:pt>
                <c:pt idx="48">
                  <c:v>3.4265954992</c:v>
                </c:pt>
                <c:pt idx="49">
                  <c:v>3.86986490346</c:v>
                </c:pt>
                <c:pt idx="50">
                  <c:v>3.69732646229</c:v>
                </c:pt>
                <c:pt idx="51">
                  <c:v>3.72229187667</c:v>
                </c:pt>
                <c:pt idx="52">
                  <c:v>3.71679015139</c:v>
                </c:pt>
                <c:pt idx="53">
                  <c:v>3.76634819808</c:v>
                </c:pt>
                <c:pt idx="54">
                  <c:v>4.31699639809</c:v>
                </c:pt>
                <c:pt idx="55">
                  <c:v>3.99308070555</c:v>
                </c:pt>
                <c:pt idx="56">
                  <c:v>3.86187129878</c:v>
                </c:pt>
                <c:pt idx="57">
                  <c:v>4.00203379481</c:v>
                </c:pt>
                <c:pt idx="58">
                  <c:v>3.89817645503</c:v>
                </c:pt>
                <c:pt idx="59">
                  <c:v>4.00649348261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{195.467,264.1211,292.6962,230.2604,237.215,258.6095,490.5788,251.6435,458.9372,248.1363,275.583,285.2384}</c:f>
              <c:numCache>
                <c:formatCode>General</c:formatCode>
                <c:ptCount val="12"/>
                <c:pt idx="0">
                  <c:v>195.467</c:v>
                </c:pt>
                <c:pt idx="1">
                  <c:v>264.1211</c:v>
                </c:pt>
                <c:pt idx="2">
                  <c:v>292.6962</c:v>
                </c:pt>
                <c:pt idx="3">
                  <c:v>230.2604</c:v>
                </c:pt>
                <c:pt idx="4">
                  <c:v>237.215</c:v>
                </c:pt>
                <c:pt idx="5">
                  <c:v>258.6095</c:v>
                </c:pt>
                <c:pt idx="6">
                  <c:v>490.5788</c:v>
                </c:pt>
                <c:pt idx="7">
                  <c:v>251.6435</c:v>
                </c:pt>
                <c:pt idx="8">
                  <c:v>458.9372</c:v>
                </c:pt>
                <c:pt idx="9">
                  <c:v>248.1363</c:v>
                </c:pt>
                <c:pt idx="10">
                  <c:v>275.583</c:v>
                </c:pt>
                <c:pt idx="11">
                  <c:v>285.2384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{3.63,3.63,3.63,3.63,3.63,3.63,3.63,3.63}</c:f>
              <c:numCache>
                <c:formatCode>General</c:formatCode>
                <c:ptCount val="8"/>
                <c:pt idx="0">
                  <c:v>3.63</c:v>
                </c:pt>
                <c:pt idx="1">
                  <c:v>3.63</c:v>
                </c:pt>
                <c:pt idx="2">
                  <c:v>3.63</c:v>
                </c:pt>
                <c:pt idx="3">
                  <c:v>3.63</c:v>
                </c:pt>
                <c:pt idx="4">
                  <c:v>3.63</c:v>
                </c:pt>
                <c:pt idx="5">
                  <c:v>3.63</c:v>
                </c:pt>
                <c:pt idx="6">
                  <c:v>3.63</c:v>
                </c:pt>
                <c:pt idx="7">
                  <c:v>3.63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6713270,6688726,6673244,6672885,6677155,6681056,6662200,6659598,6661912,6659273,6657715,6642578,6640843,6643615,6618415,6603384,6602071,6605962,6608597,6608395,6587119,6590815,6596454,6589533,6587034,6572732,6580462,6555283,6552419,6535781,6539303,6556861,6581231,6640618,6573602,6581700,6584580,6587568,6605909,6622382,6613395,6613797,6628894,6646344,6655939,6657161,6675344,6693871,6705696,6707419,6699950,6709505,6728502,6713643,6704383,6711495,6725397,6736424,6735645,6724564}</c:f>
              <c:numCache>
                <c:formatCode>General</c:formatCode>
                <c:ptCount val="60"/>
                <c:pt idx="0">
                  <c:v>6713270</c:v>
                </c:pt>
                <c:pt idx="1">
                  <c:v>6688726</c:v>
                </c:pt>
                <c:pt idx="2">
                  <c:v>6673244</c:v>
                </c:pt>
                <c:pt idx="3">
                  <c:v>6672885</c:v>
                </c:pt>
                <c:pt idx="4">
                  <c:v>6677155</c:v>
                </c:pt>
                <c:pt idx="5">
                  <c:v>6681056</c:v>
                </c:pt>
                <c:pt idx="6">
                  <c:v>6662200</c:v>
                </c:pt>
                <c:pt idx="7">
                  <c:v>6659598</c:v>
                </c:pt>
                <c:pt idx="8">
                  <c:v>6661912</c:v>
                </c:pt>
                <c:pt idx="9">
                  <c:v>6659273</c:v>
                </c:pt>
                <c:pt idx="10">
                  <c:v>6657715</c:v>
                </c:pt>
                <c:pt idx="11">
                  <c:v>6642578</c:v>
                </c:pt>
                <c:pt idx="12">
                  <c:v>6640843</c:v>
                </c:pt>
                <c:pt idx="13">
                  <c:v>6643615</c:v>
                </c:pt>
                <c:pt idx="14">
                  <c:v>6618415</c:v>
                </c:pt>
                <c:pt idx="15">
                  <c:v>6603384</c:v>
                </c:pt>
                <c:pt idx="16">
                  <c:v>6602071</c:v>
                </c:pt>
                <c:pt idx="17">
                  <c:v>6605962</c:v>
                </c:pt>
                <c:pt idx="18">
                  <c:v>6608597</c:v>
                </c:pt>
                <c:pt idx="19">
                  <c:v>6608395</c:v>
                </c:pt>
                <c:pt idx="20">
                  <c:v>6587119</c:v>
                </c:pt>
                <c:pt idx="21">
                  <c:v>6590815</c:v>
                </c:pt>
                <c:pt idx="22">
                  <c:v>6596454</c:v>
                </c:pt>
                <c:pt idx="23">
                  <c:v>6589533</c:v>
                </c:pt>
                <c:pt idx="24">
                  <c:v>6587034</c:v>
                </c:pt>
                <c:pt idx="25">
                  <c:v>6572732</c:v>
                </c:pt>
                <c:pt idx="26">
                  <c:v>6580462</c:v>
                </c:pt>
                <c:pt idx="27">
                  <c:v>6555283</c:v>
                </c:pt>
                <c:pt idx="28">
                  <c:v>6552419</c:v>
                </c:pt>
                <c:pt idx="29">
                  <c:v>6535781</c:v>
                </c:pt>
                <c:pt idx="30">
                  <c:v>6539303</c:v>
                </c:pt>
                <c:pt idx="31">
                  <c:v>6556861</c:v>
                </c:pt>
                <c:pt idx="32">
                  <c:v>6581231</c:v>
                </c:pt>
                <c:pt idx="33">
                  <c:v>6640618</c:v>
                </c:pt>
                <c:pt idx="34">
                  <c:v>6573602</c:v>
                </c:pt>
                <c:pt idx="35">
                  <c:v>6581700</c:v>
                </c:pt>
                <c:pt idx="36">
                  <c:v>6584580</c:v>
                </c:pt>
                <c:pt idx="37">
                  <c:v>6587568</c:v>
                </c:pt>
                <c:pt idx="38">
                  <c:v>6605909</c:v>
                </c:pt>
                <c:pt idx="39">
                  <c:v>6622382</c:v>
                </c:pt>
                <c:pt idx="40">
                  <c:v>6613395</c:v>
                </c:pt>
                <c:pt idx="41">
                  <c:v>6613797</c:v>
                </c:pt>
                <c:pt idx="42">
                  <c:v>6628894</c:v>
                </c:pt>
                <c:pt idx="43">
                  <c:v>6646344</c:v>
                </c:pt>
                <c:pt idx="44">
                  <c:v>6655939</c:v>
                </c:pt>
                <c:pt idx="45">
                  <c:v>6657161</c:v>
                </c:pt>
                <c:pt idx="46">
                  <c:v>6675344</c:v>
                </c:pt>
                <c:pt idx="47">
                  <c:v>6693871</c:v>
                </c:pt>
                <c:pt idx="48">
                  <c:v>6705696</c:v>
                </c:pt>
                <c:pt idx="49">
                  <c:v>6707419</c:v>
                </c:pt>
                <c:pt idx="50">
                  <c:v>6699950</c:v>
                </c:pt>
                <c:pt idx="51">
                  <c:v>6709505</c:v>
                </c:pt>
                <c:pt idx="52">
                  <c:v>6728502</c:v>
                </c:pt>
                <c:pt idx="53">
                  <c:v>6713643</c:v>
                </c:pt>
                <c:pt idx="54">
                  <c:v>6704383</c:v>
                </c:pt>
                <c:pt idx="55">
                  <c:v>6711495</c:v>
                </c:pt>
                <c:pt idx="56">
                  <c:v>6725397</c:v>
                </c:pt>
                <c:pt idx="57">
                  <c:v>6736424</c:v>
                </c:pt>
                <c:pt idx="58">
                  <c:v>6735645</c:v>
                </c:pt>
                <c:pt idx="59">
                  <c:v>6724564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3.65,3.65,3.65,3.65,3.65,3.65,3.65,3.65,3.65,3.65,3.65,3.65,3.65,3.65,3.65,3.65,3.65,3.65,3.65,3.65,3.65,3.65,3.65,3.65,3.65,3.65,3.65,3.65,3.65,3.65,3.65,3.65,3.65,3.65,3.65,3.65,3.65,3.65,3.65,3.65,3.65,3.65,3.65,3.65,3.65,3.65,3.65,3.65,3.65,3.65,3.65,3.65,3.65,3.65,3.65,3.65,3.65,3.65,3.65,3.65}</c:f>
              <c:numCache>
                <c:formatCode>General</c:formatCode>
                <c:ptCount val="60"/>
                <c:pt idx="0">
                  <c:v>3.65</c:v>
                </c:pt>
                <c:pt idx="1">
                  <c:v>3.65</c:v>
                </c:pt>
                <c:pt idx="2">
                  <c:v>3.65</c:v>
                </c:pt>
                <c:pt idx="3">
                  <c:v>3.65</c:v>
                </c:pt>
                <c:pt idx="4">
                  <c:v>3.65</c:v>
                </c:pt>
                <c:pt idx="5">
                  <c:v>3.65</c:v>
                </c:pt>
                <c:pt idx="6">
                  <c:v>3.65</c:v>
                </c:pt>
                <c:pt idx="7">
                  <c:v>3.65</c:v>
                </c:pt>
                <c:pt idx="8">
                  <c:v>3.65</c:v>
                </c:pt>
                <c:pt idx="9">
                  <c:v>3.65</c:v>
                </c:pt>
                <c:pt idx="10">
                  <c:v>3.65</c:v>
                </c:pt>
                <c:pt idx="11">
                  <c:v>3.65</c:v>
                </c:pt>
                <c:pt idx="12">
                  <c:v>3.65</c:v>
                </c:pt>
                <c:pt idx="13">
                  <c:v>3.65</c:v>
                </c:pt>
                <c:pt idx="14">
                  <c:v>3.65</c:v>
                </c:pt>
                <c:pt idx="15">
                  <c:v>3.65</c:v>
                </c:pt>
                <c:pt idx="16">
                  <c:v>3.65</c:v>
                </c:pt>
                <c:pt idx="17">
                  <c:v>3.65</c:v>
                </c:pt>
                <c:pt idx="18">
                  <c:v>3.65</c:v>
                </c:pt>
                <c:pt idx="19">
                  <c:v>3.65</c:v>
                </c:pt>
                <c:pt idx="20">
                  <c:v>3.65</c:v>
                </c:pt>
                <c:pt idx="21">
                  <c:v>3.65</c:v>
                </c:pt>
                <c:pt idx="22">
                  <c:v>3.65</c:v>
                </c:pt>
                <c:pt idx="23">
                  <c:v>3.65</c:v>
                </c:pt>
                <c:pt idx="24">
                  <c:v>3.65</c:v>
                </c:pt>
                <c:pt idx="25">
                  <c:v>3.65</c:v>
                </c:pt>
                <c:pt idx="26">
                  <c:v>3.65</c:v>
                </c:pt>
                <c:pt idx="27">
                  <c:v>3.65</c:v>
                </c:pt>
                <c:pt idx="28">
                  <c:v>3.65</c:v>
                </c:pt>
                <c:pt idx="29">
                  <c:v>3.65</c:v>
                </c:pt>
                <c:pt idx="30">
                  <c:v>3.65</c:v>
                </c:pt>
                <c:pt idx="31">
                  <c:v>3.65</c:v>
                </c:pt>
                <c:pt idx="32">
                  <c:v>3.65</c:v>
                </c:pt>
                <c:pt idx="33">
                  <c:v>3.65</c:v>
                </c:pt>
                <c:pt idx="34">
                  <c:v>3.65</c:v>
                </c:pt>
                <c:pt idx="35">
                  <c:v>3.65</c:v>
                </c:pt>
                <c:pt idx="36">
                  <c:v>3.65</c:v>
                </c:pt>
                <c:pt idx="37">
                  <c:v>3.65</c:v>
                </c:pt>
                <c:pt idx="38">
                  <c:v>3.65</c:v>
                </c:pt>
                <c:pt idx="39">
                  <c:v>3.65</c:v>
                </c:pt>
                <c:pt idx="40">
                  <c:v>3.65</c:v>
                </c:pt>
                <c:pt idx="41">
                  <c:v>3.65</c:v>
                </c:pt>
                <c:pt idx="42">
                  <c:v>3.65</c:v>
                </c:pt>
                <c:pt idx="43">
                  <c:v>3.65</c:v>
                </c:pt>
                <c:pt idx="44">
                  <c:v>3.65</c:v>
                </c:pt>
                <c:pt idx="45">
                  <c:v>3.65</c:v>
                </c:pt>
                <c:pt idx="46">
                  <c:v>3.65</c:v>
                </c:pt>
                <c:pt idx="47">
                  <c:v>3.65</c:v>
                </c:pt>
                <c:pt idx="48">
                  <c:v>3.65</c:v>
                </c:pt>
                <c:pt idx="49">
                  <c:v>3.65</c:v>
                </c:pt>
                <c:pt idx="50">
                  <c:v>3.65</c:v>
                </c:pt>
                <c:pt idx="51">
                  <c:v>3.65</c:v>
                </c:pt>
                <c:pt idx="52">
                  <c:v>3.65</c:v>
                </c:pt>
                <c:pt idx="53">
                  <c:v>3.65</c:v>
                </c:pt>
                <c:pt idx="54">
                  <c:v>3.65</c:v>
                </c:pt>
                <c:pt idx="55">
                  <c:v>3.65</c:v>
                </c:pt>
                <c:pt idx="56">
                  <c:v>3.65</c:v>
                </c:pt>
                <c:pt idx="57">
                  <c:v>3.65</c:v>
                </c:pt>
                <c:pt idx="58">
                  <c:v>3.65</c:v>
                </c:pt>
                <c:pt idx="59">
                  <c:v>3.65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0.177,0.402,0.507,0.227,0.306,0.223,0.158,0.137,0.503,0.807,0.538,0.114,0.082,0.363,0.643,0.747,8.261,0.607,0.618,1.122,1.633,0.773,0.787,1.133,1.199,3.609,2.034,0.647,7.193,12.911,24.867,3.281,0.965,1.787,1.853,1.163,11.677,1.302,2.502,2.062,1.122,0.761,1.832,0.577,0.387,0.46,0.454,0.581,10.721,6.828,0.251,3.925,6.484,4.534,5.718,6.426,3.546,26.9,1.001,2.175}</c:f>
              <c:numCache>
                <c:formatCode>General</c:formatCode>
                <c:ptCount val="60"/>
                <c:pt idx="0">
                  <c:v>0.177</c:v>
                </c:pt>
                <c:pt idx="1">
                  <c:v>0.402</c:v>
                </c:pt>
                <c:pt idx="2">
                  <c:v>0.507</c:v>
                </c:pt>
                <c:pt idx="3">
                  <c:v>0.227</c:v>
                </c:pt>
                <c:pt idx="4">
                  <c:v>0.306</c:v>
                </c:pt>
                <c:pt idx="5">
                  <c:v>0.223</c:v>
                </c:pt>
                <c:pt idx="6">
                  <c:v>0.158</c:v>
                </c:pt>
                <c:pt idx="7">
                  <c:v>0.137</c:v>
                </c:pt>
                <c:pt idx="8">
                  <c:v>0.503</c:v>
                </c:pt>
                <c:pt idx="9">
                  <c:v>0.807</c:v>
                </c:pt>
                <c:pt idx="10">
                  <c:v>0.538</c:v>
                </c:pt>
                <c:pt idx="11">
                  <c:v>0.114</c:v>
                </c:pt>
                <c:pt idx="12">
                  <c:v>0.082</c:v>
                </c:pt>
                <c:pt idx="13">
                  <c:v>0.363</c:v>
                </c:pt>
                <c:pt idx="14">
                  <c:v>0.643</c:v>
                </c:pt>
                <c:pt idx="15">
                  <c:v>0.747</c:v>
                </c:pt>
                <c:pt idx="16">
                  <c:v>8.261</c:v>
                </c:pt>
                <c:pt idx="17">
                  <c:v>0.607</c:v>
                </c:pt>
                <c:pt idx="18">
                  <c:v>0.618</c:v>
                </c:pt>
                <c:pt idx="19">
                  <c:v>1.122</c:v>
                </c:pt>
                <c:pt idx="20">
                  <c:v>1.633</c:v>
                </c:pt>
                <c:pt idx="21">
                  <c:v>0.773</c:v>
                </c:pt>
                <c:pt idx="22">
                  <c:v>0.787</c:v>
                </c:pt>
                <c:pt idx="23">
                  <c:v>1.133</c:v>
                </c:pt>
                <c:pt idx="24">
                  <c:v>1.199</c:v>
                </c:pt>
                <c:pt idx="25">
                  <c:v>3.609</c:v>
                </c:pt>
                <c:pt idx="26">
                  <c:v>2.034</c:v>
                </c:pt>
                <c:pt idx="27">
                  <c:v>0.647</c:v>
                </c:pt>
                <c:pt idx="28">
                  <c:v>7.193</c:v>
                </c:pt>
                <c:pt idx="29">
                  <c:v>12.911</c:v>
                </c:pt>
                <c:pt idx="30">
                  <c:v>24.867</c:v>
                </c:pt>
                <c:pt idx="31">
                  <c:v>3.281</c:v>
                </c:pt>
                <c:pt idx="32">
                  <c:v>0.965</c:v>
                </c:pt>
                <c:pt idx="33">
                  <c:v>1.787</c:v>
                </c:pt>
                <c:pt idx="34">
                  <c:v>1.853</c:v>
                </c:pt>
                <c:pt idx="35">
                  <c:v>1.163</c:v>
                </c:pt>
                <c:pt idx="36">
                  <c:v>11.677</c:v>
                </c:pt>
                <c:pt idx="37">
                  <c:v>1.302</c:v>
                </c:pt>
                <c:pt idx="38">
                  <c:v>2.502</c:v>
                </c:pt>
                <c:pt idx="39">
                  <c:v>2.062</c:v>
                </c:pt>
                <c:pt idx="40">
                  <c:v>1.122</c:v>
                </c:pt>
                <c:pt idx="41">
                  <c:v>0.761</c:v>
                </c:pt>
                <c:pt idx="42">
                  <c:v>1.832</c:v>
                </c:pt>
                <c:pt idx="43">
                  <c:v>0.577</c:v>
                </c:pt>
                <c:pt idx="44">
                  <c:v>0.387</c:v>
                </c:pt>
                <c:pt idx="45">
                  <c:v>0.46</c:v>
                </c:pt>
                <c:pt idx="46">
                  <c:v>0.454</c:v>
                </c:pt>
                <c:pt idx="47">
                  <c:v>0.581</c:v>
                </c:pt>
                <c:pt idx="48">
                  <c:v>10.721</c:v>
                </c:pt>
                <c:pt idx="49">
                  <c:v>6.828</c:v>
                </c:pt>
                <c:pt idx="50">
                  <c:v>0.251</c:v>
                </c:pt>
                <c:pt idx="51">
                  <c:v>3.925</c:v>
                </c:pt>
                <c:pt idx="52">
                  <c:v>6.484</c:v>
                </c:pt>
                <c:pt idx="53">
                  <c:v>4.534</c:v>
                </c:pt>
                <c:pt idx="54">
                  <c:v>5.718</c:v>
                </c:pt>
                <c:pt idx="55">
                  <c:v>6.426</c:v>
                </c:pt>
                <c:pt idx="56">
                  <c:v>3.546</c:v>
                </c:pt>
                <c:pt idx="57">
                  <c:v>26.9</c:v>
                </c:pt>
                <c:pt idx="58">
                  <c:v>1.001</c:v>
                </c:pt>
                <c:pt idx="59">
                  <c:v>2.175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3.62,3.59,3.57,3.61,3.63,3.66,3.72,3.67,3.65,3.63,3.63,3.64,3.65,3.66,3.66,3.64,3.63,3.66,3.64,3.63,3.62,3.61,3.6,3.6,3.6,3.6,3.59,3.56,3.55,3.53,3.51,3.5,3.51,3.55,3.63,3.63,3.62,3.63,3.65,3.63,3.61,3.62,3.63,3.63,3.6,3.59,3.6,3.65,3.69,3.63,3.63,3.62,3.61,3.62,3.62,3.64,3.62,3.62,3.68,3.66}</c:f>
              <c:numCache>
                <c:formatCode>General</c:formatCode>
                <c:ptCount val="60"/>
                <c:pt idx="0">
                  <c:v>3.62</c:v>
                </c:pt>
                <c:pt idx="1">
                  <c:v>3.59</c:v>
                </c:pt>
                <c:pt idx="2">
                  <c:v>3.57</c:v>
                </c:pt>
                <c:pt idx="3">
                  <c:v>3.61</c:v>
                </c:pt>
                <c:pt idx="4">
                  <c:v>3.63</c:v>
                </c:pt>
                <c:pt idx="5">
                  <c:v>3.66</c:v>
                </c:pt>
                <c:pt idx="6">
                  <c:v>3.72</c:v>
                </c:pt>
                <c:pt idx="7">
                  <c:v>3.67</c:v>
                </c:pt>
                <c:pt idx="8">
                  <c:v>3.65</c:v>
                </c:pt>
                <c:pt idx="9">
                  <c:v>3.63</c:v>
                </c:pt>
                <c:pt idx="10">
                  <c:v>3.63</c:v>
                </c:pt>
                <c:pt idx="11">
                  <c:v>3.64</c:v>
                </c:pt>
                <c:pt idx="12">
                  <c:v>3.65</c:v>
                </c:pt>
                <c:pt idx="13">
                  <c:v>3.66</c:v>
                </c:pt>
                <c:pt idx="14">
                  <c:v>3.66</c:v>
                </c:pt>
                <c:pt idx="15">
                  <c:v>3.64</c:v>
                </c:pt>
                <c:pt idx="16">
                  <c:v>3.63</c:v>
                </c:pt>
                <c:pt idx="17">
                  <c:v>3.66</c:v>
                </c:pt>
                <c:pt idx="18">
                  <c:v>3.64</c:v>
                </c:pt>
                <c:pt idx="19">
                  <c:v>3.63</c:v>
                </c:pt>
                <c:pt idx="20">
                  <c:v>3.62</c:v>
                </c:pt>
                <c:pt idx="21">
                  <c:v>3.61</c:v>
                </c:pt>
                <c:pt idx="22">
                  <c:v>3.6</c:v>
                </c:pt>
                <c:pt idx="23">
                  <c:v>3.6</c:v>
                </c:pt>
                <c:pt idx="24">
                  <c:v>3.6</c:v>
                </c:pt>
                <c:pt idx="25">
                  <c:v>3.6</c:v>
                </c:pt>
                <c:pt idx="26">
                  <c:v>3.59</c:v>
                </c:pt>
                <c:pt idx="27">
                  <c:v>3.56</c:v>
                </c:pt>
                <c:pt idx="28">
                  <c:v>3.55</c:v>
                </c:pt>
                <c:pt idx="29">
                  <c:v>3.53</c:v>
                </c:pt>
                <c:pt idx="30">
                  <c:v>3.51</c:v>
                </c:pt>
                <c:pt idx="31">
                  <c:v>3.5</c:v>
                </c:pt>
                <c:pt idx="32">
                  <c:v>3.51</c:v>
                </c:pt>
                <c:pt idx="33">
                  <c:v>3.55</c:v>
                </c:pt>
                <c:pt idx="34">
                  <c:v>3.63</c:v>
                </c:pt>
                <c:pt idx="35">
                  <c:v>3.63</c:v>
                </c:pt>
                <c:pt idx="36">
                  <c:v>3.62</c:v>
                </c:pt>
                <c:pt idx="37">
                  <c:v>3.63</c:v>
                </c:pt>
                <c:pt idx="38">
                  <c:v>3.65</c:v>
                </c:pt>
                <c:pt idx="39">
                  <c:v>3.63</c:v>
                </c:pt>
                <c:pt idx="40">
                  <c:v>3.61</c:v>
                </c:pt>
                <c:pt idx="41">
                  <c:v>3.62</c:v>
                </c:pt>
                <c:pt idx="42">
                  <c:v>3.63</c:v>
                </c:pt>
                <c:pt idx="43">
                  <c:v>3.63</c:v>
                </c:pt>
                <c:pt idx="44">
                  <c:v>3.6</c:v>
                </c:pt>
                <c:pt idx="45">
                  <c:v>3.59</c:v>
                </c:pt>
                <c:pt idx="46">
                  <c:v>3.6</c:v>
                </c:pt>
                <c:pt idx="47">
                  <c:v>3.65</c:v>
                </c:pt>
                <c:pt idx="48">
                  <c:v>3.69</c:v>
                </c:pt>
                <c:pt idx="49">
                  <c:v>3.63</c:v>
                </c:pt>
                <c:pt idx="50">
                  <c:v>3.63</c:v>
                </c:pt>
                <c:pt idx="51">
                  <c:v>3.62</c:v>
                </c:pt>
                <c:pt idx="52">
                  <c:v>3.61</c:v>
                </c:pt>
                <c:pt idx="53">
                  <c:v>3.62</c:v>
                </c:pt>
                <c:pt idx="54">
                  <c:v>3.62</c:v>
                </c:pt>
                <c:pt idx="55">
                  <c:v>3.64</c:v>
                </c:pt>
                <c:pt idx="56">
                  <c:v>3.62</c:v>
                </c:pt>
                <c:pt idx="57">
                  <c:v>3.62</c:v>
                </c:pt>
                <c:pt idx="58">
                  <c:v>3.68</c:v>
                </c:pt>
                <c:pt idx="59">
                  <c:v>3.66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-0.03,-0.06,-0.08,-0.04,-0.02,0.01,0.07,0.02,0,-0.02,-0.02,-0.01,0,0.01,0.01,-0.01,-0.02,0.01,-0.01,-0.02,-0.03,-0.04,-0.05,-0.05,-0.05,-0.05,-0.06,-0.09,-0.1,-0.12,-0.14,-0.15,-0.14,-0.1,-0.02,-0.02,-0.03,-0.02,-0.02,-0.04,-0.03,-0.02,-0.02,-0.05,-0.06,-0.05,0,0.04,-0.02,-0.02,-0.03,-0.04,-0.03,-0.03,-0.01,-0.03,-0.03,0.03,0.01}</c:f>
              <c:numCache>
                <c:formatCode>General</c:formatCode>
                <c:ptCount val="60"/>
                <c:pt idx="0">
                  <c:v>0</c:v>
                </c:pt>
                <c:pt idx="1">
                  <c:v>-0.03</c:v>
                </c:pt>
                <c:pt idx="2">
                  <c:v>-0.06</c:v>
                </c:pt>
                <c:pt idx="3">
                  <c:v>-0.08</c:v>
                </c:pt>
                <c:pt idx="4">
                  <c:v>-0.04</c:v>
                </c:pt>
                <c:pt idx="5">
                  <c:v>-0.02</c:v>
                </c:pt>
                <c:pt idx="6">
                  <c:v>0.01</c:v>
                </c:pt>
                <c:pt idx="7">
                  <c:v>0.07</c:v>
                </c:pt>
                <c:pt idx="8">
                  <c:v>0.02</c:v>
                </c:pt>
                <c:pt idx="9">
                  <c:v>0</c:v>
                </c:pt>
                <c:pt idx="10">
                  <c:v>-0.02</c:v>
                </c:pt>
                <c:pt idx="11">
                  <c:v>-0.02</c:v>
                </c:pt>
                <c:pt idx="12">
                  <c:v>-0.01</c:v>
                </c:pt>
                <c:pt idx="13">
                  <c:v>0</c:v>
                </c:pt>
                <c:pt idx="14">
                  <c:v>0.01</c:v>
                </c:pt>
                <c:pt idx="15">
                  <c:v>0.01</c:v>
                </c:pt>
                <c:pt idx="16">
                  <c:v>-0.01</c:v>
                </c:pt>
                <c:pt idx="17">
                  <c:v>-0.02</c:v>
                </c:pt>
                <c:pt idx="18">
                  <c:v>0.01</c:v>
                </c:pt>
                <c:pt idx="19">
                  <c:v>-0.01</c:v>
                </c:pt>
                <c:pt idx="20">
                  <c:v>-0.02</c:v>
                </c:pt>
                <c:pt idx="21">
                  <c:v>-0.03</c:v>
                </c:pt>
                <c:pt idx="22">
                  <c:v>-0.04</c:v>
                </c:pt>
                <c:pt idx="23">
                  <c:v>-0.05</c:v>
                </c:pt>
                <c:pt idx="24">
                  <c:v>-0.05</c:v>
                </c:pt>
                <c:pt idx="25">
                  <c:v>-0.05</c:v>
                </c:pt>
                <c:pt idx="26">
                  <c:v>-0.05</c:v>
                </c:pt>
                <c:pt idx="27">
                  <c:v>-0.06</c:v>
                </c:pt>
                <c:pt idx="28">
                  <c:v>-0.09</c:v>
                </c:pt>
                <c:pt idx="29">
                  <c:v>-0.1</c:v>
                </c:pt>
                <c:pt idx="30">
                  <c:v>-0.12</c:v>
                </c:pt>
                <c:pt idx="31">
                  <c:v>-0.14</c:v>
                </c:pt>
                <c:pt idx="32">
                  <c:v>-0.15</c:v>
                </c:pt>
                <c:pt idx="33">
                  <c:v>-0.14</c:v>
                </c:pt>
                <c:pt idx="34">
                  <c:v>-0.1</c:v>
                </c:pt>
                <c:pt idx="35">
                  <c:v>-0.02</c:v>
                </c:pt>
                <c:pt idx="36">
                  <c:v>-0.02</c:v>
                </c:pt>
                <c:pt idx="37">
                  <c:v>-0.03</c:v>
                </c:pt>
                <c:pt idx="38">
                  <c:v>-0.02</c:v>
                </c:pt>
                <c:pt idx="39">
                  <c:v>-0.02</c:v>
                </c:pt>
                <c:pt idx="40">
                  <c:v>-0.04</c:v>
                </c:pt>
                <c:pt idx="41">
                  <c:v>-0.03</c:v>
                </c:pt>
                <c:pt idx="42">
                  <c:v>-0.02</c:v>
                </c:pt>
                <c:pt idx="43">
                  <c:v>-0.02</c:v>
                </c:pt>
                <c:pt idx="44">
                  <c:v>-0.05</c:v>
                </c:pt>
                <c:pt idx="45">
                  <c:v>-0.06</c:v>
                </c:pt>
                <c:pt idx="46">
                  <c:v>-0.05</c:v>
                </c:pt>
                <c:pt idx="47">
                  <c:v>0</c:v>
                </c:pt>
                <c:pt idx="48">
                  <c:v>0.04</c:v>
                </c:pt>
                <c:pt idx="49">
                  <c:v>-0.02</c:v>
                </c:pt>
                <c:pt idx="50">
                  <c:v>-0.02</c:v>
                </c:pt>
                <c:pt idx="51">
                  <c:v>-0.03</c:v>
                </c:pt>
                <c:pt idx="52">
                  <c:v>-0.04</c:v>
                </c:pt>
                <c:pt idx="53">
                  <c:v>-0.03</c:v>
                </c:pt>
                <c:pt idx="54">
                  <c:v>-0.03</c:v>
                </c:pt>
                <c:pt idx="55">
                  <c:v>-0.01</c:v>
                </c:pt>
                <c:pt idx="56">
                  <c:v>-0.03</c:v>
                </c:pt>
                <c:pt idx="57">
                  <c:v>-0.03</c:v>
                </c:pt>
                <c:pt idx="58">
                  <c:v>0.03</c:v>
                </c:pt>
                <c:pt idx="59">
                  <c:v>0.01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4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1.15,1.11,1.1,1.11,1.09,1.09,1.08,1.1,1.1,1.1,1.1,1.08,1.08,1.1,1.11,1.11,1.11,1.12,1.1,1.11,1.07,1.09,1.09,1.09,1.09,1.1,1.1,1.05,1.06,1.04,1.05,1.07,1.07,1.05,1.05,1.05,1.05,1.05,1.02,1.02,1.02,1.02,0.98,1,1.02,1.03,1.06,1.04,1.05,1.07,1.03,1.04,1.05,1.04,1.07,1.09,1.12,1.11,1.11,1.12}</c:f>
              <c:numCache>
                <c:formatCode>General</c:formatCode>
                <c:ptCount val="60"/>
                <c:pt idx="0">
                  <c:v>1.15</c:v>
                </c:pt>
                <c:pt idx="1">
                  <c:v>1.11</c:v>
                </c:pt>
                <c:pt idx="2">
                  <c:v>1.1</c:v>
                </c:pt>
                <c:pt idx="3">
                  <c:v>1.11</c:v>
                </c:pt>
                <c:pt idx="4">
                  <c:v>1.09</c:v>
                </c:pt>
                <c:pt idx="5">
                  <c:v>1.09</c:v>
                </c:pt>
                <c:pt idx="6">
                  <c:v>1.08</c:v>
                </c:pt>
                <c:pt idx="7">
                  <c:v>1.1</c:v>
                </c:pt>
                <c:pt idx="8">
                  <c:v>1.1</c:v>
                </c:pt>
                <c:pt idx="9">
                  <c:v>1.1</c:v>
                </c:pt>
                <c:pt idx="10">
                  <c:v>1.1</c:v>
                </c:pt>
                <c:pt idx="11">
                  <c:v>1.08</c:v>
                </c:pt>
                <c:pt idx="12">
                  <c:v>1.08</c:v>
                </c:pt>
                <c:pt idx="13">
                  <c:v>1.1</c:v>
                </c:pt>
                <c:pt idx="14">
                  <c:v>1.11</c:v>
                </c:pt>
                <c:pt idx="15">
                  <c:v>1.11</c:v>
                </c:pt>
                <c:pt idx="16">
                  <c:v>1.11</c:v>
                </c:pt>
                <c:pt idx="17">
                  <c:v>1.12</c:v>
                </c:pt>
                <c:pt idx="18">
                  <c:v>1.1</c:v>
                </c:pt>
                <c:pt idx="19">
                  <c:v>1.11</c:v>
                </c:pt>
                <c:pt idx="20">
                  <c:v>1.07</c:v>
                </c:pt>
                <c:pt idx="21">
                  <c:v>1.09</c:v>
                </c:pt>
                <c:pt idx="22">
                  <c:v>1.09</c:v>
                </c:pt>
                <c:pt idx="23">
                  <c:v>1.09</c:v>
                </c:pt>
                <c:pt idx="24">
                  <c:v>1.09</c:v>
                </c:pt>
                <c:pt idx="25">
                  <c:v>1.1</c:v>
                </c:pt>
                <c:pt idx="26">
                  <c:v>1.1</c:v>
                </c:pt>
                <c:pt idx="27">
                  <c:v>1.05</c:v>
                </c:pt>
                <c:pt idx="28">
                  <c:v>1.06</c:v>
                </c:pt>
                <c:pt idx="29">
                  <c:v>1.04</c:v>
                </c:pt>
                <c:pt idx="30">
                  <c:v>1.05</c:v>
                </c:pt>
                <c:pt idx="31">
                  <c:v>1.07</c:v>
                </c:pt>
                <c:pt idx="32">
                  <c:v>1.07</c:v>
                </c:pt>
                <c:pt idx="33">
                  <c:v>1.05</c:v>
                </c:pt>
                <c:pt idx="34">
                  <c:v>1.05</c:v>
                </c:pt>
                <c:pt idx="35">
                  <c:v>1.05</c:v>
                </c:pt>
                <c:pt idx="36">
                  <c:v>1.05</c:v>
                </c:pt>
                <c:pt idx="37">
                  <c:v>1.05</c:v>
                </c:pt>
                <c:pt idx="38">
                  <c:v>1.02</c:v>
                </c:pt>
                <c:pt idx="39">
                  <c:v>1.02</c:v>
                </c:pt>
                <c:pt idx="40">
                  <c:v>1.02</c:v>
                </c:pt>
                <c:pt idx="41">
                  <c:v>1.02</c:v>
                </c:pt>
                <c:pt idx="42">
                  <c:v>0.98</c:v>
                </c:pt>
                <c:pt idx="43">
                  <c:v>1</c:v>
                </c:pt>
                <c:pt idx="44">
                  <c:v>1.02</c:v>
                </c:pt>
                <c:pt idx="45">
                  <c:v>1.03</c:v>
                </c:pt>
                <c:pt idx="46">
                  <c:v>1.06</c:v>
                </c:pt>
                <c:pt idx="47">
                  <c:v>1.04</c:v>
                </c:pt>
                <c:pt idx="48">
                  <c:v>1.05</c:v>
                </c:pt>
                <c:pt idx="49">
                  <c:v>1.07</c:v>
                </c:pt>
                <c:pt idx="50">
                  <c:v>1.03</c:v>
                </c:pt>
                <c:pt idx="51">
                  <c:v>1.04</c:v>
                </c:pt>
                <c:pt idx="52">
                  <c:v>1.05</c:v>
                </c:pt>
                <c:pt idx="53">
                  <c:v>1.04</c:v>
                </c:pt>
                <c:pt idx="54">
                  <c:v>1.07</c:v>
                </c:pt>
                <c:pt idx="55">
                  <c:v>1.09</c:v>
                </c:pt>
                <c:pt idx="56">
                  <c:v>1.12</c:v>
                </c:pt>
                <c:pt idx="57">
                  <c:v>1.11</c:v>
                </c:pt>
                <c:pt idx="58">
                  <c:v>1.11</c:v>
                </c:pt>
                <c:pt idx="59">
                  <c:v>1.12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{2.9,6.9,6,5,7.1}</c:f>
              <c:numCache>
                <c:formatCode>General</c:formatCode>
                <c:ptCount val="5"/>
                <c:pt idx="0">
                  <c:v>2.9</c:v>
                </c:pt>
                <c:pt idx="1">
                  <c:v>6.9</c:v>
                </c:pt>
                <c:pt idx="2">
                  <c:v>6</c:v>
                </c:pt>
                <c:pt idx="3">
                  <c:v>5</c:v>
                </c:pt>
                <c:pt idx="4">
                  <c:v>7.1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{2872765.9,2880582.7,2888022.7,2894246,2896367.5,2898460.4,2894992,2901015.8}</c:f>
              <c:numCache>
                <c:formatCode>General</c:formatCode>
                <c:ptCount val="8"/>
                <c:pt idx="0">
                  <c:v>2872765.9</c:v>
                </c:pt>
                <c:pt idx="1">
                  <c:v>2880582.7</c:v>
                </c:pt>
                <c:pt idx="2">
                  <c:v>2888022.7</c:v>
                </c:pt>
                <c:pt idx="3">
                  <c:v>2894246</c:v>
                </c:pt>
                <c:pt idx="4">
                  <c:v>2896367.5</c:v>
                </c:pt>
                <c:pt idx="5">
                  <c:v>2898460.4</c:v>
                </c:pt>
                <c:pt idx="6">
                  <c:v>2894992</c:v>
                </c:pt>
                <c:pt idx="7">
                  <c:v>2901015.8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{1888500.3,1885800.3,1885537,1890749.7,1889865.8,1890871.7,1893328.2,1894424.3,1894045.1,1896255.7,1894630.1,1896780.8}</c:f>
              <c:numCache>
                <c:formatCode>General</c:formatCode>
                <c:ptCount val="12"/>
                <c:pt idx="0">
                  <c:v>1888500.3</c:v>
                </c:pt>
                <c:pt idx="1">
                  <c:v>1885800.3</c:v>
                </c:pt>
                <c:pt idx="2">
                  <c:v>1885537</c:v>
                </c:pt>
                <c:pt idx="3">
                  <c:v>1890749.7</c:v>
                </c:pt>
                <c:pt idx="4">
                  <c:v>1889865.8</c:v>
                </c:pt>
                <c:pt idx="5">
                  <c:v>1890871.7</c:v>
                </c:pt>
                <c:pt idx="6">
                  <c:v>1893328.2</c:v>
                </c:pt>
                <c:pt idx="7">
                  <c:v>1894424.3</c:v>
                </c:pt>
                <c:pt idx="8">
                  <c:v>1894045.1</c:v>
                </c:pt>
                <c:pt idx="9">
                  <c:v>1896255.7</c:v>
                </c:pt>
                <c:pt idx="10">
                  <c:v>1894630.1</c:v>
                </c:pt>
                <c:pt idx="11">
                  <c:v>1896780.8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5655709,5657366.3,5659471.9,5660268.9,5666094.8,5669508.1,5669289.3,5667278.6,5665417,5668047.7,5672455.5,5674537.9,5675809.6,5672144.5,5677916.7,5681067.9,5682144.2,5680900.3,5683366.6,5686475.3,5690632.8,5687182.1,5691446.9,5699697.6,5705625.8,5707908.7,5706295.8,5712762.4,5720257.5,5724841.8,5726145.1,5735850.8,5737869.9,5736660.1,5733214.8,5738875.7,5744206.9,5751383.7,5753101.5,5753149.9,5760548,5764552.8,5762730.6,5763002.3,5760720.3,5762828.6,5769382.1,5769585.6,5771010.5,5775849.8,5778122.3,5777550.3,5783655.1,5785021.6,5791822.1,5789673.3,5791823.9,5798466.3,5800868.7,5798603.8}</c:f>
              <c:numCache>
                <c:formatCode>General</c:formatCode>
                <c:ptCount val="60"/>
                <c:pt idx="0">
                  <c:v>5655709</c:v>
                </c:pt>
                <c:pt idx="1">
                  <c:v>5657366.3</c:v>
                </c:pt>
                <c:pt idx="2">
                  <c:v>5659471.9</c:v>
                </c:pt>
                <c:pt idx="3">
                  <c:v>5660268.9</c:v>
                </c:pt>
                <c:pt idx="4">
                  <c:v>5666094.8</c:v>
                </c:pt>
                <c:pt idx="5">
                  <c:v>5669508.1</c:v>
                </c:pt>
                <c:pt idx="6">
                  <c:v>5669289.3</c:v>
                </c:pt>
                <c:pt idx="7">
                  <c:v>5667278.6</c:v>
                </c:pt>
                <c:pt idx="8">
                  <c:v>5665417</c:v>
                </c:pt>
                <c:pt idx="9">
                  <c:v>5668047.7</c:v>
                </c:pt>
                <c:pt idx="10">
                  <c:v>5672455.5</c:v>
                </c:pt>
                <c:pt idx="11">
                  <c:v>5674537.9</c:v>
                </c:pt>
                <c:pt idx="12">
                  <c:v>5675809.6</c:v>
                </c:pt>
                <c:pt idx="13">
                  <c:v>5672144.5</c:v>
                </c:pt>
                <c:pt idx="14">
                  <c:v>5677916.7</c:v>
                </c:pt>
                <c:pt idx="15">
                  <c:v>5681067.9</c:v>
                </c:pt>
                <c:pt idx="16">
                  <c:v>5682144.2</c:v>
                </c:pt>
                <c:pt idx="17">
                  <c:v>5680900.3</c:v>
                </c:pt>
                <c:pt idx="18">
                  <c:v>5683366.6</c:v>
                </c:pt>
                <c:pt idx="19">
                  <c:v>5686475.3</c:v>
                </c:pt>
                <c:pt idx="20">
                  <c:v>5690632.8</c:v>
                </c:pt>
                <c:pt idx="21">
                  <c:v>5687182.1</c:v>
                </c:pt>
                <c:pt idx="22">
                  <c:v>5691446.9</c:v>
                </c:pt>
                <c:pt idx="23">
                  <c:v>5699697.6</c:v>
                </c:pt>
                <c:pt idx="24">
                  <c:v>5705625.8</c:v>
                </c:pt>
                <c:pt idx="25">
                  <c:v>5707908.7</c:v>
                </c:pt>
                <c:pt idx="26">
                  <c:v>5706295.8</c:v>
                </c:pt>
                <c:pt idx="27">
                  <c:v>5712762.4</c:v>
                </c:pt>
                <c:pt idx="28">
                  <c:v>5720257.5</c:v>
                </c:pt>
                <c:pt idx="29">
                  <c:v>5724841.8</c:v>
                </c:pt>
                <c:pt idx="30">
                  <c:v>5726145.1</c:v>
                </c:pt>
                <c:pt idx="31">
                  <c:v>5735850.8</c:v>
                </c:pt>
                <c:pt idx="32">
                  <c:v>5737869.9</c:v>
                </c:pt>
                <c:pt idx="33">
                  <c:v>5736660.1</c:v>
                </c:pt>
                <c:pt idx="34">
                  <c:v>5733214.8</c:v>
                </c:pt>
                <c:pt idx="35">
                  <c:v>5738875.7</c:v>
                </c:pt>
                <c:pt idx="36">
                  <c:v>5744206.9</c:v>
                </c:pt>
                <c:pt idx="37">
                  <c:v>5751383.7</c:v>
                </c:pt>
                <c:pt idx="38">
                  <c:v>5753101.5</c:v>
                </c:pt>
                <c:pt idx="39">
                  <c:v>5753149.9</c:v>
                </c:pt>
                <c:pt idx="40">
                  <c:v>5760548</c:v>
                </c:pt>
                <c:pt idx="41">
                  <c:v>5764552.8</c:v>
                </c:pt>
                <c:pt idx="42">
                  <c:v>5762730.6</c:v>
                </c:pt>
                <c:pt idx="43">
                  <c:v>5763002.3</c:v>
                </c:pt>
                <c:pt idx="44">
                  <c:v>5760720.3</c:v>
                </c:pt>
                <c:pt idx="45">
                  <c:v>5762828.6</c:v>
                </c:pt>
                <c:pt idx="46">
                  <c:v>5769382.1</c:v>
                </c:pt>
                <c:pt idx="47">
                  <c:v>5769585.6</c:v>
                </c:pt>
                <c:pt idx="48">
                  <c:v>5771010.5</c:v>
                </c:pt>
                <c:pt idx="49">
                  <c:v>5775849.8</c:v>
                </c:pt>
                <c:pt idx="50">
                  <c:v>5778122.3</c:v>
                </c:pt>
                <c:pt idx="51">
                  <c:v>5777550.3</c:v>
                </c:pt>
                <c:pt idx="52">
                  <c:v>5783655.1</c:v>
                </c:pt>
                <c:pt idx="53">
                  <c:v>5785021.6</c:v>
                </c:pt>
                <c:pt idx="54">
                  <c:v>5791822.1</c:v>
                </c:pt>
                <c:pt idx="55">
                  <c:v>5789673.3</c:v>
                </c:pt>
                <c:pt idx="56">
                  <c:v>5791823.9</c:v>
                </c:pt>
                <c:pt idx="57">
                  <c:v>5798466.3</c:v>
                </c:pt>
                <c:pt idx="58">
                  <c:v>5800868.7</c:v>
                </c:pt>
                <c:pt idx="59">
                  <c:v>5798603.8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{18746.7,18804.2,18840.9,18904.7,18985.1,19018.1,19092.4,19191.8,19386.9,19436.1,19531.7,19750.9}</c:f>
              <c:numCache>
                <c:formatCode>General</c:formatCode>
                <c:ptCount val="12"/>
                <c:pt idx="0">
                  <c:v>18746.7</c:v>
                </c:pt>
                <c:pt idx="1">
                  <c:v>18804.2</c:v>
                </c:pt>
                <c:pt idx="2">
                  <c:v>18840.9</c:v>
                </c:pt>
                <c:pt idx="3">
                  <c:v>18904.7</c:v>
                </c:pt>
                <c:pt idx="4">
                  <c:v>18985.1</c:v>
                </c:pt>
                <c:pt idx="5">
                  <c:v>19018.1</c:v>
                </c:pt>
                <c:pt idx="6">
                  <c:v>19092.4</c:v>
                </c:pt>
                <c:pt idx="7">
                  <c:v>19191.8</c:v>
                </c:pt>
                <c:pt idx="8">
                  <c:v>19386.9</c:v>
                </c:pt>
                <c:pt idx="9">
                  <c:v>19436.1</c:v>
                </c:pt>
                <c:pt idx="10">
                  <c:v>19531.7</c:v>
                </c:pt>
                <c:pt idx="11">
                  <c:v>19750.9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{21938.7,22020.4,22087.1,22170.4,22245.1,22277.3,22353.4,22429.3,22626.9,22686.2,22804.5,23052.3}</c:f>
              <c:numCache>
                <c:formatCode>General</c:formatCode>
                <c:ptCount val="12"/>
                <c:pt idx="0">
                  <c:v>21938.7</c:v>
                </c:pt>
                <c:pt idx="1">
                  <c:v>22020.4</c:v>
                </c:pt>
                <c:pt idx="2">
                  <c:v>22087.1</c:v>
                </c:pt>
                <c:pt idx="3">
                  <c:v>22170.4</c:v>
                </c:pt>
                <c:pt idx="4">
                  <c:v>22245.1</c:v>
                </c:pt>
                <c:pt idx="5">
                  <c:v>22277.3</c:v>
                </c:pt>
                <c:pt idx="6">
                  <c:v>22353.4</c:v>
                </c:pt>
                <c:pt idx="7">
                  <c:v>22429.3</c:v>
                </c:pt>
                <c:pt idx="8">
                  <c:v>22626.9</c:v>
                </c:pt>
                <c:pt idx="9">
                  <c:v>22686.2</c:v>
                </c:pt>
                <c:pt idx="10">
                  <c:v>22804.5</c:v>
                </c:pt>
                <c:pt idx="11">
                  <c:v>23052.3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{48,48.7,49.1,48.7,48.2,47.9,52.6,52.4,52.7,52.7,54,53.3}</c:f>
              <c:numCache>
                <c:formatCode>General</c:formatCode>
                <c:ptCount val="12"/>
                <c:pt idx="0">
                  <c:v>48</c:v>
                </c:pt>
                <c:pt idx="1">
                  <c:v>48.7</c:v>
                </c:pt>
                <c:pt idx="2">
                  <c:v>49.1</c:v>
                </c:pt>
                <c:pt idx="3">
                  <c:v>48.7</c:v>
                </c:pt>
                <c:pt idx="4">
                  <c:v>48.2</c:v>
                </c:pt>
                <c:pt idx="5">
                  <c:v>47.9</c:v>
                </c:pt>
                <c:pt idx="6">
                  <c:v>52.6</c:v>
                </c:pt>
                <c:pt idx="7">
                  <c:v>52.4</c:v>
                </c:pt>
                <c:pt idx="8">
                  <c:v>52.7</c:v>
                </c:pt>
                <c:pt idx="9">
                  <c:v>52.7</c:v>
                </c:pt>
                <c:pt idx="10">
                  <c:v>54</c:v>
                </c:pt>
                <c:pt idx="11">
                  <c:v>53.3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{50.8,50.1,52,50,52.4,52.6,54.4,53.8,56.1,54,53.6,54.5}</c:f>
              <c:numCache>
                <c:formatCode>General</c:formatCode>
                <c:ptCount val="12"/>
                <c:pt idx="0">
                  <c:v>50.8</c:v>
                </c:pt>
                <c:pt idx="1">
                  <c:v>50.1</c:v>
                </c:pt>
                <c:pt idx="2">
                  <c:v>52</c:v>
                </c:pt>
                <c:pt idx="3">
                  <c:v>50</c:v>
                </c:pt>
                <c:pt idx="4">
                  <c:v>52.4</c:v>
                </c:pt>
                <c:pt idx="5">
                  <c:v>52.6</c:v>
                </c:pt>
                <c:pt idx="6">
                  <c:v>54.4</c:v>
                </c:pt>
                <c:pt idx="7">
                  <c:v>53.8</c:v>
                </c:pt>
                <c:pt idx="8">
                  <c:v>56.1</c:v>
                </c:pt>
                <c:pt idx="9">
                  <c:v>54</c:v>
                </c:pt>
                <c:pt idx="10">
                  <c:v>53.6</c:v>
                </c:pt>
                <c:pt idx="11">
                  <c:v>54.5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{73,22,119,-105,64,50,130,-92,178,115,172,57}</c:f>
              <c:numCache>
                <c:formatCode>General</c:formatCode>
                <c:ptCount val="12"/>
                <c:pt idx="0">
                  <c:v>73</c:v>
                </c:pt>
                <c:pt idx="1">
                  <c:v>22</c:v>
                </c:pt>
                <c:pt idx="2">
                  <c:v>119</c:v>
                </c:pt>
                <c:pt idx="3">
                  <c:v>-105</c:v>
                </c:pt>
                <c:pt idx="4">
                  <c:v>64</c:v>
                </c:pt>
                <c:pt idx="5">
                  <c:v>50</c:v>
                </c:pt>
                <c:pt idx="6">
                  <c:v>130</c:v>
                </c:pt>
                <c:pt idx="7">
                  <c:v>-92</c:v>
                </c:pt>
                <c:pt idx="8">
                  <c:v>178</c:v>
                </c:pt>
                <c:pt idx="9">
                  <c:v>115</c:v>
                </c:pt>
                <c:pt idx="10">
                  <c:v>172</c:v>
                </c:pt>
                <c:pt idx="11">
                  <c:v>57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5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{4.1,4.3,4.3,4.4,4.5,4.4,4.3,4.4,4.3,4.3,4.3,4.2}</c:f>
              <c:numCache>
                <c:formatCode>General</c:formatCode>
                <c:ptCount val="12"/>
                <c:pt idx="0">
                  <c:v>4.1</c:v>
                </c:pt>
                <c:pt idx="1">
                  <c:v>4.3</c:v>
                </c:pt>
                <c:pt idx="2">
                  <c:v>4.3</c:v>
                </c:pt>
                <c:pt idx="3">
                  <c:v>4.4</c:v>
                </c:pt>
                <c:pt idx="4">
                  <c:v>4.5</c:v>
                </c:pt>
                <c:pt idx="5">
                  <c:v>4.4</c:v>
                </c:pt>
                <c:pt idx="6">
                  <c:v>4.3</c:v>
                </c:pt>
                <c:pt idx="7">
                  <c:v>4.4</c:v>
                </c:pt>
                <c:pt idx="8">
                  <c:v>4.3</c:v>
                </c:pt>
                <c:pt idx="9">
                  <c:v>4.3</c:v>
                </c:pt>
                <c:pt idx="10">
                  <c:v>4.3</c:v>
                </c:pt>
                <c:pt idx="11">
                  <c:v>4.2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{0.42,1.88,0.96,1.81,1.62,2.06,1.36,0.79,0.74,0.53,1.15,1.63}</c:f>
              <c:numCache>
                <c:formatCode>General</c:formatCode>
                <c:ptCount val="12"/>
                <c:pt idx="0">
                  <c:v>0.42</c:v>
                </c:pt>
                <c:pt idx="1">
                  <c:v>1.88</c:v>
                </c:pt>
                <c:pt idx="2">
                  <c:v>0.96</c:v>
                </c:pt>
                <c:pt idx="3">
                  <c:v>1.81</c:v>
                </c:pt>
                <c:pt idx="4">
                  <c:v>1.62</c:v>
                </c:pt>
                <c:pt idx="5">
                  <c:v>2.06</c:v>
                </c:pt>
                <c:pt idx="6">
                  <c:v>1.36</c:v>
                </c:pt>
                <c:pt idx="7">
                  <c:v>0.79</c:v>
                </c:pt>
                <c:pt idx="8">
                  <c:v>0.74</c:v>
                </c:pt>
                <c:pt idx="9">
                  <c:v>0.53</c:v>
                </c:pt>
                <c:pt idx="10">
                  <c:v>1.15</c:v>
                </c:pt>
                <c:pt idx="11">
                  <c:v>1.63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{61.7,58.2,55.1,53.6,51,52.9,56.4,56.6,53.3,49.8,44.8,49.5}</c:f>
              <c:numCache>
                <c:formatCode>General</c:formatCode>
                <c:ptCount val="12"/>
                <c:pt idx="0">
                  <c:v>61.7</c:v>
                </c:pt>
                <c:pt idx="1">
                  <c:v>58.2</c:v>
                </c:pt>
                <c:pt idx="2">
                  <c:v>55.1</c:v>
                </c:pt>
                <c:pt idx="3">
                  <c:v>53.6</c:v>
                </c:pt>
                <c:pt idx="4">
                  <c:v>51</c:v>
                </c:pt>
                <c:pt idx="5">
                  <c:v>52.9</c:v>
                </c:pt>
                <c:pt idx="6">
                  <c:v>56.4</c:v>
                </c:pt>
                <c:pt idx="7">
                  <c:v>56.6</c:v>
                </c:pt>
                <c:pt idx="8">
                  <c:v>53.3</c:v>
                </c:pt>
                <c:pt idx="9">
                  <c:v>49.8</c:v>
                </c:pt>
                <c:pt idx="10">
                  <c:v>44.8</c:v>
                </c:pt>
                <c:pt idx="11">
                  <c:v>49.5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{2.0193,2.0806,2.3349,1.9893,2.6847}</c:f>
              <c:numCache>
                <c:formatCode>General</c:formatCode>
                <c:ptCount val="5"/>
                <c:pt idx="0">
                  <c:v>2.0193</c:v>
                </c:pt>
                <c:pt idx="1">
                  <c:v>2.0806</c:v>
                </c:pt>
                <c:pt idx="2">
                  <c:v>2.3349</c:v>
                </c:pt>
                <c:pt idx="3">
                  <c:v>1.9893</c:v>
                </c:pt>
                <c:pt idx="4">
                  <c:v>2.6847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{1.184632,0.64921,0.545946,0.067241,-0.155833,0.501607,-0.000136,-0.029127,0.922392,1.717979,0.400921,0.880936}</c:f>
              <c:numCache>
                <c:formatCode>General</c:formatCode>
                <c:ptCount val="12"/>
                <c:pt idx="0">
                  <c:v>1.184632</c:v>
                </c:pt>
                <c:pt idx="1">
                  <c:v>0.64921</c:v>
                </c:pt>
                <c:pt idx="2">
                  <c:v>0.545946</c:v>
                </c:pt>
                <c:pt idx="3">
                  <c:v>0.067241</c:v>
                </c:pt>
                <c:pt idx="4">
                  <c:v>-0.155833</c:v>
                </c:pt>
                <c:pt idx="5">
                  <c:v>0.501607</c:v>
                </c:pt>
                <c:pt idx="6">
                  <c:v>-0.000136</c:v>
                </c:pt>
                <c:pt idx="7">
                  <c:v>-0.029127</c:v>
                </c:pt>
                <c:pt idx="8">
                  <c:v>0.922392</c:v>
                </c:pt>
                <c:pt idx="9">
                  <c:v>1.717979</c:v>
                </c:pt>
                <c:pt idx="10">
                  <c:v>0.400921</c:v>
                </c:pt>
                <c:pt idx="11">
                  <c:v>0.880936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{57,53,57,58,48,52,56,47,55,63,59,51}</c:f>
              <c:numCache>
                <c:formatCode>General</c:formatCode>
                <c:ptCount val="12"/>
                <c:pt idx="0">
                  <c:v>57</c:v>
                </c:pt>
                <c:pt idx="1">
                  <c:v>53</c:v>
                </c:pt>
                <c:pt idx="2">
                  <c:v>57</c:v>
                </c:pt>
                <c:pt idx="3">
                  <c:v>58</c:v>
                </c:pt>
                <c:pt idx="4">
                  <c:v>48</c:v>
                </c:pt>
                <c:pt idx="5">
                  <c:v>52</c:v>
                </c:pt>
                <c:pt idx="6">
                  <c:v>56</c:v>
                </c:pt>
                <c:pt idx="7">
                  <c:v>47</c:v>
                </c:pt>
                <c:pt idx="8">
                  <c:v>55</c:v>
                </c:pt>
                <c:pt idx="9">
                  <c:v>63</c:v>
                </c:pt>
                <c:pt idx="10">
                  <c:v>59</c:v>
                </c:pt>
                <c:pt idx="11">
                  <c:v>51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{4,4,3.8,3.9,3.9,3.7,3.7,3.7,3.4,3.6,3.4,3.5}</c:f>
              <c:numCache>
                <c:formatCode>General</c:formatCode>
                <c:ptCount val="12"/>
                <c:pt idx="0">
                  <c:v>4</c:v>
                </c:pt>
                <c:pt idx="1">
                  <c:v>4</c:v>
                </c:pt>
                <c:pt idx="2">
                  <c:v>3.8</c:v>
                </c:pt>
                <c:pt idx="3">
                  <c:v>3.9</c:v>
                </c:pt>
                <c:pt idx="4">
                  <c:v>3.9</c:v>
                </c:pt>
                <c:pt idx="5">
                  <c:v>3.7</c:v>
                </c:pt>
                <c:pt idx="6">
                  <c:v>3.7</c:v>
                </c:pt>
                <c:pt idx="7">
                  <c:v>3.7</c:v>
                </c:pt>
                <c:pt idx="8">
                  <c:v>3.4</c:v>
                </c:pt>
                <c:pt idx="9">
                  <c:v>3.6</c:v>
                </c:pt>
                <c:pt idx="10">
                  <c:v>3.4</c:v>
                </c:pt>
                <c:pt idx="11">
                  <c:v>3.5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{2,1.8,1.8,1,0.7}</c:f>
              <c:numCache>
                <c:formatCode>General</c:formatCode>
                <c:ptCount val="5"/>
                <c:pt idx="0">
                  <c:v>2</c:v>
                </c:pt>
                <c:pt idx="1">
                  <c:v>1.8</c:v>
                </c:pt>
                <c:pt idx="2">
                  <c:v>1.8</c:v>
                </c:pt>
                <c:pt idx="3">
                  <c:v>1</c:v>
                </c:pt>
                <c:pt idx="4">
                  <c:v>0.7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{2.4,2.7,2.7,2.9,3,2.7,2.7,2.4,2.4,3.3,3.8,4.2}</c:f>
              <c:numCache>
                <c:formatCode>General</c:formatCode>
                <c:ptCount val="12"/>
                <c:pt idx="0">
                  <c:v>2.4</c:v>
                </c:pt>
                <c:pt idx="1">
                  <c:v>2.7</c:v>
                </c:pt>
                <c:pt idx="2">
                  <c:v>2.7</c:v>
                </c:pt>
                <c:pt idx="3">
                  <c:v>2.9</c:v>
                </c:pt>
                <c:pt idx="4">
                  <c:v>3</c:v>
                </c:pt>
                <c:pt idx="5">
                  <c:v>2.7</c:v>
                </c:pt>
                <c:pt idx="6">
                  <c:v>2.7</c:v>
                </c:pt>
                <c:pt idx="7">
                  <c:v>2.4</c:v>
                </c:pt>
                <c:pt idx="8">
                  <c:v>2.4</c:v>
                </c:pt>
                <c:pt idx="9">
                  <c:v>3.3</c:v>
                </c:pt>
                <c:pt idx="10">
                  <c:v>3.8</c:v>
                </c:pt>
                <c:pt idx="11">
                  <c:v>4.2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{2.4,3.2,2.7,3,2.8,3.1,3.1,3.1,3.4,4.3,5.7,6.5}</c:f>
              <c:numCache>
                <c:formatCode>General</c:formatCode>
                <c:ptCount val="12"/>
                <c:pt idx="0">
                  <c:v>2.4</c:v>
                </c:pt>
                <c:pt idx="1">
                  <c:v>3.2</c:v>
                </c:pt>
                <c:pt idx="2">
                  <c:v>2.7</c:v>
                </c:pt>
                <c:pt idx="3">
                  <c:v>3</c:v>
                </c:pt>
                <c:pt idx="4">
                  <c:v>2.8</c:v>
                </c:pt>
                <c:pt idx="5">
                  <c:v>3.1</c:v>
                </c:pt>
                <c:pt idx="6">
                  <c:v>3.1</c:v>
                </c:pt>
                <c:pt idx="7">
                  <c:v>3.1</c:v>
                </c:pt>
                <c:pt idx="8">
                  <c:v>3.4</c:v>
                </c:pt>
                <c:pt idx="9">
                  <c:v>4.3</c:v>
                </c:pt>
                <c:pt idx="10">
                  <c:v>5.7</c:v>
                </c:pt>
                <c:pt idx="11">
                  <c:v>6.5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6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{2.8074,2.863,2.9124,2.8251,2.7545,2.8291,2.9711,3.1047,3.0493,3.2538,3.3187,3.412}</c:f>
              <c:numCache>
                <c:formatCode>General</c:formatCode>
                <c:ptCount val="12"/>
                <c:pt idx="0">
                  <c:v>2.8074</c:v>
                </c:pt>
                <c:pt idx="1">
                  <c:v>2.863</c:v>
                </c:pt>
                <c:pt idx="2">
                  <c:v>2.9124</c:v>
                </c:pt>
                <c:pt idx="3">
                  <c:v>2.8251</c:v>
                </c:pt>
                <c:pt idx="4">
                  <c:v>2.7545</c:v>
                </c:pt>
                <c:pt idx="5">
                  <c:v>2.8291</c:v>
                </c:pt>
                <c:pt idx="6">
                  <c:v>2.9711</c:v>
                </c:pt>
                <c:pt idx="7">
                  <c:v>3.1047</c:v>
                </c:pt>
                <c:pt idx="8">
                  <c:v>3.0493</c:v>
                </c:pt>
                <c:pt idx="9">
                  <c:v>3.2538</c:v>
                </c:pt>
                <c:pt idx="10">
                  <c:v>3.3187</c:v>
                </c:pt>
                <c:pt idx="11">
                  <c:v>3.412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81.6298466398,-146.853337127,-72.5414403595,97.3471759241,18.5013746799,73.215646224,-220.220097241,-227.112971918,-163.19298229,-80.3024836926,20.7283285009,-15.7782734017,-70.4757158862,-124.302386803,-92.6139269769,-124.345185906,-225.810030664,-72.0936661052,-242.178991676,-222.905202258,9.63980165709,-345.251139344,-211.610866552,-386.152267495,-273.814978067,-509.234760573,-271.571332992,-177.241159333,-227.592177652,-60.334517441,-118.690011817,-159.783105503,-194.384505112,-32.2611114189,-86.2898117034,-437.990623389,23.5058167428,-51.7102161275,-144.176888943,9.31230281449,155.709964762,-87.9071285614,-175.52344042,4.56203822251,143.225438026,331.140502363,-272.982211134,-50.6421162897,52.9423377423,-70.9111199317,-161.982606106,-201.425755062,-226.759758211,-162.492649746,-102.987394642,-260.021651676,-237.103161764,-253.607152562,200.88452006,-11.3803256421}</c:f>
              <c:numCache>
                <c:formatCode>General</c:formatCode>
                <c:ptCount val="60"/>
                <c:pt idx="0">
                  <c:v>81.6298466398</c:v>
                </c:pt>
                <c:pt idx="1">
                  <c:v>-146.853337127</c:v>
                </c:pt>
                <c:pt idx="2">
                  <c:v>-72.5414403595</c:v>
                </c:pt>
                <c:pt idx="3">
                  <c:v>97.3471759241</c:v>
                </c:pt>
                <c:pt idx="4">
                  <c:v>18.5013746799</c:v>
                </c:pt>
                <c:pt idx="5">
                  <c:v>73.215646224</c:v>
                </c:pt>
                <c:pt idx="6">
                  <c:v>-220.220097241</c:v>
                </c:pt>
                <c:pt idx="7">
                  <c:v>-227.112971918</c:v>
                </c:pt>
                <c:pt idx="8">
                  <c:v>-163.19298229</c:v>
                </c:pt>
                <c:pt idx="9">
                  <c:v>-80.3024836926</c:v>
                </c:pt>
                <c:pt idx="10">
                  <c:v>20.7283285009</c:v>
                </c:pt>
                <c:pt idx="11">
                  <c:v>-15.7782734017</c:v>
                </c:pt>
                <c:pt idx="12">
                  <c:v>-70.4757158862</c:v>
                </c:pt>
                <c:pt idx="13">
                  <c:v>-124.302386803</c:v>
                </c:pt>
                <c:pt idx="14">
                  <c:v>-92.6139269769</c:v>
                </c:pt>
                <c:pt idx="15">
                  <c:v>-124.345185906</c:v>
                </c:pt>
                <c:pt idx="16">
                  <c:v>-225.810030664</c:v>
                </c:pt>
                <c:pt idx="17">
                  <c:v>-72.0936661052</c:v>
                </c:pt>
                <c:pt idx="18">
                  <c:v>-242.178991676</c:v>
                </c:pt>
                <c:pt idx="19">
                  <c:v>-222.905202258</c:v>
                </c:pt>
                <c:pt idx="20">
                  <c:v>9.63980165709</c:v>
                </c:pt>
                <c:pt idx="21">
                  <c:v>-345.251139344</c:v>
                </c:pt>
                <c:pt idx="22">
                  <c:v>-211.610866552</c:v>
                </c:pt>
                <c:pt idx="23">
                  <c:v>-386.152267495</c:v>
                </c:pt>
                <c:pt idx="24">
                  <c:v>-273.814978067</c:v>
                </c:pt>
                <c:pt idx="25">
                  <c:v>-509.234760573</c:v>
                </c:pt>
                <c:pt idx="26">
                  <c:v>-271.571332992</c:v>
                </c:pt>
                <c:pt idx="27">
                  <c:v>-177.241159333</c:v>
                </c:pt>
                <c:pt idx="28">
                  <c:v>-227.592177652</c:v>
                </c:pt>
                <c:pt idx="29">
                  <c:v>-60.334517441</c:v>
                </c:pt>
                <c:pt idx="30">
                  <c:v>-118.690011817</c:v>
                </c:pt>
                <c:pt idx="31">
                  <c:v>-159.783105503</c:v>
                </c:pt>
                <c:pt idx="32">
                  <c:v>-194.384505112</c:v>
                </c:pt>
                <c:pt idx="33">
                  <c:v>-32.2611114189</c:v>
                </c:pt>
                <c:pt idx="34">
                  <c:v>-86.2898117034</c:v>
                </c:pt>
                <c:pt idx="35">
                  <c:v>-437.990623389</c:v>
                </c:pt>
                <c:pt idx="36">
                  <c:v>23.5058167428</c:v>
                </c:pt>
                <c:pt idx="37">
                  <c:v>-51.7102161275</c:v>
                </c:pt>
                <c:pt idx="38">
                  <c:v>-144.176888943</c:v>
                </c:pt>
                <c:pt idx="39">
                  <c:v>9.31230281449</c:v>
                </c:pt>
                <c:pt idx="40">
                  <c:v>155.709964762</c:v>
                </c:pt>
                <c:pt idx="41">
                  <c:v>-87.9071285614</c:v>
                </c:pt>
                <c:pt idx="42">
                  <c:v>-175.52344042</c:v>
                </c:pt>
                <c:pt idx="43">
                  <c:v>4.56203822251</c:v>
                </c:pt>
                <c:pt idx="44">
                  <c:v>143.225438026</c:v>
                </c:pt>
                <c:pt idx="45">
                  <c:v>331.140502363</c:v>
                </c:pt>
                <c:pt idx="46">
                  <c:v>-272.982211134</c:v>
                </c:pt>
                <c:pt idx="47">
                  <c:v>-50.6421162897</c:v>
                </c:pt>
                <c:pt idx="48">
                  <c:v>52.9423377423</c:v>
                </c:pt>
                <c:pt idx="49">
                  <c:v>-70.9111199317</c:v>
                </c:pt>
                <c:pt idx="50">
                  <c:v>-161.982606106</c:v>
                </c:pt>
                <c:pt idx="51">
                  <c:v>-201.425755062</c:v>
                </c:pt>
                <c:pt idx="52">
                  <c:v>-226.759758211</c:v>
                </c:pt>
                <c:pt idx="53">
                  <c:v>-162.492649746</c:v>
                </c:pt>
                <c:pt idx="54">
                  <c:v>-102.987394642</c:v>
                </c:pt>
                <c:pt idx="55">
                  <c:v>-260.021651676</c:v>
                </c:pt>
                <c:pt idx="56">
                  <c:v>-237.103161764</c:v>
                </c:pt>
                <c:pt idx="57">
                  <c:v>-253.607152562</c:v>
                </c:pt>
                <c:pt idx="58">
                  <c:v>200.88452006</c:v>
                </c:pt>
                <c:pt idx="59">
                  <c:v>-11.3803256421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{98.6,100.3,100.8,98.8,98.2,99,99.5,99.3,98.8,95.8,95.9,95.3}</c:f>
              <c:numCache>
                <c:formatCode>General</c:formatCode>
                <c:ptCount val="12"/>
                <c:pt idx="0">
                  <c:v>98.6</c:v>
                </c:pt>
                <c:pt idx="1">
                  <c:v>100.3</c:v>
                </c:pt>
                <c:pt idx="2">
                  <c:v>100.8</c:v>
                </c:pt>
                <c:pt idx="3">
                  <c:v>98.8</c:v>
                </c:pt>
                <c:pt idx="4">
                  <c:v>98.2</c:v>
                </c:pt>
                <c:pt idx="5">
                  <c:v>99</c:v>
                </c:pt>
                <c:pt idx="6">
                  <c:v>99.5</c:v>
                </c:pt>
                <c:pt idx="7">
                  <c:v>99.3</c:v>
                </c:pt>
                <c:pt idx="8">
                  <c:v>98.8</c:v>
                </c:pt>
                <c:pt idx="9">
                  <c:v>95.8</c:v>
                </c:pt>
                <c:pt idx="10">
                  <c:v>95.9</c:v>
                </c:pt>
                <c:pt idx="11">
                  <c:v>95.3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{3,2.6,2.6,2.5,2.5,2.6,2.7,2.8}</c:f>
              <c:numCache>
                <c:formatCode>General</c:formatCode>
                <c:ptCount val="8"/>
                <c:pt idx="0">
                  <c:v>3</c:v>
                </c:pt>
                <c:pt idx="1">
                  <c:v>2.6</c:v>
                </c:pt>
                <c:pt idx="2">
                  <c:v>2.6</c:v>
                </c:pt>
                <c:pt idx="3">
                  <c:v>2.5</c:v>
                </c:pt>
                <c:pt idx="4">
                  <c:v>2.5</c:v>
                </c:pt>
                <c:pt idx="5">
                  <c:v>2.6</c:v>
                </c:pt>
                <c:pt idx="6">
                  <c:v>2.7</c:v>
                </c:pt>
                <c:pt idx="7">
                  <c:v>2.8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{253.283,228.0034,146.4837,510.2332,176.7872,156.5003,1000.6719,798.5082,428.3114,159.756,400.799,357.9242}</c:f>
              <c:numCache>
                <c:formatCode>General</c:formatCode>
                <c:ptCount val="12"/>
                <c:pt idx="0">
                  <c:v>253.283</c:v>
                </c:pt>
                <c:pt idx="1">
                  <c:v>228.0034</c:v>
                </c:pt>
                <c:pt idx="2">
                  <c:v>146.4837</c:v>
                </c:pt>
                <c:pt idx="3">
                  <c:v>510.2332</c:v>
                </c:pt>
                <c:pt idx="4">
                  <c:v>176.7872</c:v>
                </c:pt>
                <c:pt idx="5">
                  <c:v>156.5003</c:v>
                </c:pt>
                <c:pt idx="6">
                  <c:v>1000.6719</c:v>
                </c:pt>
                <c:pt idx="7">
                  <c:v>798.5082</c:v>
                </c:pt>
                <c:pt idx="8">
                  <c:v>428.3114</c:v>
                </c:pt>
                <c:pt idx="9">
                  <c:v>159.756</c:v>
                </c:pt>
                <c:pt idx="10">
                  <c:v>400.799</c:v>
                </c:pt>
                <c:pt idx="11">
                  <c:v>357.9242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562433,475886,436627,376160,277025,383851,334579,372232,311048,312085,333538,419446,464315,515469,526063,595798,661939,667585,807142,757970,819378,794054,851952,905074,983859,942700,943145,900832,899678,908523,805827,861417,801537,872853,783571,777061,871169,952705,907737,910533,888854,838975,846979,805806,875833,837412,803553,697079,924435,1007172,988102,862757,807420,781979,842660,845722,801084,956502,901845,807359}</c:f>
              <c:numCache>
                <c:formatCode>General</c:formatCode>
                <c:ptCount val="60"/>
                <c:pt idx="0">
                  <c:v>562433</c:v>
                </c:pt>
                <c:pt idx="1">
                  <c:v>475886</c:v>
                </c:pt>
                <c:pt idx="2">
                  <c:v>436627</c:v>
                </c:pt>
                <c:pt idx="3">
                  <c:v>376160</c:v>
                </c:pt>
                <c:pt idx="4">
                  <c:v>277025</c:v>
                </c:pt>
                <c:pt idx="5">
                  <c:v>383851</c:v>
                </c:pt>
                <c:pt idx="6">
                  <c:v>334579</c:v>
                </c:pt>
                <c:pt idx="7">
                  <c:v>372232</c:v>
                </c:pt>
                <c:pt idx="8">
                  <c:v>311048</c:v>
                </c:pt>
                <c:pt idx="9">
                  <c:v>312085</c:v>
                </c:pt>
                <c:pt idx="10">
                  <c:v>333538</c:v>
                </c:pt>
                <c:pt idx="11">
                  <c:v>419446</c:v>
                </c:pt>
                <c:pt idx="12">
                  <c:v>464315</c:v>
                </c:pt>
                <c:pt idx="13">
                  <c:v>515469</c:v>
                </c:pt>
                <c:pt idx="14">
                  <c:v>526063</c:v>
                </c:pt>
                <c:pt idx="15">
                  <c:v>595798</c:v>
                </c:pt>
                <c:pt idx="16">
                  <c:v>661939</c:v>
                </c:pt>
                <c:pt idx="17">
                  <c:v>667585</c:v>
                </c:pt>
                <c:pt idx="18">
                  <c:v>807142</c:v>
                </c:pt>
                <c:pt idx="19">
                  <c:v>757970</c:v>
                </c:pt>
                <c:pt idx="20">
                  <c:v>819378</c:v>
                </c:pt>
                <c:pt idx="21">
                  <c:v>794054</c:v>
                </c:pt>
                <c:pt idx="22">
                  <c:v>851952</c:v>
                </c:pt>
                <c:pt idx="23">
                  <c:v>905074</c:v>
                </c:pt>
                <c:pt idx="24">
                  <c:v>983859</c:v>
                </c:pt>
                <c:pt idx="25">
                  <c:v>942700</c:v>
                </c:pt>
                <c:pt idx="26">
                  <c:v>943145</c:v>
                </c:pt>
                <c:pt idx="27">
                  <c:v>900832</c:v>
                </c:pt>
                <c:pt idx="28">
                  <c:v>899678</c:v>
                </c:pt>
                <c:pt idx="29">
                  <c:v>908523</c:v>
                </c:pt>
                <c:pt idx="30">
                  <c:v>805827</c:v>
                </c:pt>
                <c:pt idx="31">
                  <c:v>861417</c:v>
                </c:pt>
                <c:pt idx="32">
                  <c:v>801537</c:v>
                </c:pt>
                <c:pt idx="33">
                  <c:v>872853</c:v>
                </c:pt>
                <c:pt idx="34">
                  <c:v>783571</c:v>
                </c:pt>
                <c:pt idx="35">
                  <c:v>777061</c:v>
                </c:pt>
                <c:pt idx="36">
                  <c:v>871169</c:v>
                </c:pt>
                <c:pt idx="37">
                  <c:v>952705</c:v>
                </c:pt>
                <c:pt idx="38">
                  <c:v>907737</c:v>
                </c:pt>
                <c:pt idx="39">
                  <c:v>910533</c:v>
                </c:pt>
                <c:pt idx="40">
                  <c:v>888854</c:v>
                </c:pt>
                <c:pt idx="41">
                  <c:v>838975</c:v>
                </c:pt>
                <c:pt idx="42">
                  <c:v>846979</c:v>
                </c:pt>
                <c:pt idx="43">
                  <c:v>805806</c:v>
                </c:pt>
                <c:pt idx="44">
                  <c:v>875833</c:v>
                </c:pt>
                <c:pt idx="45">
                  <c:v>837412</c:v>
                </c:pt>
                <c:pt idx="46">
                  <c:v>803553</c:v>
                </c:pt>
                <c:pt idx="47">
                  <c:v>697079</c:v>
                </c:pt>
                <c:pt idx="48">
                  <c:v>924435</c:v>
                </c:pt>
                <c:pt idx="49">
                  <c:v>1007172</c:v>
                </c:pt>
                <c:pt idx="50">
                  <c:v>988102</c:v>
                </c:pt>
                <c:pt idx="51">
                  <c:v>862757</c:v>
                </c:pt>
                <c:pt idx="52">
                  <c:v>807420</c:v>
                </c:pt>
                <c:pt idx="53">
                  <c:v>781979</c:v>
                </c:pt>
                <c:pt idx="54">
                  <c:v>842660</c:v>
                </c:pt>
                <c:pt idx="55">
                  <c:v>845722</c:v>
                </c:pt>
                <c:pt idx="56">
                  <c:v>801084</c:v>
                </c:pt>
                <c:pt idx="57">
                  <c:v>956502</c:v>
                </c:pt>
                <c:pt idx="58">
                  <c:v>901845</c:v>
                </c:pt>
                <c:pt idx="59">
                  <c:v>807359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{4.97,5.15,5.15,5.24,5.26,5.25,5.29,5.31,4.92,5.11,5.43,5.56}</c:f>
              <c:numCache>
                <c:formatCode>General</c:formatCode>
                <c:ptCount val="12"/>
                <c:pt idx="0">
                  <c:v>4.97</c:v>
                </c:pt>
                <c:pt idx="1">
                  <c:v>5.15</c:v>
                </c:pt>
                <c:pt idx="2">
                  <c:v>5.15</c:v>
                </c:pt>
                <c:pt idx="3">
                  <c:v>5.24</c:v>
                </c:pt>
                <c:pt idx="4">
                  <c:v>5.26</c:v>
                </c:pt>
                <c:pt idx="5">
                  <c:v>5.25</c:v>
                </c:pt>
                <c:pt idx="6">
                  <c:v>5.29</c:v>
                </c:pt>
                <c:pt idx="7">
                  <c:v>5.31</c:v>
                </c:pt>
                <c:pt idx="8">
                  <c:v>4.92</c:v>
                </c:pt>
                <c:pt idx="9">
                  <c:v>5.11</c:v>
                </c:pt>
                <c:pt idx="10">
                  <c:v>5.43</c:v>
                </c:pt>
                <c:pt idx="11">
                  <c:v>5.56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1.4795,1.476,1.4715,1.466,1.4635,1.4615,1.455,1.4525,1.449,1.442,1.4375,1.4345,1.4275,1.429,1.424,1.4195,1.416,1.42,1.417,1.417,1.414,1.414,1.412,1.409,1.406,1.408,1.405,1.404,1.4045,1.4065,1.405,1.4065,1.4065,1.4045,1.4055,1.4075,1.4065,1.4035,1.4035,1.4015,1.402,1.402,1.402,1.402,1.408,1.414,1.4225,1.428,1.429,1.43,1.43,1.431,1.436,1.4395,1.44,1.437,1.438,1.438,1.437,1.435}</c:f>
              <c:numCache>
                <c:formatCode>General</c:formatCode>
                <c:ptCount val="60"/>
                <c:pt idx="0">
                  <c:v>1.4795</c:v>
                </c:pt>
                <c:pt idx="1">
                  <c:v>1.476</c:v>
                </c:pt>
                <c:pt idx="2">
                  <c:v>1.4715</c:v>
                </c:pt>
                <c:pt idx="3">
                  <c:v>1.466</c:v>
                </c:pt>
                <c:pt idx="4">
                  <c:v>1.4635</c:v>
                </c:pt>
                <c:pt idx="5">
                  <c:v>1.4615</c:v>
                </c:pt>
                <c:pt idx="6">
                  <c:v>1.455</c:v>
                </c:pt>
                <c:pt idx="7">
                  <c:v>1.4525</c:v>
                </c:pt>
                <c:pt idx="8">
                  <c:v>1.449</c:v>
                </c:pt>
                <c:pt idx="9">
                  <c:v>1.442</c:v>
                </c:pt>
                <c:pt idx="10">
                  <c:v>1.4375</c:v>
                </c:pt>
                <c:pt idx="11">
                  <c:v>1.4345</c:v>
                </c:pt>
                <c:pt idx="12">
                  <c:v>1.4275</c:v>
                </c:pt>
                <c:pt idx="13">
                  <c:v>1.429</c:v>
                </c:pt>
                <c:pt idx="14">
                  <c:v>1.424</c:v>
                </c:pt>
                <c:pt idx="15">
                  <c:v>1.4195</c:v>
                </c:pt>
                <c:pt idx="16">
                  <c:v>1.416</c:v>
                </c:pt>
                <c:pt idx="17">
                  <c:v>1.42</c:v>
                </c:pt>
                <c:pt idx="18">
                  <c:v>1.417</c:v>
                </c:pt>
                <c:pt idx="19">
                  <c:v>1.417</c:v>
                </c:pt>
                <c:pt idx="20">
                  <c:v>1.414</c:v>
                </c:pt>
                <c:pt idx="21">
                  <c:v>1.414</c:v>
                </c:pt>
                <c:pt idx="22">
                  <c:v>1.412</c:v>
                </c:pt>
                <c:pt idx="23">
                  <c:v>1.409</c:v>
                </c:pt>
                <c:pt idx="24">
                  <c:v>1.406</c:v>
                </c:pt>
                <c:pt idx="25">
                  <c:v>1.408</c:v>
                </c:pt>
                <c:pt idx="26">
                  <c:v>1.405</c:v>
                </c:pt>
                <c:pt idx="27">
                  <c:v>1.404</c:v>
                </c:pt>
                <c:pt idx="28">
                  <c:v>1.4045</c:v>
                </c:pt>
                <c:pt idx="29">
                  <c:v>1.4065</c:v>
                </c:pt>
                <c:pt idx="30">
                  <c:v>1.405</c:v>
                </c:pt>
                <c:pt idx="31">
                  <c:v>1.4065</c:v>
                </c:pt>
                <c:pt idx="32">
                  <c:v>1.4065</c:v>
                </c:pt>
                <c:pt idx="33">
                  <c:v>1.4045</c:v>
                </c:pt>
                <c:pt idx="34">
                  <c:v>1.4055</c:v>
                </c:pt>
                <c:pt idx="35">
                  <c:v>1.4075</c:v>
                </c:pt>
                <c:pt idx="36">
                  <c:v>1.4065</c:v>
                </c:pt>
                <c:pt idx="37">
                  <c:v>1.4035</c:v>
                </c:pt>
                <c:pt idx="38">
                  <c:v>1.4035</c:v>
                </c:pt>
                <c:pt idx="39">
                  <c:v>1.4015</c:v>
                </c:pt>
                <c:pt idx="40">
                  <c:v>1.402</c:v>
                </c:pt>
                <c:pt idx="41">
                  <c:v>1.402</c:v>
                </c:pt>
                <c:pt idx="42">
                  <c:v>1.402</c:v>
                </c:pt>
                <c:pt idx="43">
                  <c:v>1.402</c:v>
                </c:pt>
                <c:pt idx="44">
                  <c:v>1.408</c:v>
                </c:pt>
                <c:pt idx="45">
                  <c:v>1.414</c:v>
                </c:pt>
                <c:pt idx="46">
                  <c:v>1.4225</c:v>
                </c:pt>
                <c:pt idx="47">
                  <c:v>1.428</c:v>
                </c:pt>
                <c:pt idx="48">
                  <c:v>1.429</c:v>
                </c:pt>
                <c:pt idx="49">
                  <c:v>1.43</c:v>
                </c:pt>
                <c:pt idx="50">
                  <c:v>1.43</c:v>
                </c:pt>
                <c:pt idx="51">
                  <c:v>1.431</c:v>
                </c:pt>
                <c:pt idx="52">
                  <c:v>1.436</c:v>
                </c:pt>
                <c:pt idx="53">
                  <c:v>1.4395</c:v>
                </c:pt>
                <c:pt idx="54">
                  <c:v>1.44</c:v>
                </c:pt>
                <c:pt idx="55">
                  <c:v>1.437</c:v>
                </c:pt>
                <c:pt idx="56">
                  <c:v>1.438</c:v>
                </c:pt>
                <c:pt idx="57">
                  <c:v>1.438</c:v>
                </c:pt>
                <c:pt idx="58">
                  <c:v>1.437</c:v>
                </c:pt>
                <c:pt idx="59">
                  <c:v>1.435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{61.5,61.1,60.4,59.4,59}</c:f>
              <c:numCache>
                <c:formatCode>General</c:formatCode>
                <c:ptCount val="5"/>
                <c:pt idx="0">
                  <c:v>61.5</c:v>
                </c:pt>
                <c:pt idx="1">
                  <c:v>61.1</c:v>
                </c:pt>
                <c:pt idx="2">
                  <c:v>60.4</c:v>
                </c:pt>
                <c:pt idx="3">
                  <c:v>59.4</c:v>
                </c:pt>
                <c:pt idx="4">
                  <c:v>59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{63.2,65.3,67.5,68.4,70.3}</c:f>
              <c:numCache>
                <c:formatCode>General</c:formatCode>
                <c:ptCount val="5"/>
                <c:pt idx="0">
                  <c:v>63.2</c:v>
                </c:pt>
                <c:pt idx="1">
                  <c:v>65.3</c:v>
                </c:pt>
                <c:pt idx="2">
                  <c:v>67.5</c:v>
                </c:pt>
                <c:pt idx="3">
                  <c:v>68.4</c:v>
                </c:pt>
                <c:pt idx="4">
                  <c:v>70.3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7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{173.7,174,174.4,174.6,180}</c:f>
              <c:numCache>
                <c:formatCode>General</c:formatCode>
                <c:ptCount val="5"/>
                <c:pt idx="0">
                  <c:v>173.7</c:v>
                </c:pt>
                <c:pt idx="1">
                  <c:v>174</c:v>
                </c:pt>
                <c:pt idx="2">
                  <c:v>174.4</c:v>
                </c:pt>
                <c:pt idx="3">
                  <c:v>174.6</c:v>
                </c:pt>
                <c:pt idx="4">
                  <c:v>180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{3,3,3,3,3,3,3,3,3,3,3,3}</c:f>
              <c:numCache>
                <c:formatCode>General</c:formatCode>
                <c:ptCount val="12"/>
                <c:pt idx="0">
                  <c:v>3</c:v>
                </c:pt>
                <c:pt idx="1">
                  <c:v>3</c:v>
                </c:pt>
                <c:pt idx="2">
                  <c:v>3</c:v>
                </c:pt>
                <c:pt idx="3">
                  <c:v>3</c:v>
                </c:pt>
                <c:pt idx="4">
                  <c:v>3</c:v>
                </c:pt>
                <c:pt idx="5">
                  <c:v>3</c:v>
                </c:pt>
                <c:pt idx="6">
                  <c:v>3</c:v>
                </c:pt>
                <c:pt idx="7">
                  <c:v>3</c:v>
                </c:pt>
                <c:pt idx="8">
                  <c:v>3</c:v>
                </c:pt>
                <c:pt idx="9">
                  <c:v>3</c:v>
                </c:pt>
                <c:pt idx="10">
                  <c:v>3</c:v>
                </c:pt>
                <c:pt idx="11">
                  <c:v>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1.8136,1.8192,1.8128,1.7933,1.7829,1.7809,1.7812,1.7623,1.7627,1.751,1.7389,1.7548,1.7601,1.7697,1.7654,1.7444,1.7473,1.7654,1.7631,1.7648,1.767,1.7622,1.7592,1.7514,1.7588,1.7658,1.7585,1.7345,1.7382,1.7448,1.7519,1.7484,1.7405,1.7216,1.7193,1.709,1.7009,1.7036,1.7128,1.7081,1.7207,1.7275,1.7376,1.7476,1.7475,1.7427,1.7446,1.7324,1.727,1.7299,1.7375,1.7437,1.7454,1.7351,1.7314,1.717,1.733,1.7448,1.741,1.7463}</c:f>
              <c:numCache>
                <c:formatCode>General</c:formatCode>
                <c:ptCount val="60"/>
                <c:pt idx="0">
                  <c:v>1.8136</c:v>
                </c:pt>
                <c:pt idx="1">
                  <c:v>1.8192</c:v>
                </c:pt>
                <c:pt idx="2">
                  <c:v>1.8128</c:v>
                </c:pt>
                <c:pt idx="3">
                  <c:v>1.7933</c:v>
                </c:pt>
                <c:pt idx="4">
                  <c:v>1.7829</c:v>
                </c:pt>
                <c:pt idx="5">
                  <c:v>1.7809</c:v>
                </c:pt>
                <c:pt idx="6">
                  <c:v>1.7812</c:v>
                </c:pt>
                <c:pt idx="7">
                  <c:v>1.7623</c:v>
                </c:pt>
                <c:pt idx="8">
                  <c:v>1.7627</c:v>
                </c:pt>
                <c:pt idx="9">
                  <c:v>1.751</c:v>
                </c:pt>
                <c:pt idx="10">
                  <c:v>1.7389</c:v>
                </c:pt>
                <c:pt idx="11">
                  <c:v>1.7548</c:v>
                </c:pt>
                <c:pt idx="12">
                  <c:v>1.7601</c:v>
                </c:pt>
                <c:pt idx="13">
                  <c:v>1.7697</c:v>
                </c:pt>
                <c:pt idx="14">
                  <c:v>1.7654</c:v>
                </c:pt>
                <c:pt idx="15">
                  <c:v>1.7444</c:v>
                </c:pt>
                <c:pt idx="16">
                  <c:v>1.7473</c:v>
                </c:pt>
                <c:pt idx="17">
                  <c:v>1.7654</c:v>
                </c:pt>
                <c:pt idx="18">
                  <c:v>1.7631</c:v>
                </c:pt>
                <c:pt idx="19">
                  <c:v>1.7648</c:v>
                </c:pt>
                <c:pt idx="20">
                  <c:v>1.767</c:v>
                </c:pt>
                <c:pt idx="21">
                  <c:v>1.7622</c:v>
                </c:pt>
                <c:pt idx="22">
                  <c:v>1.7592</c:v>
                </c:pt>
                <c:pt idx="23">
                  <c:v>1.7514</c:v>
                </c:pt>
                <c:pt idx="24">
                  <c:v>1.7588</c:v>
                </c:pt>
                <c:pt idx="25">
                  <c:v>1.7658</c:v>
                </c:pt>
                <c:pt idx="26">
                  <c:v>1.7585</c:v>
                </c:pt>
                <c:pt idx="27">
                  <c:v>1.7345</c:v>
                </c:pt>
                <c:pt idx="28">
                  <c:v>1.7382</c:v>
                </c:pt>
                <c:pt idx="29">
                  <c:v>1.7448</c:v>
                </c:pt>
                <c:pt idx="30">
                  <c:v>1.7519</c:v>
                </c:pt>
                <c:pt idx="31">
                  <c:v>1.7484</c:v>
                </c:pt>
                <c:pt idx="32">
                  <c:v>1.7405</c:v>
                </c:pt>
                <c:pt idx="33">
                  <c:v>1.7216</c:v>
                </c:pt>
                <c:pt idx="34">
                  <c:v>1.7193</c:v>
                </c:pt>
                <c:pt idx="35">
                  <c:v>1.709</c:v>
                </c:pt>
                <c:pt idx="36">
                  <c:v>1.7009</c:v>
                </c:pt>
                <c:pt idx="37">
                  <c:v>1.7036</c:v>
                </c:pt>
                <c:pt idx="38">
                  <c:v>1.7128</c:v>
                </c:pt>
                <c:pt idx="39">
                  <c:v>1.7081</c:v>
                </c:pt>
                <c:pt idx="40">
                  <c:v>1.7207</c:v>
                </c:pt>
                <c:pt idx="41">
                  <c:v>1.7275</c:v>
                </c:pt>
                <c:pt idx="42">
                  <c:v>1.7376</c:v>
                </c:pt>
                <c:pt idx="43">
                  <c:v>1.7476</c:v>
                </c:pt>
                <c:pt idx="44">
                  <c:v>1.7475</c:v>
                </c:pt>
                <c:pt idx="45">
                  <c:v>1.7427</c:v>
                </c:pt>
                <c:pt idx="46">
                  <c:v>1.7446</c:v>
                </c:pt>
                <c:pt idx="47">
                  <c:v>1.7324</c:v>
                </c:pt>
                <c:pt idx="48">
                  <c:v>1.727</c:v>
                </c:pt>
                <c:pt idx="49">
                  <c:v>1.7299</c:v>
                </c:pt>
                <c:pt idx="50">
                  <c:v>1.7375</c:v>
                </c:pt>
                <c:pt idx="51">
                  <c:v>1.7437</c:v>
                </c:pt>
                <c:pt idx="52">
                  <c:v>1.7454</c:v>
                </c:pt>
                <c:pt idx="53">
                  <c:v>1.7351</c:v>
                </c:pt>
                <c:pt idx="54">
                  <c:v>1.7314</c:v>
                </c:pt>
                <c:pt idx="55">
                  <c:v>1.717</c:v>
                </c:pt>
                <c:pt idx="56">
                  <c:v>1.733</c:v>
                </c:pt>
                <c:pt idx="57">
                  <c:v>1.7448</c:v>
                </c:pt>
                <c:pt idx="58">
                  <c:v>1.741</c:v>
                </c:pt>
                <c:pt idx="59">
                  <c:v>1.7463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4.29,4.29,4.31,4.3,4.26,4.29,4.32,4.26,4.26,4.3,4.3,4.34,4.31,4.35,4.36,4.42,4.4,4.39,4.45,4.43,4.36,4.41,4.38,4.42,4.46,4.46,4.47,4.59,4.61,4.67,4.57,4.57,4.56,4.5,4.48,4.45,4.45,4.47,4.46,4.49,4.47,4.55,4.56,4.53,4.55,4.45,4.48,4.47,4.43,4.49,4.46,4.51,4.5,4.41,4.4,4.38,4.38,4.44,4.48,4.49}</c:f>
              <c:numCache>
                <c:formatCode>General</c:formatCode>
                <c:ptCount val="60"/>
                <c:pt idx="0">
                  <c:v>4.29</c:v>
                </c:pt>
                <c:pt idx="1">
                  <c:v>4.29</c:v>
                </c:pt>
                <c:pt idx="2">
                  <c:v>4.31</c:v>
                </c:pt>
                <c:pt idx="3">
                  <c:v>4.3</c:v>
                </c:pt>
                <c:pt idx="4">
                  <c:v>4.26</c:v>
                </c:pt>
                <c:pt idx="5">
                  <c:v>4.29</c:v>
                </c:pt>
                <c:pt idx="6">
                  <c:v>4.32</c:v>
                </c:pt>
                <c:pt idx="7">
                  <c:v>4.26</c:v>
                </c:pt>
                <c:pt idx="8">
                  <c:v>4.26</c:v>
                </c:pt>
                <c:pt idx="9">
                  <c:v>4.3</c:v>
                </c:pt>
                <c:pt idx="10">
                  <c:v>4.3</c:v>
                </c:pt>
                <c:pt idx="11">
                  <c:v>4.34</c:v>
                </c:pt>
                <c:pt idx="12">
                  <c:v>4.31</c:v>
                </c:pt>
                <c:pt idx="13">
                  <c:v>4.35</c:v>
                </c:pt>
                <c:pt idx="14">
                  <c:v>4.36</c:v>
                </c:pt>
                <c:pt idx="15">
                  <c:v>4.42</c:v>
                </c:pt>
                <c:pt idx="16">
                  <c:v>4.4</c:v>
                </c:pt>
                <c:pt idx="17">
                  <c:v>4.39</c:v>
                </c:pt>
                <c:pt idx="18">
                  <c:v>4.45</c:v>
                </c:pt>
                <c:pt idx="19">
                  <c:v>4.43</c:v>
                </c:pt>
                <c:pt idx="20">
                  <c:v>4.36</c:v>
                </c:pt>
                <c:pt idx="21">
                  <c:v>4.41</c:v>
                </c:pt>
                <c:pt idx="22">
                  <c:v>4.38</c:v>
                </c:pt>
                <c:pt idx="23">
                  <c:v>4.42</c:v>
                </c:pt>
                <c:pt idx="24">
                  <c:v>4.46</c:v>
                </c:pt>
                <c:pt idx="25">
                  <c:v>4.46</c:v>
                </c:pt>
                <c:pt idx="26">
                  <c:v>4.47</c:v>
                </c:pt>
                <c:pt idx="27">
                  <c:v>4.59</c:v>
                </c:pt>
                <c:pt idx="28">
                  <c:v>4.61</c:v>
                </c:pt>
                <c:pt idx="29">
                  <c:v>4.67</c:v>
                </c:pt>
                <c:pt idx="30">
                  <c:v>4.57</c:v>
                </c:pt>
                <c:pt idx="31">
                  <c:v>4.57</c:v>
                </c:pt>
                <c:pt idx="32">
                  <c:v>4.56</c:v>
                </c:pt>
                <c:pt idx="33">
                  <c:v>4.5</c:v>
                </c:pt>
                <c:pt idx="34">
                  <c:v>4.48</c:v>
                </c:pt>
                <c:pt idx="35">
                  <c:v>4.45</c:v>
                </c:pt>
                <c:pt idx="36">
                  <c:v>4.45</c:v>
                </c:pt>
                <c:pt idx="37">
                  <c:v>4.47</c:v>
                </c:pt>
                <c:pt idx="38">
                  <c:v>4.46</c:v>
                </c:pt>
                <c:pt idx="39">
                  <c:v>4.49</c:v>
                </c:pt>
                <c:pt idx="40">
                  <c:v>4.47</c:v>
                </c:pt>
                <c:pt idx="41">
                  <c:v>4.55</c:v>
                </c:pt>
                <c:pt idx="42">
                  <c:v>4.56</c:v>
                </c:pt>
                <c:pt idx="43">
                  <c:v>4.53</c:v>
                </c:pt>
                <c:pt idx="44">
                  <c:v>4.55</c:v>
                </c:pt>
                <c:pt idx="45">
                  <c:v>4.45</c:v>
                </c:pt>
                <c:pt idx="46">
                  <c:v>4.48</c:v>
                </c:pt>
                <c:pt idx="47">
                  <c:v>4.47</c:v>
                </c:pt>
                <c:pt idx="48">
                  <c:v>4.43</c:v>
                </c:pt>
                <c:pt idx="49">
                  <c:v>4.49</c:v>
                </c:pt>
                <c:pt idx="50">
                  <c:v>4.46</c:v>
                </c:pt>
                <c:pt idx="51">
                  <c:v>4.51</c:v>
                </c:pt>
                <c:pt idx="52">
                  <c:v>4.5</c:v>
                </c:pt>
                <c:pt idx="53">
                  <c:v>4.41</c:v>
                </c:pt>
                <c:pt idx="54">
                  <c:v>4.4</c:v>
                </c:pt>
                <c:pt idx="55">
                  <c:v>4.38</c:v>
                </c:pt>
                <c:pt idx="56">
                  <c:v>4.38</c:v>
                </c:pt>
                <c:pt idx="57">
                  <c:v>4.44</c:v>
                </c:pt>
                <c:pt idx="58">
                  <c:v>4.48</c:v>
                </c:pt>
                <c:pt idx="59">
                  <c:v>4.49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-2.4248,-2.4234,-2.5781,-2.5105,-2.5513,-2.4987,-2.5912,-2.6243,-2.5326,-2.4826,-2.5205,-2.4885,-2.5249,-2.5224,-2.5102,-2.4732,-2.4719,-2.4926,-2.4919,-2.47,-2.5046,-2.539,-2.4819,-2.4918,-2.5427,-2.5609,-2.5949,-2.568,-2.584,-2.596,-2.6582,-2.6431,-2.6169,-2.6815,-2.6645,-2.5904,-2.6398,-2.6189,-2.6636,-2.7008,-2.7002,-2.7044,-2.8357,-2.8593,-2.9136,-2.8084,-2.8101,-2.8007,-2.7473,-2.7472,-2.7215,-2.7111,-2.7284,-2.716,-2.7515,-2.7314,-2.7994,-2.8037,-2.7686,-2.7757}</c:f>
              <c:numCache>
                <c:formatCode>General</c:formatCode>
                <c:ptCount val="60"/>
                <c:pt idx="0">
                  <c:v>-2.4248</c:v>
                </c:pt>
                <c:pt idx="1">
                  <c:v>-2.4234</c:v>
                </c:pt>
                <c:pt idx="2">
                  <c:v>-2.5781</c:v>
                </c:pt>
                <c:pt idx="3">
                  <c:v>-2.5105</c:v>
                </c:pt>
                <c:pt idx="4">
                  <c:v>-2.5513</c:v>
                </c:pt>
                <c:pt idx="5">
                  <c:v>-2.4987</c:v>
                </c:pt>
                <c:pt idx="6">
                  <c:v>-2.5912</c:v>
                </c:pt>
                <c:pt idx="7">
                  <c:v>-2.6243</c:v>
                </c:pt>
                <c:pt idx="8">
                  <c:v>-2.5326</c:v>
                </c:pt>
                <c:pt idx="9">
                  <c:v>-2.4826</c:v>
                </c:pt>
                <c:pt idx="10">
                  <c:v>-2.5205</c:v>
                </c:pt>
                <c:pt idx="11">
                  <c:v>-2.4885</c:v>
                </c:pt>
                <c:pt idx="12">
                  <c:v>-2.5249</c:v>
                </c:pt>
                <c:pt idx="13">
                  <c:v>-2.5224</c:v>
                </c:pt>
                <c:pt idx="14">
                  <c:v>-2.5102</c:v>
                </c:pt>
                <c:pt idx="15">
                  <c:v>-2.4732</c:v>
                </c:pt>
                <c:pt idx="16">
                  <c:v>-2.4719</c:v>
                </c:pt>
                <c:pt idx="17">
                  <c:v>-2.4926</c:v>
                </c:pt>
                <c:pt idx="18">
                  <c:v>-2.4919</c:v>
                </c:pt>
                <c:pt idx="19">
                  <c:v>-2.47</c:v>
                </c:pt>
                <c:pt idx="20">
                  <c:v>-2.5046</c:v>
                </c:pt>
                <c:pt idx="21">
                  <c:v>-2.539</c:v>
                </c:pt>
                <c:pt idx="22">
                  <c:v>-2.4819</c:v>
                </c:pt>
                <c:pt idx="23">
                  <c:v>-2.4918</c:v>
                </c:pt>
                <c:pt idx="24">
                  <c:v>-2.5427</c:v>
                </c:pt>
                <c:pt idx="25">
                  <c:v>-2.5609</c:v>
                </c:pt>
                <c:pt idx="26">
                  <c:v>-2.5949</c:v>
                </c:pt>
                <c:pt idx="27">
                  <c:v>-2.568</c:v>
                </c:pt>
                <c:pt idx="28">
                  <c:v>-2.584</c:v>
                </c:pt>
                <c:pt idx="29">
                  <c:v>-2.596</c:v>
                </c:pt>
                <c:pt idx="30">
                  <c:v>-2.6582</c:v>
                </c:pt>
                <c:pt idx="31">
                  <c:v>-2.6431</c:v>
                </c:pt>
                <c:pt idx="32">
                  <c:v>-2.6169</c:v>
                </c:pt>
                <c:pt idx="33">
                  <c:v>-2.6815</c:v>
                </c:pt>
                <c:pt idx="34">
                  <c:v>-2.6645</c:v>
                </c:pt>
                <c:pt idx="35">
                  <c:v>-2.5904</c:v>
                </c:pt>
                <c:pt idx="36">
                  <c:v>-2.6398</c:v>
                </c:pt>
                <c:pt idx="37">
                  <c:v>-2.6189</c:v>
                </c:pt>
                <c:pt idx="38">
                  <c:v>-2.6636</c:v>
                </c:pt>
                <c:pt idx="39">
                  <c:v>-2.7008</c:v>
                </c:pt>
                <c:pt idx="40">
                  <c:v>-2.7002</c:v>
                </c:pt>
                <c:pt idx="41">
                  <c:v>-2.7044</c:v>
                </c:pt>
                <c:pt idx="42">
                  <c:v>-2.8357</c:v>
                </c:pt>
                <c:pt idx="43">
                  <c:v>-2.8593</c:v>
                </c:pt>
                <c:pt idx="44">
                  <c:v>-2.9136</c:v>
                </c:pt>
                <c:pt idx="45">
                  <c:v>-2.8084</c:v>
                </c:pt>
                <c:pt idx="46">
                  <c:v>-2.8101</c:v>
                </c:pt>
                <c:pt idx="47">
                  <c:v>-2.8007</c:v>
                </c:pt>
                <c:pt idx="48">
                  <c:v>-2.7473</c:v>
                </c:pt>
                <c:pt idx="49">
                  <c:v>-2.7472</c:v>
                </c:pt>
                <c:pt idx="50">
                  <c:v>-2.7215</c:v>
                </c:pt>
                <c:pt idx="51">
                  <c:v>-2.7111</c:v>
                </c:pt>
                <c:pt idx="52">
                  <c:v>-2.7284</c:v>
                </c:pt>
                <c:pt idx="53">
                  <c:v>-2.716</c:v>
                </c:pt>
                <c:pt idx="54">
                  <c:v>-2.7515</c:v>
                </c:pt>
                <c:pt idx="55">
                  <c:v>-2.7314</c:v>
                </c:pt>
                <c:pt idx="56">
                  <c:v>-2.7994</c:v>
                </c:pt>
                <c:pt idx="57">
                  <c:v>-2.8037</c:v>
                </c:pt>
                <c:pt idx="58">
                  <c:v>-2.7686</c:v>
                </c:pt>
                <c:pt idx="59">
                  <c:v>-2.7757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{96623,115566,135839,148198,163876,186490,200516,216045,44154,61613,83404,100465}</c:f>
              <c:numCache>
                <c:formatCode>General</c:formatCode>
                <c:ptCount val="12"/>
                <c:pt idx="0">
                  <c:v>96623</c:v>
                </c:pt>
                <c:pt idx="1">
                  <c:v>115566</c:v>
                </c:pt>
                <c:pt idx="2">
                  <c:v>135839</c:v>
                </c:pt>
                <c:pt idx="3">
                  <c:v>148198</c:v>
                </c:pt>
                <c:pt idx="4">
                  <c:v>163876</c:v>
                </c:pt>
                <c:pt idx="5">
                  <c:v>186490</c:v>
                </c:pt>
                <c:pt idx="6">
                  <c:v>200516</c:v>
                </c:pt>
                <c:pt idx="7">
                  <c:v>216045</c:v>
                </c:pt>
                <c:pt idx="8">
                  <c:v>44154</c:v>
                </c:pt>
                <c:pt idx="9">
                  <c:v>61613</c:v>
                </c:pt>
                <c:pt idx="10">
                  <c:v>83404</c:v>
                </c:pt>
                <c:pt idx="11">
                  <c:v>100465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{-11.9,-6.5,-4.6,-4.7,-4.2,-7.4,-10.7,-14.7,-25.2,-24.4,-27.2,-28.7}</c:f>
              <c:numCache>
                <c:formatCode>General</c:formatCode>
                <c:ptCount val="12"/>
                <c:pt idx="0">
                  <c:v>-11.9</c:v>
                </c:pt>
                <c:pt idx="1">
                  <c:v>-6.5</c:v>
                </c:pt>
                <c:pt idx="2">
                  <c:v>-4.6</c:v>
                </c:pt>
                <c:pt idx="3">
                  <c:v>-4.7</c:v>
                </c:pt>
                <c:pt idx="4">
                  <c:v>-4.2</c:v>
                </c:pt>
                <c:pt idx="5">
                  <c:v>-7.4</c:v>
                </c:pt>
                <c:pt idx="6">
                  <c:v>-10.7</c:v>
                </c:pt>
                <c:pt idx="7">
                  <c:v>-14.7</c:v>
                </c:pt>
                <c:pt idx="8">
                  <c:v>-25.2</c:v>
                </c:pt>
                <c:pt idx="9">
                  <c:v>-24.4</c:v>
                </c:pt>
                <c:pt idx="10">
                  <c:v>-27.2</c:v>
                </c:pt>
                <c:pt idx="11">
                  <c:v>-28.7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{36055.7,37963.8,40007.1,41231.8,42349.8}</c:f>
              <c:numCache>
                <c:formatCode>General</c:formatCode>
                <c:ptCount val="5"/>
                <c:pt idx="0">
                  <c:v>36055.7</c:v>
                </c:pt>
                <c:pt idx="1">
                  <c:v>37963.8</c:v>
                </c:pt>
                <c:pt idx="2">
                  <c:v>40007.1</c:v>
                </c:pt>
                <c:pt idx="3">
                  <c:v>41231.8</c:v>
                </c:pt>
                <c:pt idx="4">
                  <c:v>42349.8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{-0.182041362765,-0.933960643685,-0.813550839473,-0.95671581403}</c:f>
              <c:numCache>
                <c:formatCode>General</c:formatCode>
                <c:ptCount val="4"/>
                <c:pt idx="0">
                  <c:v>-0.182041362765</c:v>
                </c:pt>
                <c:pt idx="1">
                  <c:v>-0.933960643685</c:v>
                </c:pt>
                <c:pt idx="2">
                  <c:v>-0.813550839473</c:v>
                </c:pt>
                <c:pt idx="3">
                  <c:v>-0.95671581403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{318466.4,341395.3,354106.2,387911.3,334192.9}</c:f>
              <c:numCache>
                <c:formatCode>General</c:formatCode>
                <c:ptCount val="5"/>
                <c:pt idx="0">
                  <c:v>318466.4</c:v>
                </c:pt>
                <c:pt idx="1">
                  <c:v>341395.3</c:v>
                </c:pt>
                <c:pt idx="2">
                  <c:v>354106.2</c:v>
                </c:pt>
                <c:pt idx="3">
                  <c:v>387911.3</c:v>
                </c:pt>
                <c:pt idx="4">
                  <c:v>334192.9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8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{50.1,50.5,51.7,52,46.7}</c:f>
              <c:numCache>
                <c:formatCode>General</c:formatCode>
                <c:ptCount val="5"/>
                <c:pt idx="0">
                  <c:v>50.1</c:v>
                </c:pt>
                <c:pt idx="1">
                  <c:v>50.5</c:v>
                </c:pt>
                <c:pt idx="2">
                  <c:v>51.7</c:v>
                </c:pt>
                <c:pt idx="3">
                  <c:v>52</c:v>
                </c:pt>
                <c:pt idx="4">
                  <c:v>46.7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{4.7,14.6,15,15.3,38}</c:f>
              <c:numCache>
                <c:formatCode>General</c:formatCode>
                <c:ptCount val="5"/>
                <c:pt idx="0">
                  <c:v>4.7</c:v>
                </c:pt>
                <c:pt idx="1">
                  <c:v>14.6</c:v>
                </c:pt>
                <c:pt idx="2">
                  <c:v>15</c:v>
                </c:pt>
                <c:pt idx="3">
                  <c:v>15.3</c:v>
                </c:pt>
                <c:pt idx="4">
                  <c:v>38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{45.2,34.9,33.3,32.7,15.3}</c:f>
              <c:numCache>
                <c:formatCode>General</c:formatCode>
                <c:ptCount val="5"/>
                <c:pt idx="0">
                  <c:v>45.2</c:v>
                </c:pt>
                <c:pt idx="1">
                  <c:v>34.9</c:v>
                </c:pt>
                <c:pt idx="2">
                  <c:v>33.3</c:v>
                </c:pt>
                <c:pt idx="3">
                  <c:v>32.7</c:v>
                </c:pt>
                <c:pt idx="4">
                  <c:v>15.3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{-10.7,-11.2,-12,-12.9,-13.9,-14.7,-15.9,-17.2,-11.1,-11.2,-13.7,-16.2}</c:f>
              <c:numCache>
                <c:formatCode>General</c:formatCode>
                <c:ptCount val="12"/>
                <c:pt idx="0">
                  <c:v>-10.7</c:v>
                </c:pt>
                <c:pt idx="1">
                  <c:v>-11.2</c:v>
                </c:pt>
                <c:pt idx="2">
                  <c:v>-12</c:v>
                </c:pt>
                <c:pt idx="3">
                  <c:v>-12.9</c:v>
                </c:pt>
                <c:pt idx="4">
                  <c:v>-13.9</c:v>
                </c:pt>
                <c:pt idx="5">
                  <c:v>-14.7</c:v>
                </c:pt>
                <c:pt idx="6">
                  <c:v>-15.9</c:v>
                </c:pt>
                <c:pt idx="7">
                  <c:v>-17.2</c:v>
                </c:pt>
                <c:pt idx="8">
                  <c:v>-11.1</c:v>
                </c:pt>
                <c:pt idx="9">
                  <c:v>-11.2</c:v>
                </c:pt>
                <c:pt idx="10">
                  <c:v>-13.7</c:v>
                </c:pt>
                <c:pt idx="11">
                  <c:v>-16.2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{8.5,7.5,6.2,5.1,4,2.7,1.9,0.6,3.1,4.1,1.2,-0.4}</c:f>
              <c:numCache>
                <c:formatCode>General</c:formatCode>
                <c:ptCount val="12"/>
                <c:pt idx="0">
                  <c:v>8.5</c:v>
                </c:pt>
                <c:pt idx="1">
                  <c:v>7.5</c:v>
                </c:pt>
                <c:pt idx="2">
                  <c:v>6.2</c:v>
                </c:pt>
                <c:pt idx="3">
                  <c:v>5.1</c:v>
                </c:pt>
                <c:pt idx="4">
                  <c:v>4</c:v>
                </c:pt>
                <c:pt idx="5">
                  <c:v>2.7</c:v>
                </c:pt>
                <c:pt idx="6">
                  <c:v>1.9</c:v>
                </c:pt>
                <c:pt idx="7">
                  <c:v>0.6</c:v>
                </c:pt>
                <c:pt idx="8">
                  <c:v>3.1</c:v>
                </c:pt>
                <c:pt idx="9">
                  <c:v>4.1</c:v>
                </c:pt>
                <c:pt idx="10">
                  <c:v>1.2</c:v>
                </c:pt>
                <c:pt idx="11">
                  <c:v>-0.4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{10.42,8.9,7.29,5.42,3.34,1.51,0.13,-1.48,9.76,9.24,4.92,0.75}</c:f>
              <c:numCache>
                <c:formatCode>General</c:formatCode>
                <c:ptCount val="12"/>
                <c:pt idx="0">
                  <c:v>10.42</c:v>
                </c:pt>
                <c:pt idx="1">
                  <c:v>8.9</c:v>
                </c:pt>
                <c:pt idx="2">
                  <c:v>7.29</c:v>
                </c:pt>
                <c:pt idx="3">
                  <c:v>5.42</c:v>
                </c:pt>
                <c:pt idx="4">
                  <c:v>3.34</c:v>
                </c:pt>
                <c:pt idx="5">
                  <c:v>1.51</c:v>
                </c:pt>
                <c:pt idx="6">
                  <c:v>0.13</c:v>
                </c:pt>
                <c:pt idx="7">
                  <c:v>-1.48</c:v>
                </c:pt>
                <c:pt idx="8">
                  <c:v>9.76</c:v>
                </c:pt>
                <c:pt idx="9">
                  <c:v>9.24</c:v>
                </c:pt>
                <c:pt idx="10">
                  <c:v>4.92</c:v>
                </c:pt>
                <c:pt idx="11">
                  <c:v>0.75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{-10.9,-12.6,-15.5,-16.9,-17.8,-18.9,-20,-23,-11,-16.3,-10.2,-2.7}</c:f>
              <c:numCache>
                <c:formatCode>General</c:formatCode>
                <c:ptCount val="12"/>
                <c:pt idx="0">
                  <c:v>-10.9</c:v>
                </c:pt>
                <c:pt idx="1">
                  <c:v>-12.6</c:v>
                </c:pt>
                <c:pt idx="2">
                  <c:v>-15.5</c:v>
                </c:pt>
                <c:pt idx="3">
                  <c:v>-16.9</c:v>
                </c:pt>
                <c:pt idx="4">
                  <c:v>-17.8</c:v>
                </c:pt>
                <c:pt idx="5">
                  <c:v>-18.9</c:v>
                </c:pt>
                <c:pt idx="6">
                  <c:v>-20</c:v>
                </c:pt>
                <c:pt idx="7">
                  <c:v>-23</c:v>
                </c:pt>
                <c:pt idx="8">
                  <c:v>-11</c:v>
                </c:pt>
                <c:pt idx="9">
                  <c:v>-16.3</c:v>
                </c:pt>
                <c:pt idx="10">
                  <c:v>-10.2</c:v>
                </c:pt>
                <c:pt idx="11">
                  <c:v>-2.7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{13,13.5,14.6,14.7,14.3,13.7,13.4,22.7,29.4,20.5,19.1,20.3}</c:f>
              <c:numCache>
                <c:formatCode>General</c:formatCode>
                <c:ptCount val="12"/>
                <c:pt idx="0">
                  <c:v>13</c:v>
                </c:pt>
                <c:pt idx="1">
                  <c:v>13.5</c:v>
                </c:pt>
                <c:pt idx="2">
                  <c:v>14.6</c:v>
                </c:pt>
                <c:pt idx="3">
                  <c:v>14.7</c:v>
                </c:pt>
                <c:pt idx="4">
                  <c:v>14.3</c:v>
                </c:pt>
                <c:pt idx="5">
                  <c:v>13.7</c:v>
                </c:pt>
                <c:pt idx="6">
                  <c:v>13.4</c:v>
                </c:pt>
                <c:pt idx="7">
                  <c:v>22.7</c:v>
                </c:pt>
                <c:pt idx="8">
                  <c:v>29.4</c:v>
                </c:pt>
                <c:pt idx="9">
                  <c:v>20.5</c:v>
                </c:pt>
                <c:pt idx="10">
                  <c:v>19.1</c:v>
                </c:pt>
                <c:pt idx="11">
                  <c:v>20.3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{1138.401184,974.005908,1010.875872,887.83009,881.348425,1100.402882,1124.370332,1211.877474,902.40835,501.57858,846.857715,1054.335842}</c:f>
              <c:numCache>
                <c:formatCode>General</c:formatCode>
                <c:ptCount val="12"/>
                <c:pt idx="0">
                  <c:v>1138.401184</c:v>
                </c:pt>
                <c:pt idx="1">
                  <c:v>974.005908</c:v>
                </c:pt>
                <c:pt idx="2">
                  <c:v>1010.875872</c:v>
                </c:pt>
                <c:pt idx="3">
                  <c:v>887.83009</c:v>
                </c:pt>
                <c:pt idx="4">
                  <c:v>881.348425</c:v>
                </c:pt>
                <c:pt idx="5">
                  <c:v>1100.402882</c:v>
                </c:pt>
                <c:pt idx="6">
                  <c:v>1124.370332</c:v>
                </c:pt>
                <c:pt idx="7">
                  <c:v>1211.877474</c:v>
                </c:pt>
                <c:pt idx="8">
                  <c:v>902.40835</c:v>
                </c:pt>
                <c:pt idx="9">
                  <c:v>501.57858</c:v>
                </c:pt>
                <c:pt idx="10">
                  <c:v>846.857715</c:v>
                </c:pt>
                <c:pt idx="11">
                  <c:v>1054.335842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80.48,80.35,80.35,80.46,80.44,80.25,79.96,79.91,79.72,79.91,80.05,79.98,79.9,79.74,79.69,79.63,79.71,79.91,80.04,79.97,79.68,79.59,79.68,79.71,79.74,79.66,79.43,79.38,79.16,78.79,78.98,78.95,79.05,78.85,78.94,78.8,78.87,78.71,78.7,78.42,78.51,78.49,78.51,78.55,78.49,78.55,78.3,78.23,78.28,78.12,78.18,78.27,78.4,78.3,78.23,78,78.03,78.38,78.46,79.58}</c:f>
              <c:numCache>
                <c:formatCode>General</c:formatCode>
                <c:ptCount val="60"/>
                <c:pt idx="0">
                  <c:v>80.48</c:v>
                </c:pt>
                <c:pt idx="1">
                  <c:v>80.35</c:v>
                </c:pt>
                <c:pt idx="2">
                  <c:v>80.35</c:v>
                </c:pt>
                <c:pt idx="3">
                  <c:v>80.46</c:v>
                </c:pt>
                <c:pt idx="4">
                  <c:v>80.44</c:v>
                </c:pt>
                <c:pt idx="5">
                  <c:v>80.25</c:v>
                </c:pt>
                <c:pt idx="6">
                  <c:v>79.96</c:v>
                </c:pt>
                <c:pt idx="7">
                  <c:v>79.91</c:v>
                </c:pt>
                <c:pt idx="8">
                  <c:v>79.72</c:v>
                </c:pt>
                <c:pt idx="9">
                  <c:v>79.91</c:v>
                </c:pt>
                <c:pt idx="10">
                  <c:v>80.05</c:v>
                </c:pt>
                <c:pt idx="11">
                  <c:v>79.98</c:v>
                </c:pt>
                <c:pt idx="12">
                  <c:v>79.9</c:v>
                </c:pt>
                <c:pt idx="13">
                  <c:v>79.74</c:v>
                </c:pt>
                <c:pt idx="14">
                  <c:v>79.69</c:v>
                </c:pt>
                <c:pt idx="15">
                  <c:v>79.63</c:v>
                </c:pt>
                <c:pt idx="16">
                  <c:v>79.71</c:v>
                </c:pt>
                <c:pt idx="17">
                  <c:v>79.91</c:v>
                </c:pt>
                <c:pt idx="18">
                  <c:v>80.04</c:v>
                </c:pt>
                <c:pt idx="19">
                  <c:v>79.97</c:v>
                </c:pt>
                <c:pt idx="20">
                  <c:v>79.68</c:v>
                </c:pt>
                <c:pt idx="21">
                  <c:v>79.59</c:v>
                </c:pt>
                <c:pt idx="22">
                  <c:v>79.68</c:v>
                </c:pt>
                <c:pt idx="23">
                  <c:v>79.71</c:v>
                </c:pt>
                <c:pt idx="24">
                  <c:v>79.74</c:v>
                </c:pt>
                <c:pt idx="25">
                  <c:v>79.66</c:v>
                </c:pt>
                <c:pt idx="26">
                  <c:v>79.43</c:v>
                </c:pt>
                <c:pt idx="27">
                  <c:v>79.38</c:v>
                </c:pt>
                <c:pt idx="28">
                  <c:v>79.16</c:v>
                </c:pt>
                <c:pt idx="29">
                  <c:v>78.79</c:v>
                </c:pt>
                <c:pt idx="30">
                  <c:v>78.98</c:v>
                </c:pt>
                <c:pt idx="31">
                  <c:v>78.95</c:v>
                </c:pt>
                <c:pt idx="32">
                  <c:v>79.05</c:v>
                </c:pt>
                <c:pt idx="33">
                  <c:v>78.85</c:v>
                </c:pt>
                <c:pt idx="34">
                  <c:v>78.94</c:v>
                </c:pt>
                <c:pt idx="35">
                  <c:v>78.8</c:v>
                </c:pt>
                <c:pt idx="36">
                  <c:v>78.87</c:v>
                </c:pt>
                <c:pt idx="37">
                  <c:v>78.71</c:v>
                </c:pt>
                <c:pt idx="38">
                  <c:v>78.7</c:v>
                </c:pt>
                <c:pt idx="39">
                  <c:v>78.42</c:v>
                </c:pt>
                <c:pt idx="40">
                  <c:v>78.51</c:v>
                </c:pt>
                <c:pt idx="41">
                  <c:v>78.49</c:v>
                </c:pt>
                <c:pt idx="42">
                  <c:v>78.51</c:v>
                </c:pt>
                <c:pt idx="43">
                  <c:v>78.55</c:v>
                </c:pt>
                <c:pt idx="44">
                  <c:v>78.49</c:v>
                </c:pt>
                <c:pt idx="45">
                  <c:v>78.55</c:v>
                </c:pt>
                <c:pt idx="46">
                  <c:v>78.3</c:v>
                </c:pt>
                <c:pt idx="47">
                  <c:v>78.23</c:v>
                </c:pt>
                <c:pt idx="48">
                  <c:v>78.28</c:v>
                </c:pt>
                <c:pt idx="49">
                  <c:v>78.12</c:v>
                </c:pt>
                <c:pt idx="50">
                  <c:v>78.18</c:v>
                </c:pt>
                <c:pt idx="51">
                  <c:v>78.27</c:v>
                </c:pt>
                <c:pt idx="52">
                  <c:v>78.4</c:v>
                </c:pt>
                <c:pt idx="53">
                  <c:v>78.3</c:v>
                </c:pt>
                <c:pt idx="54">
                  <c:v>78.23</c:v>
                </c:pt>
                <c:pt idx="55">
                  <c:v>78</c:v>
                </c:pt>
                <c:pt idx="56">
                  <c:v>78.03</c:v>
                </c:pt>
                <c:pt idx="57">
                  <c:v>78.38</c:v>
                </c:pt>
                <c:pt idx="58">
                  <c:v>78.46</c:v>
                </c:pt>
                <c:pt idx="59">
                  <c:v>79.58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9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99.36,94.79,94.93,99.39,90.38,95.48,98.48,101.91,105.07,105.33,108.23,111.26,118.03,114.01,108.17,114.44,109.87,101.27,100.06,101.29,104.21,107.77,105.63,105.72,109.26,112.1,111.28,105.02,102.58,103.54,96.14,99.58,94.29,93.71,92.05,94.98,96,97.81,95.03,93.09,94.25,91.45,93.1,90.38,87.33,83.17,78.96,79.55,79.85,80.57,77.9,77.08,73.74,75.26,71.99,73.15,72.92,71.57,71.8,72.12}</c:f>
              <c:numCache>
                <c:formatCode>General</c:formatCode>
                <c:ptCount val="60"/>
                <c:pt idx="0">
                  <c:v>99.36</c:v>
                </c:pt>
                <c:pt idx="1">
                  <c:v>94.79</c:v>
                </c:pt>
                <c:pt idx="2">
                  <c:v>94.93</c:v>
                </c:pt>
                <c:pt idx="3">
                  <c:v>99.39</c:v>
                </c:pt>
                <c:pt idx="4">
                  <c:v>90.38</c:v>
                </c:pt>
                <c:pt idx="5">
                  <c:v>95.48</c:v>
                </c:pt>
                <c:pt idx="6">
                  <c:v>98.48</c:v>
                </c:pt>
                <c:pt idx="7">
                  <c:v>101.91</c:v>
                </c:pt>
                <c:pt idx="8">
                  <c:v>105.07</c:v>
                </c:pt>
                <c:pt idx="9">
                  <c:v>105.33</c:v>
                </c:pt>
                <c:pt idx="10">
                  <c:v>108.23</c:v>
                </c:pt>
                <c:pt idx="11">
                  <c:v>111.26</c:v>
                </c:pt>
                <c:pt idx="12">
                  <c:v>118.03</c:v>
                </c:pt>
                <c:pt idx="13">
                  <c:v>114.01</c:v>
                </c:pt>
                <c:pt idx="14">
                  <c:v>108.17</c:v>
                </c:pt>
                <c:pt idx="15">
                  <c:v>114.44</c:v>
                </c:pt>
                <c:pt idx="16">
                  <c:v>109.87</c:v>
                </c:pt>
                <c:pt idx="17">
                  <c:v>101.27</c:v>
                </c:pt>
                <c:pt idx="18">
                  <c:v>100.06</c:v>
                </c:pt>
                <c:pt idx="19">
                  <c:v>101.29</c:v>
                </c:pt>
                <c:pt idx="20">
                  <c:v>104.21</c:v>
                </c:pt>
                <c:pt idx="21">
                  <c:v>107.77</c:v>
                </c:pt>
                <c:pt idx="22">
                  <c:v>105.63</c:v>
                </c:pt>
                <c:pt idx="23">
                  <c:v>105.72</c:v>
                </c:pt>
                <c:pt idx="24">
                  <c:v>109.26</c:v>
                </c:pt>
                <c:pt idx="25">
                  <c:v>112.1</c:v>
                </c:pt>
                <c:pt idx="26">
                  <c:v>111.28</c:v>
                </c:pt>
                <c:pt idx="27">
                  <c:v>105.02</c:v>
                </c:pt>
                <c:pt idx="28">
                  <c:v>102.58</c:v>
                </c:pt>
                <c:pt idx="29">
                  <c:v>103.54</c:v>
                </c:pt>
                <c:pt idx="30">
                  <c:v>96.14</c:v>
                </c:pt>
                <c:pt idx="31">
                  <c:v>99.58</c:v>
                </c:pt>
                <c:pt idx="32">
                  <c:v>94.29</c:v>
                </c:pt>
                <c:pt idx="33">
                  <c:v>93.71</c:v>
                </c:pt>
                <c:pt idx="34">
                  <c:v>92.05</c:v>
                </c:pt>
                <c:pt idx="35">
                  <c:v>94.98</c:v>
                </c:pt>
                <c:pt idx="36">
                  <c:v>96</c:v>
                </c:pt>
                <c:pt idx="37">
                  <c:v>97.81</c:v>
                </c:pt>
                <c:pt idx="38">
                  <c:v>95.03</c:v>
                </c:pt>
                <c:pt idx="39">
                  <c:v>93.09</c:v>
                </c:pt>
                <c:pt idx="40">
                  <c:v>94.25</c:v>
                </c:pt>
                <c:pt idx="41">
                  <c:v>91.45</c:v>
                </c:pt>
                <c:pt idx="42">
                  <c:v>93.1</c:v>
                </c:pt>
                <c:pt idx="43">
                  <c:v>90.38</c:v>
                </c:pt>
                <c:pt idx="44">
                  <c:v>87.33</c:v>
                </c:pt>
                <c:pt idx="45">
                  <c:v>83.17</c:v>
                </c:pt>
                <c:pt idx="46">
                  <c:v>78.96</c:v>
                </c:pt>
                <c:pt idx="47">
                  <c:v>79.55</c:v>
                </c:pt>
                <c:pt idx="48">
                  <c:v>79.85</c:v>
                </c:pt>
                <c:pt idx="49">
                  <c:v>80.57</c:v>
                </c:pt>
                <c:pt idx="50">
                  <c:v>77.9</c:v>
                </c:pt>
                <c:pt idx="51">
                  <c:v>77.08</c:v>
                </c:pt>
                <c:pt idx="52">
                  <c:v>73.74</c:v>
                </c:pt>
                <c:pt idx="53">
                  <c:v>75.26</c:v>
                </c:pt>
                <c:pt idx="54">
                  <c:v>71.99</c:v>
                </c:pt>
                <c:pt idx="55">
                  <c:v>73.15</c:v>
                </c:pt>
                <c:pt idx="56">
                  <c:v>72.92</c:v>
                </c:pt>
                <c:pt idx="57">
                  <c:v>71.57</c:v>
                </c:pt>
                <c:pt idx="58">
                  <c:v>71.8</c:v>
                </c:pt>
                <c:pt idx="59">
                  <c:v>72.12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2495.514,2445.683,2462.6621,2400.5389,2291.8109,2041.6255,2932.7475,2593.1826,2807.7375,2726.228,2951.7908,2976.637,2925.0049,2980.6398,3106.3279,3010.4298,3064.0491,3530.9526,3428.9048,3224.7772,3333.114,3412.4151,3506.8249,4142.4456,3923.0332,3570.4196,4239.9449,4055.4348,3932.6101,4134.2726,4353.3885,3803.7072,3586.8144,3532.1456,4004.8581,3325.7701,3946.6541,4074.7268,3835.009,4734.0549,4074.1027,3761.5433,4147.4772,3651.6883,4047.7071,3700.652,3609.3293,3498.7201,3393.2125,4910.2771,4097.2304,3829.9025,3850.5584,4293.4356,4821.7741,4439.7157,4243.5582,4238.5796,4131.4063,4267.222}</c:f>
              <c:numCache>
                <c:formatCode>General</c:formatCode>
                <c:ptCount val="60"/>
                <c:pt idx="0">
                  <c:v>2495.514</c:v>
                </c:pt>
                <c:pt idx="1">
                  <c:v>2445.683</c:v>
                </c:pt>
                <c:pt idx="2">
                  <c:v>2462.6621</c:v>
                </c:pt>
                <c:pt idx="3">
                  <c:v>2400.5389</c:v>
                </c:pt>
                <c:pt idx="4">
                  <c:v>2291.8109</c:v>
                </c:pt>
                <c:pt idx="5">
                  <c:v>2041.6255</c:v>
                </c:pt>
                <c:pt idx="6">
                  <c:v>2932.7475</c:v>
                </c:pt>
                <c:pt idx="7">
                  <c:v>2593.1826</c:v>
                </c:pt>
                <c:pt idx="8">
                  <c:v>2807.7375</c:v>
                </c:pt>
                <c:pt idx="9">
                  <c:v>2726.228</c:v>
                </c:pt>
                <c:pt idx="10">
                  <c:v>2951.7908</c:v>
                </c:pt>
                <c:pt idx="11">
                  <c:v>2976.637</c:v>
                </c:pt>
                <c:pt idx="12">
                  <c:v>2925.0049</c:v>
                </c:pt>
                <c:pt idx="13">
                  <c:v>2980.6398</c:v>
                </c:pt>
                <c:pt idx="14">
                  <c:v>3106.3279</c:v>
                </c:pt>
                <c:pt idx="15">
                  <c:v>3010.4298</c:v>
                </c:pt>
                <c:pt idx="16">
                  <c:v>3064.0491</c:v>
                </c:pt>
                <c:pt idx="17">
                  <c:v>3530.9526</c:v>
                </c:pt>
                <c:pt idx="18">
                  <c:v>3428.9048</c:v>
                </c:pt>
                <c:pt idx="19">
                  <c:v>3224.7772</c:v>
                </c:pt>
                <c:pt idx="20">
                  <c:v>3333.114</c:v>
                </c:pt>
                <c:pt idx="21">
                  <c:v>3412.4151</c:v>
                </c:pt>
                <c:pt idx="22">
                  <c:v>3506.8249</c:v>
                </c:pt>
                <c:pt idx="23">
                  <c:v>4142.4456</c:v>
                </c:pt>
                <c:pt idx="24">
                  <c:v>3923.0332</c:v>
                </c:pt>
                <c:pt idx="25">
                  <c:v>3570.4196</c:v>
                </c:pt>
                <c:pt idx="26">
                  <c:v>4239.9449</c:v>
                </c:pt>
                <c:pt idx="27">
                  <c:v>4055.4348</c:v>
                </c:pt>
                <c:pt idx="28">
                  <c:v>3932.6101</c:v>
                </c:pt>
                <c:pt idx="29">
                  <c:v>4134.2726</c:v>
                </c:pt>
                <c:pt idx="30">
                  <c:v>4353.3885</c:v>
                </c:pt>
                <c:pt idx="31">
                  <c:v>3803.7072</c:v>
                </c:pt>
                <c:pt idx="32">
                  <c:v>3586.8144</c:v>
                </c:pt>
                <c:pt idx="33">
                  <c:v>3532.1456</c:v>
                </c:pt>
                <c:pt idx="34">
                  <c:v>4004.8581</c:v>
                </c:pt>
                <c:pt idx="35">
                  <c:v>3325.7701</c:v>
                </c:pt>
                <c:pt idx="36">
                  <c:v>3946.6541</c:v>
                </c:pt>
                <c:pt idx="37">
                  <c:v>4074.7268</c:v>
                </c:pt>
                <c:pt idx="38">
                  <c:v>3835.009</c:v>
                </c:pt>
                <c:pt idx="39">
                  <c:v>4734.0549</c:v>
                </c:pt>
                <c:pt idx="40">
                  <c:v>4074.1027</c:v>
                </c:pt>
                <c:pt idx="41">
                  <c:v>3761.5433</c:v>
                </c:pt>
                <c:pt idx="42">
                  <c:v>4147.4772</c:v>
                </c:pt>
                <c:pt idx="43">
                  <c:v>3651.6883</c:v>
                </c:pt>
                <c:pt idx="44">
                  <c:v>4047.7071</c:v>
                </c:pt>
                <c:pt idx="45">
                  <c:v>3700.652</c:v>
                </c:pt>
                <c:pt idx="46">
                  <c:v>3609.3293</c:v>
                </c:pt>
                <c:pt idx="47">
                  <c:v>3498.7201</c:v>
                </c:pt>
                <c:pt idx="48">
                  <c:v>3393.2125</c:v>
                </c:pt>
                <c:pt idx="49">
                  <c:v>4910.2771</c:v>
                </c:pt>
                <c:pt idx="50">
                  <c:v>4097.2304</c:v>
                </c:pt>
                <c:pt idx="51">
                  <c:v>3829.9025</c:v>
                </c:pt>
                <c:pt idx="52">
                  <c:v>3850.5584</c:v>
                </c:pt>
                <c:pt idx="53">
                  <c:v>4293.4356</c:v>
                </c:pt>
                <c:pt idx="54">
                  <c:v>4821.7741</c:v>
                </c:pt>
                <c:pt idx="55">
                  <c:v>4439.7157</c:v>
                </c:pt>
                <c:pt idx="56">
                  <c:v>4243.5582</c:v>
                </c:pt>
                <c:pt idx="57">
                  <c:v>4238.5796</c:v>
                </c:pt>
                <c:pt idx="58">
                  <c:v>4131.4063</c:v>
                </c:pt>
                <c:pt idx="59">
                  <c:v>4267.222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{2.0193,2.0806,2.3349,1.9893,2.6847}</c:f>
              <c:numCache>
                <c:formatCode>General</c:formatCode>
                <c:ptCount val="5"/>
                <c:pt idx="0">
                  <c:v>2.0193</c:v>
                </c:pt>
                <c:pt idx="1">
                  <c:v>2.0806</c:v>
                </c:pt>
                <c:pt idx="2">
                  <c:v>2.3349</c:v>
                </c:pt>
                <c:pt idx="3">
                  <c:v>1.9893</c:v>
                </c:pt>
                <c:pt idx="4">
                  <c:v>2.6847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{112953,141271,160737,179324,208064,225825,248538,287395,46706,74706,94809,113877}</c:f>
              <c:numCache>
                <c:formatCode>General</c:formatCode>
                <c:ptCount val="12"/>
                <c:pt idx="0">
                  <c:v>112953</c:v>
                </c:pt>
                <c:pt idx="1">
                  <c:v>141271</c:v>
                </c:pt>
                <c:pt idx="2">
                  <c:v>160737</c:v>
                </c:pt>
                <c:pt idx="3">
                  <c:v>179324</c:v>
                </c:pt>
                <c:pt idx="4">
                  <c:v>208064</c:v>
                </c:pt>
                <c:pt idx="5">
                  <c:v>225825</c:v>
                </c:pt>
                <c:pt idx="6">
                  <c:v>248538</c:v>
                </c:pt>
                <c:pt idx="7">
                  <c:v>287395</c:v>
                </c:pt>
                <c:pt idx="8">
                  <c:v>46706</c:v>
                </c:pt>
                <c:pt idx="9">
                  <c:v>74706</c:v>
                </c:pt>
                <c:pt idx="10">
                  <c:v>94809</c:v>
                </c:pt>
                <c:pt idx="11">
                  <c:v>113877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{12500,20200,22100,13700,20900,20400,6579,15500,12000,4606,12000,19100}</c:f>
              <c:numCache>
                <c:formatCode>General</c:formatCode>
                <c:ptCount val="12"/>
                <c:pt idx="0">
                  <c:v>12500</c:v>
                </c:pt>
                <c:pt idx="1">
                  <c:v>20200</c:v>
                </c:pt>
                <c:pt idx="2">
                  <c:v>22100</c:v>
                </c:pt>
                <c:pt idx="3">
                  <c:v>13700</c:v>
                </c:pt>
                <c:pt idx="4">
                  <c:v>20900</c:v>
                </c:pt>
                <c:pt idx="5">
                  <c:v>20400</c:v>
                </c:pt>
                <c:pt idx="6">
                  <c:v>6579</c:v>
                </c:pt>
                <c:pt idx="7">
                  <c:v>15500</c:v>
                </c:pt>
                <c:pt idx="8">
                  <c:v>12000</c:v>
                </c:pt>
                <c:pt idx="9">
                  <c:v>4606</c:v>
                </c:pt>
                <c:pt idx="10">
                  <c:v>12000</c:v>
                </c:pt>
                <c:pt idx="11">
                  <c:v>19100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{37174.1,41325.8,42287.4,38780.2,39667.6,41971,46291.3,43898,45135.9,41616,37246.5,41090}</c:f>
              <c:numCache>
                <c:formatCode>General</c:formatCode>
                <c:ptCount val="12"/>
                <c:pt idx="0">
                  <c:v>37174.1</c:v>
                </c:pt>
                <c:pt idx="1">
                  <c:v>41325.8</c:v>
                </c:pt>
                <c:pt idx="2">
                  <c:v>42287.4</c:v>
                </c:pt>
                <c:pt idx="3">
                  <c:v>38780.2</c:v>
                </c:pt>
                <c:pt idx="4">
                  <c:v>39667.6</c:v>
                </c:pt>
                <c:pt idx="5">
                  <c:v>41971</c:v>
                </c:pt>
                <c:pt idx="6">
                  <c:v>46291.3</c:v>
                </c:pt>
                <c:pt idx="7">
                  <c:v>43898</c:v>
                </c:pt>
                <c:pt idx="8">
                  <c:v>45135.9</c:v>
                </c:pt>
                <c:pt idx="9">
                  <c:v>41616</c:v>
                </c:pt>
                <c:pt idx="10">
                  <c:v>37246.5</c:v>
                </c:pt>
                <c:pt idx="11">
                  <c:v>41090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{5.4,5.2,4.8,4.5,5}</c:f>
              <c:numCache>
                <c:formatCode>General</c:formatCode>
                <c:ptCount val="5"/>
                <c:pt idx="0">
                  <c:v>5.4</c:v>
                </c:pt>
                <c:pt idx="1">
                  <c:v>5.2</c:v>
                </c:pt>
                <c:pt idx="2">
                  <c:v>4.8</c:v>
                </c:pt>
                <c:pt idx="3">
                  <c:v>4.5</c:v>
                </c:pt>
                <c:pt idx="4">
                  <c:v>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{3.7,2.8,1.6,0.5,-0.5,-1.7,-2.6,-3.8,1.8,1.7,-1.6,-4.1}</c:f>
              <c:numCache>
                <c:formatCode>General</c:formatCode>
                <c:ptCount val="12"/>
                <c:pt idx="0">
                  <c:v>3.7</c:v>
                </c:pt>
                <c:pt idx="1">
                  <c:v>2.8</c:v>
                </c:pt>
                <c:pt idx="2">
                  <c:v>1.6</c:v>
                </c:pt>
                <c:pt idx="3">
                  <c:v>0.5</c:v>
                </c:pt>
                <c:pt idx="4">
                  <c:v>-0.5</c:v>
                </c:pt>
                <c:pt idx="5">
                  <c:v>-1.7</c:v>
                </c:pt>
                <c:pt idx="6">
                  <c:v>-2.6</c:v>
                </c:pt>
                <c:pt idx="7">
                  <c:v>-3.8</c:v>
                </c:pt>
                <c:pt idx="8">
                  <c:v>1.8</c:v>
                </c:pt>
                <c:pt idx="9">
                  <c:v>1.7</c:v>
                </c:pt>
                <c:pt idx="10">
                  <c:v>-1.6</c:v>
                </c:pt>
                <c:pt idx="11">
                  <c:v>-4.1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18358833,18370203.6,18383595.8,18399314,18406238.3,18441840.4,18462425.3,18473621.9,18517301.3,18537011.9,18554180.6,18583108.5,18600255.5,18623685.8,18650759.2,18648641.2,18714241.4,18699261.1,18724915.4,18735247.7,18758209.8,18782287.5,18790722.8,18825805,18850280.2,18839552.8,18867567.7,18896328.9,18922619.5,18937567.1,18910539.6,18927917.3,18943644.8,18968863.1,18963939.2,19021275.6,19069828.1,19129947.9,19144993.2,19184441.5,19240889.3,19265798,19269643.5,19309766.5,19343613,19355074.1,19382156.2,19419060.9,19447039.8,19464295.1,19456297.5,19462650.1,19495662.2,19531619.9,19561476,19578731.5,19567738.7,19619551.2,19620843.1,19643284.5}</c:f>
              <c:numCache>
                <c:formatCode>General</c:formatCode>
                <c:ptCount val="60"/>
                <c:pt idx="0">
                  <c:v>18358833</c:v>
                </c:pt>
                <c:pt idx="1">
                  <c:v>18370203.6</c:v>
                </c:pt>
                <c:pt idx="2">
                  <c:v>18383595.8</c:v>
                </c:pt>
                <c:pt idx="3">
                  <c:v>18399314</c:v>
                </c:pt>
                <c:pt idx="4">
                  <c:v>18406238.3</c:v>
                </c:pt>
                <c:pt idx="5">
                  <c:v>18441840.4</c:v>
                </c:pt>
                <c:pt idx="6">
                  <c:v>18462425.3</c:v>
                </c:pt>
                <c:pt idx="7">
                  <c:v>18473621.9</c:v>
                </c:pt>
                <c:pt idx="8">
                  <c:v>18517301.3</c:v>
                </c:pt>
                <c:pt idx="9">
                  <c:v>18537011.9</c:v>
                </c:pt>
                <c:pt idx="10">
                  <c:v>18554180.6</c:v>
                </c:pt>
                <c:pt idx="11">
                  <c:v>18583108.5</c:v>
                </c:pt>
                <c:pt idx="12">
                  <c:v>18600255.5</c:v>
                </c:pt>
                <c:pt idx="13">
                  <c:v>18623685.8</c:v>
                </c:pt>
                <c:pt idx="14">
                  <c:v>18650759.2</c:v>
                </c:pt>
                <c:pt idx="15">
                  <c:v>18648641.2</c:v>
                </c:pt>
                <c:pt idx="16">
                  <c:v>18714241.4</c:v>
                </c:pt>
                <c:pt idx="17">
                  <c:v>18699261.1</c:v>
                </c:pt>
                <c:pt idx="18">
                  <c:v>18724915.4</c:v>
                </c:pt>
                <c:pt idx="19">
                  <c:v>18735247.7</c:v>
                </c:pt>
                <c:pt idx="20">
                  <c:v>18758209.8</c:v>
                </c:pt>
                <c:pt idx="21">
                  <c:v>18782287.5</c:v>
                </c:pt>
                <c:pt idx="22">
                  <c:v>18790722.8</c:v>
                </c:pt>
                <c:pt idx="23">
                  <c:v>18825805</c:v>
                </c:pt>
                <c:pt idx="24">
                  <c:v>18850280.2</c:v>
                </c:pt>
                <c:pt idx="25">
                  <c:v>18839552.8</c:v>
                </c:pt>
                <c:pt idx="26">
                  <c:v>18867567.7</c:v>
                </c:pt>
                <c:pt idx="27">
                  <c:v>18896328.9</c:v>
                </c:pt>
                <c:pt idx="28">
                  <c:v>18922619.5</c:v>
                </c:pt>
                <c:pt idx="29">
                  <c:v>18937567.1</c:v>
                </c:pt>
                <c:pt idx="30">
                  <c:v>18910539.6</c:v>
                </c:pt>
                <c:pt idx="31">
                  <c:v>18927917.3</c:v>
                </c:pt>
                <c:pt idx="32">
                  <c:v>18943644.8</c:v>
                </c:pt>
                <c:pt idx="33">
                  <c:v>18968863.1</c:v>
                </c:pt>
                <c:pt idx="34">
                  <c:v>18963939.2</c:v>
                </c:pt>
                <c:pt idx="35">
                  <c:v>19021275.6</c:v>
                </c:pt>
                <c:pt idx="36">
                  <c:v>19069828.1</c:v>
                </c:pt>
                <c:pt idx="37">
                  <c:v>19129947.9</c:v>
                </c:pt>
                <c:pt idx="38">
                  <c:v>19144993.2</c:v>
                </c:pt>
                <c:pt idx="39">
                  <c:v>19184441.5</c:v>
                </c:pt>
                <c:pt idx="40">
                  <c:v>19240889.3</c:v>
                </c:pt>
                <c:pt idx="41">
                  <c:v>19265798</c:v>
                </c:pt>
                <c:pt idx="42">
                  <c:v>19269643.5</c:v>
                </c:pt>
                <c:pt idx="43">
                  <c:v>19309766.5</c:v>
                </c:pt>
                <c:pt idx="44">
                  <c:v>19343613</c:v>
                </c:pt>
                <c:pt idx="45">
                  <c:v>19355074.1</c:v>
                </c:pt>
                <c:pt idx="46">
                  <c:v>19382156.2</c:v>
                </c:pt>
                <c:pt idx="47">
                  <c:v>19419060.9</c:v>
                </c:pt>
                <c:pt idx="48">
                  <c:v>19447039.8</c:v>
                </c:pt>
                <c:pt idx="49">
                  <c:v>19464295.1</c:v>
                </c:pt>
                <c:pt idx="50">
                  <c:v>19456297.5</c:v>
                </c:pt>
                <c:pt idx="51">
                  <c:v>19462650.1</c:v>
                </c:pt>
                <c:pt idx="52">
                  <c:v>19495662.2</c:v>
                </c:pt>
                <c:pt idx="53">
                  <c:v>19531619.9</c:v>
                </c:pt>
                <c:pt idx="54">
                  <c:v>19561476</c:v>
                </c:pt>
                <c:pt idx="55">
                  <c:v>19578731.5</c:v>
                </c:pt>
                <c:pt idx="56">
                  <c:v>19567738.7</c:v>
                </c:pt>
                <c:pt idx="57">
                  <c:v>19619551.2</c:v>
                </c:pt>
                <c:pt idx="58">
                  <c:v>19620843.1</c:v>
                </c:pt>
                <c:pt idx="59">
                  <c:v>19643284.5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{30042.1,30485.7,31098,31422.5,31819.5}</c:f>
              <c:numCache>
                <c:formatCode>General</c:formatCode>
                <c:ptCount val="5"/>
                <c:pt idx="0">
                  <c:v>30042.1</c:v>
                </c:pt>
                <c:pt idx="1">
                  <c:v>30485.7</c:v>
                </c:pt>
                <c:pt idx="2">
                  <c:v>31098</c:v>
                </c:pt>
                <c:pt idx="3">
                  <c:v>31422.5</c:v>
                </c:pt>
                <c:pt idx="4">
                  <c:v>31819.5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0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{4.526964,3.837118,5.191372,4.988496,3.367188,4.416787,4.134309,4.972606,4.144341,3.213514,3.21204,2.433131,3.267863,4.174261,4.151719,4.873508}</c:f>
              <c:numCache>
                <c:formatCode>General</c:formatCode>
                <c:ptCount val="16"/>
                <c:pt idx="0">
                  <c:v>4.526964</c:v>
                </c:pt>
                <c:pt idx="1">
                  <c:v>3.837118</c:v>
                </c:pt>
                <c:pt idx="2">
                  <c:v>5.191372</c:v>
                </c:pt>
                <c:pt idx="3">
                  <c:v>4.988496</c:v>
                </c:pt>
                <c:pt idx="4">
                  <c:v>3.367188</c:v>
                </c:pt>
                <c:pt idx="5">
                  <c:v>4.416787</c:v>
                </c:pt>
                <c:pt idx="6">
                  <c:v>4.134309</c:v>
                </c:pt>
                <c:pt idx="7">
                  <c:v>4.972606</c:v>
                </c:pt>
                <c:pt idx="8">
                  <c:v>4.144341</c:v>
                </c:pt>
                <c:pt idx="9">
                  <c:v>3.213514</c:v>
                </c:pt>
                <c:pt idx="10">
                  <c:v>3.21204</c:v>
                </c:pt>
                <c:pt idx="11">
                  <c:v>2.433131</c:v>
                </c:pt>
                <c:pt idx="12">
                  <c:v>3.267863</c:v>
                </c:pt>
                <c:pt idx="13">
                  <c:v>4.174261</c:v>
                </c:pt>
                <c:pt idx="14">
                  <c:v>4.151719</c:v>
                </c:pt>
                <c:pt idx="15">
                  <c:v>4.873508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24788.14,25294.03,25116.53,25893.02,25752.4,25893.54,25660.85,25872.32,25947.32,26394.26,26160.33,26361.07,26487.48,26163.24,25915.2,25978.07,25925.65,25679.78,26111.84,25776.53,26213.78,26626.28,26393.71,26406.84,26347.91,26388.44,26389.04,25962.73,25675.18,25797.85,25651.12,25386.52,25606.03,25599.45,25328.23,25006.16,25182.39,25398.18,26038.32,25633.21,25253.4,24961.95,24657.06,24565.9,24407.96,24249.29,24718.1,24842.67,24493.95,24312.16,23924.81,23768.52,23336.28,23412.18,23076.91,22671.86,23026.68,22881.02,23055.03,23350.03}</c:f>
              <c:numCache>
                <c:formatCode>General</c:formatCode>
                <c:ptCount val="60"/>
                <c:pt idx="0">
                  <c:v>24788.14</c:v>
                </c:pt>
                <c:pt idx="1">
                  <c:v>25294.03</c:v>
                </c:pt>
                <c:pt idx="2">
                  <c:v>25116.53</c:v>
                </c:pt>
                <c:pt idx="3">
                  <c:v>25893.02</c:v>
                </c:pt>
                <c:pt idx="4">
                  <c:v>25752.4</c:v>
                </c:pt>
                <c:pt idx="5">
                  <c:v>25893.54</c:v>
                </c:pt>
                <c:pt idx="6">
                  <c:v>25660.85</c:v>
                </c:pt>
                <c:pt idx="7">
                  <c:v>25872.32</c:v>
                </c:pt>
                <c:pt idx="8">
                  <c:v>25947.32</c:v>
                </c:pt>
                <c:pt idx="9">
                  <c:v>26394.26</c:v>
                </c:pt>
                <c:pt idx="10">
                  <c:v>26160.33</c:v>
                </c:pt>
                <c:pt idx="11">
                  <c:v>26361.07</c:v>
                </c:pt>
                <c:pt idx="12">
                  <c:v>26487.48</c:v>
                </c:pt>
                <c:pt idx="13">
                  <c:v>26163.24</c:v>
                </c:pt>
                <c:pt idx="14">
                  <c:v>25915.2</c:v>
                </c:pt>
                <c:pt idx="15">
                  <c:v>25978.07</c:v>
                </c:pt>
                <c:pt idx="16">
                  <c:v>25925.65</c:v>
                </c:pt>
                <c:pt idx="17">
                  <c:v>25679.78</c:v>
                </c:pt>
                <c:pt idx="18">
                  <c:v>26111.84</c:v>
                </c:pt>
                <c:pt idx="19">
                  <c:v>25776.53</c:v>
                </c:pt>
                <c:pt idx="20">
                  <c:v>26213.78</c:v>
                </c:pt>
                <c:pt idx="21">
                  <c:v>26626.28</c:v>
                </c:pt>
                <c:pt idx="22">
                  <c:v>26393.71</c:v>
                </c:pt>
                <c:pt idx="23">
                  <c:v>26406.84</c:v>
                </c:pt>
                <c:pt idx="24">
                  <c:v>26347.91</c:v>
                </c:pt>
                <c:pt idx="25">
                  <c:v>26388.44</c:v>
                </c:pt>
                <c:pt idx="26">
                  <c:v>26389.04</c:v>
                </c:pt>
                <c:pt idx="27">
                  <c:v>25962.73</c:v>
                </c:pt>
                <c:pt idx="28">
                  <c:v>25675.18</c:v>
                </c:pt>
                <c:pt idx="29">
                  <c:v>25797.85</c:v>
                </c:pt>
                <c:pt idx="30">
                  <c:v>25651.12</c:v>
                </c:pt>
                <c:pt idx="31">
                  <c:v>25386.52</c:v>
                </c:pt>
                <c:pt idx="32">
                  <c:v>25606.03</c:v>
                </c:pt>
                <c:pt idx="33">
                  <c:v>25599.45</c:v>
                </c:pt>
                <c:pt idx="34">
                  <c:v>25328.23</c:v>
                </c:pt>
                <c:pt idx="35">
                  <c:v>25006.16</c:v>
                </c:pt>
                <c:pt idx="36">
                  <c:v>25182.39</c:v>
                </c:pt>
                <c:pt idx="37">
                  <c:v>25398.18</c:v>
                </c:pt>
                <c:pt idx="38">
                  <c:v>26038.32</c:v>
                </c:pt>
                <c:pt idx="39">
                  <c:v>25633.21</c:v>
                </c:pt>
                <c:pt idx="40">
                  <c:v>25253.4</c:v>
                </c:pt>
                <c:pt idx="41">
                  <c:v>24961.95</c:v>
                </c:pt>
                <c:pt idx="42">
                  <c:v>24657.06</c:v>
                </c:pt>
                <c:pt idx="43">
                  <c:v>24565.9</c:v>
                </c:pt>
                <c:pt idx="44">
                  <c:v>24407.96</c:v>
                </c:pt>
                <c:pt idx="45">
                  <c:v>24249.29</c:v>
                </c:pt>
                <c:pt idx="46">
                  <c:v>24718.1</c:v>
                </c:pt>
                <c:pt idx="47">
                  <c:v>24842.67</c:v>
                </c:pt>
                <c:pt idx="48">
                  <c:v>24493.95</c:v>
                </c:pt>
                <c:pt idx="49">
                  <c:v>24312.16</c:v>
                </c:pt>
                <c:pt idx="50">
                  <c:v>23924.81</c:v>
                </c:pt>
                <c:pt idx="51">
                  <c:v>23768.52</c:v>
                </c:pt>
                <c:pt idx="52">
                  <c:v>23336.28</c:v>
                </c:pt>
                <c:pt idx="53">
                  <c:v>23412.18</c:v>
                </c:pt>
                <c:pt idx="54">
                  <c:v>23076.91</c:v>
                </c:pt>
                <c:pt idx="55">
                  <c:v>22671.86</c:v>
                </c:pt>
                <c:pt idx="56">
                  <c:v>23026.68</c:v>
                </c:pt>
                <c:pt idx="57">
                  <c:v>22881.02</c:v>
                </c:pt>
                <c:pt idx="58">
                  <c:v>23055.03</c:v>
                </c:pt>
                <c:pt idx="59">
                  <c:v>23350.03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4649.82,4756.45,4679.1,4923.25,4821.67,4860.26,4822.01,4851.96,4911.79,5092.08,5042.68,5065.63,5061.5,4963.94,4865.52,4902.2,4939.84,4827.19,4910.02,4871.32,4969.2,5121.1,5102.79,5106.4,5070.61,5093.85,5076.2,4941.14,4844.94,4857.46,4873.82,4768.9,4869.57,4946.88,4907.57,4888.58,4884.23,4964.92,5199.28,5056.97,4975.36,4888.39,4755.91,4769.61,4724.79,4655.74,4705.2,4765.58,4658.65,4669.07,4604.35,4549.41,4399.22,4479.02,4405.92,4255.59,4393.01,4472.23,4454.28,4499}</c:f>
              <c:numCache>
                <c:formatCode>General</c:formatCode>
                <c:ptCount val="60"/>
                <c:pt idx="0">
                  <c:v>4649.82</c:v>
                </c:pt>
                <c:pt idx="1">
                  <c:v>4756.45</c:v>
                </c:pt>
                <c:pt idx="2">
                  <c:v>4679.1</c:v>
                </c:pt>
                <c:pt idx="3">
                  <c:v>4923.25</c:v>
                </c:pt>
                <c:pt idx="4">
                  <c:v>4821.67</c:v>
                </c:pt>
                <c:pt idx="5">
                  <c:v>4860.26</c:v>
                </c:pt>
                <c:pt idx="6">
                  <c:v>4822.01</c:v>
                </c:pt>
                <c:pt idx="7">
                  <c:v>4851.96</c:v>
                </c:pt>
                <c:pt idx="8">
                  <c:v>4911.79</c:v>
                </c:pt>
                <c:pt idx="9">
                  <c:v>5092.08</c:v>
                </c:pt>
                <c:pt idx="10">
                  <c:v>5042.68</c:v>
                </c:pt>
                <c:pt idx="11">
                  <c:v>5065.63</c:v>
                </c:pt>
                <c:pt idx="12">
                  <c:v>5061.5</c:v>
                </c:pt>
                <c:pt idx="13">
                  <c:v>4963.94</c:v>
                </c:pt>
                <c:pt idx="14">
                  <c:v>4865.52</c:v>
                </c:pt>
                <c:pt idx="15">
                  <c:v>4902.2</c:v>
                </c:pt>
                <c:pt idx="16">
                  <c:v>4939.84</c:v>
                </c:pt>
                <c:pt idx="17">
                  <c:v>4827.19</c:v>
                </c:pt>
                <c:pt idx="18">
                  <c:v>4910.02</c:v>
                </c:pt>
                <c:pt idx="19">
                  <c:v>4871.32</c:v>
                </c:pt>
                <c:pt idx="20">
                  <c:v>4969.2</c:v>
                </c:pt>
                <c:pt idx="21">
                  <c:v>5121.1</c:v>
                </c:pt>
                <c:pt idx="22">
                  <c:v>5102.79</c:v>
                </c:pt>
                <c:pt idx="23">
                  <c:v>5106.4</c:v>
                </c:pt>
                <c:pt idx="24">
                  <c:v>5070.61</c:v>
                </c:pt>
                <c:pt idx="25">
                  <c:v>5093.85</c:v>
                </c:pt>
                <c:pt idx="26">
                  <c:v>5076.2</c:v>
                </c:pt>
                <c:pt idx="27">
                  <c:v>4941.14</c:v>
                </c:pt>
                <c:pt idx="28">
                  <c:v>4844.94</c:v>
                </c:pt>
                <c:pt idx="29">
                  <c:v>4857.46</c:v>
                </c:pt>
                <c:pt idx="30">
                  <c:v>4873.82</c:v>
                </c:pt>
                <c:pt idx="31">
                  <c:v>4768.9</c:v>
                </c:pt>
                <c:pt idx="32">
                  <c:v>4869.57</c:v>
                </c:pt>
                <c:pt idx="33">
                  <c:v>4946.88</c:v>
                </c:pt>
                <c:pt idx="34">
                  <c:v>4907.57</c:v>
                </c:pt>
                <c:pt idx="35">
                  <c:v>4888.58</c:v>
                </c:pt>
                <c:pt idx="36">
                  <c:v>4884.23</c:v>
                </c:pt>
                <c:pt idx="37">
                  <c:v>4964.92</c:v>
                </c:pt>
                <c:pt idx="38">
                  <c:v>5199.28</c:v>
                </c:pt>
                <c:pt idx="39">
                  <c:v>5056.97</c:v>
                </c:pt>
                <c:pt idx="40">
                  <c:v>4975.36</c:v>
                </c:pt>
                <c:pt idx="41">
                  <c:v>4888.39</c:v>
                </c:pt>
                <c:pt idx="42">
                  <c:v>4755.91</c:v>
                </c:pt>
                <c:pt idx="43">
                  <c:v>4769.61</c:v>
                </c:pt>
                <c:pt idx="44">
                  <c:v>4724.79</c:v>
                </c:pt>
                <c:pt idx="45">
                  <c:v>4655.74</c:v>
                </c:pt>
                <c:pt idx="46">
                  <c:v>4705.2</c:v>
                </c:pt>
                <c:pt idx="47">
                  <c:v>4765.58</c:v>
                </c:pt>
                <c:pt idx="48">
                  <c:v>4658.65</c:v>
                </c:pt>
                <c:pt idx="49">
                  <c:v>4669.07</c:v>
                </c:pt>
                <c:pt idx="50">
                  <c:v>4604.35</c:v>
                </c:pt>
                <c:pt idx="51">
                  <c:v>4549.41</c:v>
                </c:pt>
                <c:pt idx="52">
                  <c:v>4399.22</c:v>
                </c:pt>
                <c:pt idx="53">
                  <c:v>4479.02</c:v>
                </c:pt>
                <c:pt idx="54">
                  <c:v>4405.92</c:v>
                </c:pt>
                <c:pt idx="55">
                  <c:v>4255.59</c:v>
                </c:pt>
                <c:pt idx="56">
                  <c:v>4393.01</c:v>
                </c:pt>
                <c:pt idx="57">
                  <c:v>4472.23</c:v>
                </c:pt>
                <c:pt idx="58">
                  <c:v>4454.28</c:v>
                </c:pt>
                <c:pt idx="59">
                  <c:v>4499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{1.4,1.4,1.4,1.4,1.4,1.4,1.4,1.4,1.4,1.4,1.4,1.4,1.4,1.4,1.4,1.4,1.4,1.4,1.4,1.4,1.4,1.4,1.4,1.4,1.4,1.4,1.4,1.4,1.4,1.4,1.4,1.4,1.4,1.4,1.4,1.4,1.4,1.4,1.4,1.4,1.4,1.4,1.4,1.4,1.4,1.4,1.4,1.4,1.4,1.4,1.4,1.4,1.4,1.4,1.4,1.4,1.4,1.4,1.4,1.4}</c:f>
              <c:numCache>
                <c:formatCode>General</c:formatCode>
                <c:ptCount val="60"/>
                <c:pt idx="0">
                  <c:v>1.4</c:v>
                </c:pt>
                <c:pt idx="1">
                  <c:v>1.4</c:v>
                </c:pt>
                <c:pt idx="2">
                  <c:v>1.4</c:v>
                </c:pt>
                <c:pt idx="3">
                  <c:v>1.4</c:v>
                </c:pt>
                <c:pt idx="4">
                  <c:v>1.4</c:v>
                </c:pt>
                <c:pt idx="5">
                  <c:v>1.4</c:v>
                </c:pt>
                <c:pt idx="6">
                  <c:v>1.4</c:v>
                </c:pt>
                <c:pt idx="7">
                  <c:v>1.4</c:v>
                </c:pt>
                <c:pt idx="8">
                  <c:v>1.4</c:v>
                </c:pt>
                <c:pt idx="9">
                  <c:v>1.4</c:v>
                </c:pt>
                <c:pt idx="10">
                  <c:v>1.4</c:v>
                </c:pt>
                <c:pt idx="11">
                  <c:v>1.4</c:v>
                </c:pt>
                <c:pt idx="12">
                  <c:v>1.4</c:v>
                </c:pt>
                <c:pt idx="13">
                  <c:v>1.4</c:v>
                </c:pt>
                <c:pt idx="14">
                  <c:v>1.4</c:v>
                </c:pt>
                <c:pt idx="15">
                  <c:v>1.4</c:v>
                </c:pt>
                <c:pt idx="16">
                  <c:v>1.4</c:v>
                </c:pt>
                <c:pt idx="17">
                  <c:v>1.4</c:v>
                </c:pt>
                <c:pt idx="18">
                  <c:v>1.4</c:v>
                </c:pt>
                <c:pt idx="19">
                  <c:v>1.4</c:v>
                </c:pt>
                <c:pt idx="20">
                  <c:v>1.4</c:v>
                </c:pt>
                <c:pt idx="21">
                  <c:v>1.4</c:v>
                </c:pt>
                <c:pt idx="22">
                  <c:v>1.4</c:v>
                </c:pt>
                <c:pt idx="23">
                  <c:v>1.4</c:v>
                </c:pt>
                <c:pt idx="24">
                  <c:v>1.4</c:v>
                </c:pt>
                <c:pt idx="25">
                  <c:v>1.4</c:v>
                </c:pt>
                <c:pt idx="26">
                  <c:v>1.4</c:v>
                </c:pt>
                <c:pt idx="27">
                  <c:v>1.4</c:v>
                </c:pt>
                <c:pt idx="28">
                  <c:v>1.4</c:v>
                </c:pt>
                <c:pt idx="29">
                  <c:v>1.4</c:v>
                </c:pt>
                <c:pt idx="30">
                  <c:v>1.4</c:v>
                </c:pt>
                <c:pt idx="31">
                  <c:v>1.4</c:v>
                </c:pt>
                <c:pt idx="32">
                  <c:v>1.4</c:v>
                </c:pt>
                <c:pt idx="33">
                  <c:v>1.4</c:v>
                </c:pt>
                <c:pt idx="34">
                  <c:v>1.4</c:v>
                </c:pt>
                <c:pt idx="35">
                  <c:v>1.4</c:v>
                </c:pt>
                <c:pt idx="36">
                  <c:v>1.4</c:v>
                </c:pt>
                <c:pt idx="37">
                  <c:v>1.4</c:v>
                </c:pt>
                <c:pt idx="38">
                  <c:v>1.4</c:v>
                </c:pt>
                <c:pt idx="39">
                  <c:v>1.4</c:v>
                </c:pt>
                <c:pt idx="40">
                  <c:v>1.4</c:v>
                </c:pt>
                <c:pt idx="41">
                  <c:v>1.4</c:v>
                </c:pt>
                <c:pt idx="42">
                  <c:v>1.4</c:v>
                </c:pt>
                <c:pt idx="43">
                  <c:v>1.4</c:v>
                </c:pt>
                <c:pt idx="44">
                  <c:v>1.4</c:v>
                </c:pt>
                <c:pt idx="45">
                  <c:v>1.4</c:v>
                </c:pt>
                <c:pt idx="46">
                  <c:v>1.4</c:v>
                </c:pt>
                <c:pt idx="47">
                  <c:v>1.4</c:v>
                </c:pt>
                <c:pt idx="48">
                  <c:v>1.4</c:v>
                </c:pt>
                <c:pt idx="49">
                  <c:v>1.4</c:v>
                </c:pt>
                <c:pt idx="50">
                  <c:v>1.4</c:v>
                </c:pt>
                <c:pt idx="51">
                  <c:v>1.4</c:v>
                </c:pt>
                <c:pt idx="52">
                  <c:v>1.4</c:v>
                </c:pt>
                <c:pt idx="53">
                  <c:v>1.4</c:v>
                </c:pt>
                <c:pt idx="54">
                  <c:v>1.4</c:v>
                </c:pt>
                <c:pt idx="55">
                  <c:v>1.4</c:v>
                </c:pt>
                <c:pt idx="56">
                  <c:v>1.4</c:v>
                </c:pt>
                <c:pt idx="57">
                  <c:v>1.4</c:v>
                </c:pt>
                <c:pt idx="58">
                  <c:v>1.4</c:v>
                </c:pt>
                <c:pt idx="59">
                  <c:v>1.4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{9,9,9,9,9,9,9,9,9,9,9,9}</c:f>
              <c:numCache>
                <c:formatCode>General</c:formatCode>
                <c:ptCount val="12"/>
                <c:pt idx="0">
                  <c:v>9</c:v>
                </c:pt>
                <c:pt idx="1">
                  <c:v>9</c:v>
                </c:pt>
                <c:pt idx="2">
                  <c:v>9</c:v>
                </c:pt>
                <c:pt idx="3">
                  <c:v>9</c:v>
                </c:pt>
                <c:pt idx="4">
                  <c:v>9</c:v>
                </c:pt>
                <c:pt idx="5">
                  <c:v>9</c:v>
                </c:pt>
                <c:pt idx="6">
                  <c:v>9</c:v>
                </c:pt>
                <c:pt idx="7">
                  <c:v>9</c:v>
                </c:pt>
                <c:pt idx="8">
                  <c:v>9</c:v>
                </c:pt>
                <c:pt idx="9">
                  <c:v>9</c:v>
                </c:pt>
                <c:pt idx="10">
                  <c:v>9</c:v>
                </c:pt>
                <c:pt idx="11">
                  <c:v>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{0,10,5,5,0,0,-15,0,40,55,0,45,2180,385,199,1257,-2669,-992,5,5,5,5,-255,-265,0,0,0,495,995,1525,2570,2485,1276,13,-300,-2470,-2488,-1776,-1013,920,2075,1528,1590,1885,1780,2065,2965,2613,595,-3415,750,2422,1225,2315,-190,-1550,-11625,-820,-1685,495}</c:f>
              <c:numCache>
                <c:formatCode>General</c:formatCode>
                <c:ptCount val="60"/>
                <c:pt idx="0">
                  <c:v>0</c:v>
                </c:pt>
                <c:pt idx="1">
                  <c:v>10</c:v>
                </c:pt>
                <c:pt idx="2">
                  <c:v>5</c:v>
                </c:pt>
                <c:pt idx="3">
                  <c:v>5</c:v>
                </c:pt>
                <c:pt idx="4">
                  <c:v>0</c:v>
                </c:pt>
                <c:pt idx="5">
                  <c:v>0</c:v>
                </c:pt>
                <c:pt idx="6">
                  <c:v>-15</c:v>
                </c:pt>
                <c:pt idx="7">
                  <c:v>0</c:v>
                </c:pt>
                <c:pt idx="8">
                  <c:v>40</c:v>
                </c:pt>
                <c:pt idx="9">
                  <c:v>55</c:v>
                </c:pt>
                <c:pt idx="10">
                  <c:v>0</c:v>
                </c:pt>
                <c:pt idx="11">
                  <c:v>45</c:v>
                </c:pt>
                <c:pt idx="12">
                  <c:v>2180</c:v>
                </c:pt>
                <c:pt idx="13">
                  <c:v>385</c:v>
                </c:pt>
                <c:pt idx="14">
                  <c:v>199</c:v>
                </c:pt>
                <c:pt idx="15">
                  <c:v>1257</c:v>
                </c:pt>
                <c:pt idx="16">
                  <c:v>-2669</c:v>
                </c:pt>
                <c:pt idx="17">
                  <c:v>-992</c:v>
                </c:pt>
                <c:pt idx="18">
                  <c:v>5</c:v>
                </c:pt>
                <c:pt idx="19">
                  <c:v>5</c:v>
                </c:pt>
                <c:pt idx="20">
                  <c:v>5</c:v>
                </c:pt>
                <c:pt idx="21">
                  <c:v>5</c:v>
                </c:pt>
                <c:pt idx="22">
                  <c:v>-255</c:v>
                </c:pt>
                <c:pt idx="23">
                  <c:v>-265</c:v>
                </c:pt>
                <c:pt idx="24">
                  <c:v>0</c:v>
                </c:pt>
                <c:pt idx="25">
                  <c:v>0</c:v>
                </c:pt>
                <c:pt idx="26">
                  <c:v>0</c:v>
                </c:pt>
                <c:pt idx="27">
                  <c:v>495</c:v>
                </c:pt>
                <c:pt idx="28">
                  <c:v>995</c:v>
                </c:pt>
                <c:pt idx="29">
                  <c:v>1525</c:v>
                </c:pt>
                <c:pt idx="30">
                  <c:v>2570</c:v>
                </c:pt>
                <c:pt idx="31">
                  <c:v>2485</c:v>
                </c:pt>
                <c:pt idx="32">
                  <c:v>1276</c:v>
                </c:pt>
                <c:pt idx="33">
                  <c:v>13</c:v>
                </c:pt>
                <c:pt idx="34">
                  <c:v>-300</c:v>
                </c:pt>
                <c:pt idx="35">
                  <c:v>-2470</c:v>
                </c:pt>
                <c:pt idx="36">
                  <c:v>-2488</c:v>
                </c:pt>
                <c:pt idx="37">
                  <c:v>-1776</c:v>
                </c:pt>
                <c:pt idx="38">
                  <c:v>-1013</c:v>
                </c:pt>
                <c:pt idx="39">
                  <c:v>920</c:v>
                </c:pt>
                <c:pt idx="40">
                  <c:v>2075</c:v>
                </c:pt>
                <c:pt idx="41">
                  <c:v>1528</c:v>
                </c:pt>
                <c:pt idx="42">
                  <c:v>1590</c:v>
                </c:pt>
                <c:pt idx="43">
                  <c:v>1885</c:v>
                </c:pt>
                <c:pt idx="44">
                  <c:v>1780</c:v>
                </c:pt>
                <c:pt idx="45">
                  <c:v>2065</c:v>
                </c:pt>
                <c:pt idx="46">
                  <c:v>2965</c:v>
                </c:pt>
                <c:pt idx="47">
                  <c:v>2613</c:v>
                </c:pt>
                <c:pt idx="48">
                  <c:v>595</c:v>
                </c:pt>
                <c:pt idx="49">
                  <c:v>-3415</c:v>
                </c:pt>
                <c:pt idx="50">
                  <c:v>750</c:v>
                </c:pt>
                <c:pt idx="51">
                  <c:v>2422</c:v>
                </c:pt>
                <c:pt idx="52">
                  <c:v>1225</c:v>
                </c:pt>
                <c:pt idx="53">
                  <c:v>2315</c:v>
                </c:pt>
                <c:pt idx="54">
                  <c:v>-190</c:v>
                </c:pt>
                <c:pt idx="55">
                  <c:v>-1550</c:v>
                </c:pt>
                <c:pt idx="56">
                  <c:v>-11625</c:v>
                </c:pt>
                <c:pt idx="57">
                  <c:v>-820</c:v>
                </c:pt>
                <c:pt idx="58">
                  <c:v>-1685</c:v>
                </c:pt>
                <c:pt idx="59">
                  <c:v>495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-3501,4600,6566,-6717,-727,1021,10672,-13753,-2265,13011,-705,69,-5365,-4149,13652,1961,-12047,1961,5623,6406,1959,-16423,-2319,781,12008,-15722,6262,5540,-1642,-8480,47,-110,-348,11710,-16550,8128,2295,5805,-7560,12089,380,-7274,-12474,-1011,658,2319,-1702,-3005,-5,140,4021,-3656,-505,3015,6044,-6827,8858,8238,3297,-15870}</c:f>
              <c:numCache>
                <c:formatCode>General</c:formatCode>
                <c:ptCount val="60"/>
                <c:pt idx="0">
                  <c:v>-3501</c:v>
                </c:pt>
                <c:pt idx="1">
                  <c:v>4600</c:v>
                </c:pt>
                <c:pt idx="2">
                  <c:v>6566</c:v>
                </c:pt>
                <c:pt idx="3">
                  <c:v>-6717</c:v>
                </c:pt>
                <c:pt idx="4">
                  <c:v>-727</c:v>
                </c:pt>
                <c:pt idx="5">
                  <c:v>1021</c:v>
                </c:pt>
                <c:pt idx="6">
                  <c:v>10672</c:v>
                </c:pt>
                <c:pt idx="7">
                  <c:v>-13753</c:v>
                </c:pt>
                <c:pt idx="8">
                  <c:v>-2265</c:v>
                </c:pt>
                <c:pt idx="9">
                  <c:v>13011</c:v>
                </c:pt>
                <c:pt idx="10">
                  <c:v>-705</c:v>
                </c:pt>
                <c:pt idx="11">
                  <c:v>69</c:v>
                </c:pt>
                <c:pt idx="12">
                  <c:v>-5365</c:v>
                </c:pt>
                <c:pt idx="13">
                  <c:v>-4149</c:v>
                </c:pt>
                <c:pt idx="14">
                  <c:v>13652</c:v>
                </c:pt>
                <c:pt idx="15">
                  <c:v>1961</c:v>
                </c:pt>
                <c:pt idx="16">
                  <c:v>-12047</c:v>
                </c:pt>
                <c:pt idx="17">
                  <c:v>1961</c:v>
                </c:pt>
                <c:pt idx="18">
                  <c:v>5623</c:v>
                </c:pt>
                <c:pt idx="19">
                  <c:v>6406</c:v>
                </c:pt>
                <c:pt idx="20">
                  <c:v>1959</c:v>
                </c:pt>
                <c:pt idx="21">
                  <c:v>-16423</c:v>
                </c:pt>
                <c:pt idx="22">
                  <c:v>-2319</c:v>
                </c:pt>
                <c:pt idx="23">
                  <c:v>781</c:v>
                </c:pt>
                <c:pt idx="24">
                  <c:v>12008</c:v>
                </c:pt>
                <c:pt idx="25">
                  <c:v>-15722</c:v>
                </c:pt>
                <c:pt idx="26">
                  <c:v>6262</c:v>
                </c:pt>
                <c:pt idx="27">
                  <c:v>5540</c:v>
                </c:pt>
                <c:pt idx="28">
                  <c:v>-1642</c:v>
                </c:pt>
                <c:pt idx="29">
                  <c:v>-8480</c:v>
                </c:pt>
                <c:pt idx="30">
                  <c:v>47</c:v>
                </c:pt>
                <c:pt idx="31">
                  <c:v>-110</c:v>
                </c:pt>
                <c:pt idx="32">
                  <c:v>-348</c:v>
                </c:pt>
                <c:pt idx="33">
                  <c:v>11710</c:v>
                </c:pt>
                <c:pt idx="34">
                  <c:v>-16550</c:v>
                </c:pt>
                <c:pt idx="35">
                  <c:v>8128</c:v>
                </c:pt>
                <c:pt idx="36">
                  <c:v>2295</c:v>
                </c:pt>
                <c:pt idx="37">
                  <c:v>5805</c:v>
                </c:pt>
                <c:pt idx="38">
                  <c:v>-7560</c:v>
                </c:pt>
                <c:pt idx="39">
                  <c:v>12089</c:v>
                </c:pt>
                <c:pt idx="40">
                  <c:v>380</c:v>
                </c:pt>
                <c:pt idx="41">
                  <c:v>-7274</c:v>
                </c:pt>
                <c:pt idx="42">
                  <c:v>-12474</c:v>
                </c:pt>
                <c:pt idx="43">
                  <c:v>-1011</c:v>
                </c:pt>
                <c:pt idx="44">
                  <c:v>658</c:v>
                </c:pt>
                <c:pt idx="45">
                  <c:v>2319</c:v>
                </c:pt>
                <c:pt idx="46">
                  <c:v>-1702</c:v>
                </c:pt>
                <c:pt idx="47">
                  <c:v>-3005</c:v>
                </c:pt>
                <c:pt idx="48">
                  <c:v>-5</c:v>
                </c:pt>
                <c:pt idx="49">
                  <c:v>140</c:v>
                </c:pt>
                <c:pt idx="50">
                  <c:v>4021</c:v>
                </c:pt>
                <c:pt idx="51">
                  <c:v>-3656</c:v>
                </c:pt>
                <c:pt idx="52">
                  <c:v>-505</c:v>
                </c:pt>
                <c:pt idx="53">
                  <c:v>3015</c:v>
                </c:pt>
                <c:pt idx="54">
                  <c:v>6044</c:v>
                </c:pt>
                <c:pt idx="55">
                  <c:v>-6827</c:v>
                </c:pt>
                <c:pt idx="56">
                  <c:v>8858</c:v>
                </c:pt>
                <c:pt idx="57">
                  <c:v>8238</c:v>
                </c:pt>
                <c:pt idx="58">
                  <c:v>3297</c:v>
                </c:pt>
                <c:pt idx="59">
                  <c:v>-15870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{10948}</c:f>
              <c:numCache>
                <c:formatCode>General</c:formatCode>
                <c:ptCount val="1"/>
                <c:pt idx="0">
                  <c:v>10948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{-3,2,19,-24,-3,71,-79,0,8,-7,9,0}</c:f>
              <c:numCache>
                <c:formatCode>General</c:formatCode>
                <c:ptCount val="12"/>
                <c:pt idx="0">
                  <c:v>-3</c:v>
                </c:pt>
                <c:pt idx="1">
                  <c:v>2</c:v>
                </c:pt>
                <c:pt idx="2">
                  <c:v>19</c:v>
                </c:pt>
                <c:pt idx="3">
                  <c:v>-24</c:v>
                </c:pt>
                <c:pt idx="4">
                  <c:v>-3</c:v>
                </c:pt>
                <c:pt idx="5">
                  <c:v>71</c:v>
                </c:pt>
                <c:pt idx="6">
                  <c:v>-79</c:v>
                </c:pt>
                <c:pt idx="7">
                  <c:v>0</c:v>
                </c:pt>
                <c:pt idx="8">
                  <c:v>8</c:v>
                </c:pt>
                <c:pt idx="9">
                  <c:v>-7</c:v>
                </c:pt>
                <c:pt idx="10">
                  <c:v>9</c:v>
                </c:pt>
                <c:pt idx="11">
                  <c:v>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{1000,3000,3000,2000,1000,1000,7000,3000,500,-2000,1000,2000}</c:f>
              <c:numCache>
                <c:formatCode>General</c:formatCode>
                <c:ptCount val="12"/>
                <c:pt idx="0">
                  <c:v>1000</c:v>
                </c:pt>
                <c:pt idx="1">
                  <c:v>3000</c:v>
                </c:pt>
                <c:pt idx="2">
                  <c:v>3000</c:v>
                </c:pt>
                <c:pt idx="3">
                  <c:v>2000</c:v>
                </c:pt>
                <c:pt idx="4">
                  <c:v>1000</c:v>
                </c:pt>
                <c:pt idx="5">
                  <c:v>1000</c:v>
                </c:pt>
                <c:pt idx="6">
                  <c:v>7000</c:v>
                </c:pt>
                <c:pt idx="7">
                  <c:v>3000</c:v>
                </c:pt>
                <c:pt idx="8">
                  <c:v>500</c:v>
                </c:pt>
                <c:pt idx="9">
                  <c:v>-2000</c:v>
                </c:pt>
                <c:pt idx="10">
                  <c:v>1000</c:v>
                </c:pt>
                <c:pt idx="11">
                  <c:v>2000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1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{-2300,-1608,-883,-55,254,-56,1744,0,0,-2000,-1545,-500}</c:f>
              <c:numCache>
                <c:formatCode>General</c:formatCode>
                <c:ptCount val="12"/>
                <c:pt idx="0">
                  <c:v>-2300</c:v>
                </c:pt>
                <c:pt idx="1">
                  <c:v>-1608</c:v>
                </c:pt>
                <c:pt idx="2">
                  <c:v>-883</c:v>
                </c:pt>
                <c:pt idx="3">
                  <c:v>-55</c:v>
                </c:pt>
                <c:pt idx="4">
                  <c:v>254</c:v>
                </c:pt>
                <c:pt idx="5">
                  <c:v>-56</c:v>
                </c:pt>
                <c:pt idx="6">
                  <c:v>1744</c:v>
                </c:pt>
                <c:pt idx="7">
                  <c:v>0</c:v>
                </c:pt>
                <c:pt idx="8">
                  <c:v>0</c:v>
                </c:pt>
                <c:pt idx="9">
                  <c:v>-2000</c:v>
                </c:pt>
                <c:pt idx="10">
                  <c:v>-1545</c:v>
                </c:pt>
                <c:pt idx="11">
                  <c:v>-500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{-12,1005,-70,-173,1150,1594,641,-76,1728,3667,1129,-1372}</c:f>
              <c:numCache>
                <c:formatCode>General</c:formatCode>
                <c:ptCount val="12"/>
                <c:pt idx="0">
                  <c:v>-12</c:v>
                </c:pt>
                <c:pt idx="1">
                  <c:v>1005</c:v>
                </c:pt>
                <c:pt idx="2">
                  <c:v>-70</c:v>
                </c:pt>
                <c:pt idx="3">
                  <c:v>-173</c:v>
                </c:pt>
                <c:pt idx="4">
                  <c:v>1150</c:v>
                </c:pt>
                <c:pt idx="5">
                  <c:v>1594</c:v>
                </c:pt>
                <c:pt idx="6">
                  <c:v>641</c:v>
                </c:pt>
                <c:pt idx="7">
                  <c:v>-76</c:v>
                </c:pt>
                <c:pt idx="8">
                  <c:v>1728</c:v>
                </c:pt>
                <c:pt idx="9">
                  <c:v>3667</c:v>
                </c:pt>
                <c:pt idx="10">
                  <c:v>1129</c:v>
                </c:pt>
                <c:pt idx="11">
                  <c:v>-1372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1.2178,1.2209,1.2257,1.2258,1.2258,1.2228,1.2205,1.2219,1.2167,1.217,1.2181,1.2171,1.2188,1.2386,1.2397,1.2385,1.3196,1.2691,1.272,1.243,1.2179,1.2188,1.2583,1.267,1.2651,1.2646,1.2659,1.2667,1.2871,1.2897,1.323,1.329,1.3189,1.3152,1.3149,1.3349,1.3242,1.315,1.3229,1.3226,1.3408,1.3675,1.3965,1.3939,1.4046,1.4162,1.4356,1.436,1.4246,1.4317,1.4334,1.455,1.4119,1.4003,1.3702,1.3535,1.3626,1.4153,1.4048,1.3608}</c:f>
              <c:numCache>
                <c:formatCode>General</c:formatCode>
                <c:ptCount val="60"/>
                <c:pt idx="0">
                  <c:v>1.2178</c:v>
                </c:pt>
                <c:pt idx="1">
                  <c:v>1.2209</c:v>
                </c:pt>
                <c:pt idx="2">
                  <c:v>1.2257</c:v>
                </c:pt>
                <c:pt idx="3">
                  <c:v>1.2258</c:v>
                </c:pt>
                <c:pt idx="4">
                  <c:v>1.2258</c:v>
                </c:pt>
                <c:pt idx="5">
                  <c:v>1.2228</c:v>
                </c:pt>
                <c:pt idx="6">
                  <c:v>1.2205</c:v>
                </c:pt>
                <c:pt idx="7">
                  <c:v>1.2219</c:v>
                </c:pt>
                <c:pt idx="8">
                  <c:v>1.2167</c:v>
                </c:pt>
                <c:pt idx="9">
                  <c:v>1.217</c:v>
                </c:pt>
                <c:pt idx="10">
                  <c:v>1.2181</c:v>
                </c:pt>
                <c:pt idx="11">
                  <c:v>1.2171</c:v>
                </c:pt>
                <c:pt idx="12">
                  <c:v>1.2188</c:v>
                </c:pt>
                <c:pt idx="13">
                  <c:v>1.2386</c:v>
                </c:pt>
                <c:pt idx="14">
                  <c:v>1.2397</c:v>
                </c:pt>
                <c:pt idx="15">
                  <c:v>1.2385</c:v>
                </c:pt>
                <c:pt idx="16">
                  <c:v>1.3196</c:v>
                </c:pt>
                <c:pt idx="17">
                  <c:v>1.2691</c:v>
                </c:pt>
                <c:pt idx="18">
                  <c:v>1.272</c:v>
                </c:pt>
                <c:pt idx="19">
                  <c:v>1.243</c:v>
                </c:pt>
                <c:pt idx="20">
                  <c:v>1.2179</c:v>
                </c:pt>
                <c:pt idx="21">
                  <c:v>1.2188</c:v>
                </c:pt>
                <c:pt idx="22">
                  <c:v>1.2583</c:v>
                </c:pt>
                <c:pt idx="23">
                  <c:v>1.267</c:v>
                </c:pt>
                <c:pt idx="24">
                  <c:v>1.2651</c:v>
                </c:pt>
                <c:pt idx="25">
                  <c:v>1.2646</c:v>
                </c:pt>
                <c:pt idx="26">
                  <c:v>1.2659</c:v>
                </c:pt>
                <c:pt idx="27">
                  <c:v>1.2667</c:v>
                </c:pt>
                <c:pt idx="28">
                  <c:v>1.2871</c:v>
                </c:pt>
                <c:pt idx="29">
                  <c:v>1.2897</c:v>
                </c:pt>
                <c:pt idx="30">
                  <c:v>1.323</c:v>
                </c:pt>
                <c:pt idx="31">
                  <c:v>1.329</c:v>
                </c:pt>
                <c:pt idx="32">
                  <c:v>1.3189</c:v>
                </c:pt>
                <c:pt idx="33">
                  <c:v>1.3152</c:v>
                </c:pt>
                <c:pt idx="34">
                  <c:v>1.3149</c:v>
                </c:pt>
                <c:pt idx="35">
                  <c:v>1.3349</c:v>
                </c:pt>
                <c:pt idx="36">
                  <c:v>1.3242</c:v>
                </c:pt>
                <c:pt idx="37">
                  <c:v>1.315</c:v>
                </c:pt>
                <c:pt idx="38">
                  <c:v>1.3229</c:v>
                </c:pt>
                <c:pt idx="39">
                  <c:v>1.3226</c:v>
                </c:pt>
                <c:pt idx="40">
                  <c:v>1.3408</c:v>
                </c:pt>
                <c:pt idx="41">
                  <c:v>1.3675</c:v>
                </c:pt>
                <c:pt idx="42">
                  <c:v>1.3965</c:v>
                </c:pt>
                <c:pt idx="43">
                  <c:v>1.3939</c:v>
                </c:pt>
                <c:pt idx="44">
                  <c:v>1.4046</c:v>
                </c:pt>
                <c:pt idx="45">
                  <c:v>1.4162</c:v>
                </c:pt>
                <c:pt idx="46">
                  <c:v>1.4356</c:v>
                </c:pt>
                <c:pt idx="47">
                  <c:v>1.436</c:v>
                </c:pt>
                <c:pt idx="48">
                  <c:v>1.4246</c:v>
                </c:pt>
                <c:pt idx="49">
                  <c:v>1.4317</c:v>
                </c:pt>
                <c:pt idx="50">
                  <c:v>1.4334</c:v>
                </c:pt>
                <c:pt idx="51">
                  <c:v>1.455</c:v>
                </c:pt>
                <c:pt idx="52">
                  <c:v>1.4119</c:v>
                </c:pt>
                <c:pt idx="53">
                  <c:v>1.4003</c:v>
                </c:pt>
                <c:pt idx="54">
                  <c:v>1.3702</c:v>
                </c:pt>
                <c:pt idx="55">
                  <c:v>1.3535</c:v>
                </c:pt>
                <c:pt idx="56">
                  <c:v>1.3626</c:v>
                </c:pt>
                <c:pt idx="57">
                  <c:v>1.4153</c:v>
                </c:pt>
                <c:pt idx="58">
                  <c:v>1.4048</c:v>
                </c:pt>
                <c:pt idx="59">
                  <c:v>1.3608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1.3235,1.331,1.3233,1.3679,1.3648,1.3664,1.328,1.3201,1.3358,1.3271,1.3202,1.3238,1.3257,1.3611,1.363,1.3729,1.3897,1.3699,1.3724,1.3365,1.2987,1.3401,1.3011,1.2942,1.3021,1.3186,1.3283,1.3214,1.3287,1.328,1.3634,1.3936,1.3752,1.365,1.3578,1.3809,1.3644,1.3442,1.3428,1.3479,1.3822,1.4031,1.4154,1.4152,1.4435,1.4551,1.4671,1.4856,1.4645,1.4606,1.4713,1.4944,1.5434,1.5098,1.4672,1.4531,1.4587,1.4537,1.4278,1.3924}</c:f>
              <c:numCache>
                <c:formatCode>General</c:formatCode>
                <c:ptCount val="60"/>
                <c:pt idx="0">
                  <c:v>1.3235</c:v>
                </c:pt>
                <c:pt idx="1">
                  <c:v>1.331</c:v>
                </c:pt>
                <c:pt idx="2">
                  <c:v>1.3233</c:v>
                </c:pt>
                <c:pt idx="3">
                  <c:v>1.3679</c:v>
                </c:pt>
                <c:pt idx="4">
                  <c:v>1.3648</c:v>
                </c:pt>
                <c:pt idx="5">
                  <c:v>1.3664</c:v>
                </c:pt>
                <c:pt idx="6">
                  <c:v>1.328</c:v>
                </c:pt>
                <c:pt idx="7">
                  <c:v>1.3201</c:v>
                </c:pt>
                <c:pt idx="8">
                  <c:v>1.3358</c:v>
                </c:pt>
                <c:pt idx="9">
                  <c:v>1.3271</c:v>
                </c:pt>
                <c:pt idx="10">
                  <c:v>1.3202</c:v>
                </c:pt>
                <c:pt idx="11">
                  <c:v>1.3238</c:v>
                </c:pt>
                <c:pt idx="12">
                  <c:v>1.3257</c:v>
                </c:pt>
                <c:pt idx="13">
                  <c:v>1.3611</c:v>
                </c:pt>
                <c:pt idx="14">
                  <c:v>1.363</c:v>
                </c:pt>
                <c:pt idx="15">
                  <c:v>1.3729</c:v>
                </c:pt>
                <c:pt idx="16">
                  <c:v>1.3897</c:v>
                </c:pt>
                <c:pt idx="17">
                  <c:v>1.3699</c:v>
                </c:pt>
                <c:pt idx="18">
                  <c:v>1.3724</c:v>
                </c:pt>
                <c:pt idx="19">
                  <c:v>1.3365</c:v>
                </c:pt>
                <c:pt idx="20">
                  <c:v>1.2987</c:v>
                </c:pt>
                <c:pt idx="21">
                  <c:v>1.3401</c:v>
                </c:pt>
                <c:pt idx="22">
                  <c:v>1.3011</c:v>
                </c:pt>
                <c:pt idx="23">
                  <c:v>1.2942</c:v>
                </c:pt>
                <c:pt idx="24">
                  <c:v>1.3021</c:v>
                </c:pt>
                <c:pt idx="25">
                  <c:v>1.3186</c:v>
                </c:pt>
                <c:pt idx="26">
                  <c:v>1.3283</c:v>
                </c:pt>
                <c:pt idx="27">
                  <c:v>1.3214</c:v>
                </c:pt>
                <c:pt idx="28">
                  <c:v>1.3287</c:v>
                </c:pt>
                <c:pt idx="29">
                  <c:v>1.328</c:v>
                </c:pt>
                <c:pt idx="30">
                  <c:v>1.3634</c:v>
                </c:pt>
                <c:pt idx="31">
                  <c:v>1.3936</c:v>
                </c:pt>
                <c:pt idx="32">
                  <c:v>1.3752</c:v>
                </c:pt>
                <c:pt idx="33">
                  <c:v>1.365</c:v>
                </c:pt>
                <c:pt idx="34">
                  <c:v>1.3578</c:v>
                </c:pt>
                <c:pt idx="35">
                  <c:v>1.3809</c:v>
                </c:pt>
                <c:pt idx="36">
                  <c:v>1.3644</c:v>
                </c:pt>
                <c:pt idx="37">
                  <c:v>1.3442</c:v>
                </c:pt>
                <c:pt idx="38">
                  <c:v>1.3428</c:v>
                </c:pt>
                <c:pt idx="39">
                  <c:v>1.3479</c:v>
                </c:pt>
                <c:pt idx="40">
                  <c:v>1.3822</c:v>
                </c:pt>
                <c:pt idx="41">
                  <c:v>1.4031</c:v>
                </c:pt>
                <c:pt idx="42">
                  <c:v>1.4154</c:v>
                </c:pt>
                <c:pt idx="43">
                  <c:v>1.4152</c:v>
                </c:pt>
                <c:pt idx="44">
                  <c:v>1.4435</c:v>
                </c:pt>
                <c:pt idx="45">
                  <c:v>1.4551</c:v>
                </c:pt>
                <c:pt idx="46">
                  <c:v>1.4671</c:v>
                </c:pt>
                <c:pt idx="47">
                  <c:v>1.4856</c:v>
                </c:pt>
                <c:pt idx="48">
                  <c:v>1.4645</c:v>
                </c:pt>
                <c:pt idx="49">
                  <c:v>1.4606</c:v>
                </c:pt>
                <c:pt idx="50">
                  <c:v>1.4713</c:v>
                </c:pt>
                <c:pt idx="51">
                  <c:v>1.4944</c:v>
                </c:pt>
                <c:pt idx="52">
                  <c:v>1.5434</c:v>
                </c:pt>
                <c:pt idx="53">
                  <c:v>1.5098</c:v>
                </c:pt>
                <c:pt idx="54">
                  <c:v>1.4672</c:v>
                </c:pt>
                <c:pt idx="55">
                  <c:v>1.4531</c:v>
                </c:pt>
                <c:pt idx="56">
                  <c:v>1.4587</c:v>
                </c:pt>
                <c:pt idx="57">
                  <c:v>1.4537</c:v>
                </c:pt>
                <c:pt idx="58">
                  <c:v>1.4278</c:v>
                </c:pt>
                <c:pt idx="59">
                  <c:v>1.3924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1.2718,1.2785,1.2869,1.2962,1.2985,1.2941,1.2879,1.2878,1.2858,1.2853,1.2891,1.2902,1.2911,1.3124,1.3129,1.3122,1.3749,1.3456,1.3385,1.2548,1.2257,1.2779,1.2852,1.2873,1.2897,1.2909,1.2978,1.3025,1.3186,1.3248,1.361,1.3735,1.3557,1.3488,1.3485,1.3889,1.3607,1.3508,1.3556,1.3562,1.3864,1.4174,1.4274,1.4212,1.4406,1.4472,1.4646,1.4685,1.4537,1.454,1.4702,1.5066,1.4547,1.4268,1.4015,1.3958,1.5029,1.4696,1.4364,1.3861}</c:f>
              <c:numCache>
                <c:formatCode>General</c:formatCode>
                <c:ptCount val="60"/>
                <c:pt idx="0">
                  <c:v>1.2718</c:v>
                </c:pt>
                <c:pt idx="1">
                  <c:v>1.2785</c:v>
                </c:pt>
                <c:pt idx="2">
                  <c:v>1.2869</c:v>
                </c:pt>
                <c:pt idx="3">
                  <c:v>1.2962</c:v>
                </c:pt>
                <c:pt idx="4">
                  <c:v>1.2985</c:v>
                </c:pt>
                <c:pt idx="5">
                  <c:v>1.2941</c:v>
                </c:pt>
                <c:pt idx="6">
                  <c:v>1.2879</c:v>
                </c:pt>
                <c:pt idx="7">
                  <c:v>1.2878</c:v>
                </c:pt>
                <c:pt idx="8">
                  <c:v>1.2858</c:v>
                </c:pt>
                <c:pt idx="9">
                  <c:v>1.2853</c:v>
                </c:pt>
                <c:pt idx="10">
                  <c:v>1.2891</c:v>
                </c:pt>
                <c:pt idx="11">
                  <c:v>1.2902</c:v>
                </c:pt>
                <c:pt idx="12">
                  <c:v>1.2911</c:v>
                </c:pt>
                <c:pt idx="13">
                  <c:v>1.3124</c:v>
                </c:pt>
                <c:pt idx="14">
                  <c:v>1.3129</c:v>
                </c:pt>
                <c:pt idx="15">
                  <c:v>1.3122</c:v>
                </c:pt>
                <c:pt idx="16">
                  <c:v>1.3749</c:v>
                </c:pt>
                <c:pt idx="17">
                  <c:v>1.3456</c:v>
                </c:pt>
                <c:pt idx="18">
                  <c:v>1.3385</c:v>
                </c:pt>
                <c:pt idx="19">
                  <c:v>1.2548</c:v>
                </c:pt>
                <c:pt idx="20">
                  <c:v>1.2257</c:v>
                </c:pt>
                <c:pt idx="21">
                  <c:v>1.2779</c:v>
                </c:pt>
                <c:pt idx="22">
                  <c:v>1.2852</c:v>
                </c:pt>
                <c:pt idx="23">
                  <c:v>1.2873</c:v>
                </c:pt>
                <c:pt idx="24">
                  <c:v>1.2897</c:v>
                </c:pt>
                <c:pt idx="25">
                  <c:v>1.2909</c:v>
                </c:pt>
                <c:pt idx="26">
                  <c:v>1.2978</c:v>
                </c:pt>
                <c:pt idx="27">
                  <c:v>1.3025</c:v>
                </c:pt>
                <c:pt idx="28">
                  <c:v>1.3186</c:v>
                </c:pt>
                <c:pt idx="29">
                  <c:v>1.3248</c:v>
                </c:pt>
                <c:pt idx="30">
                  <c:v>1.361</c:v>
                </c:pt>
                <c:pt idx="31">
                  <c:v>1.3735</c:v>
                </c:pt>
                <c:pt idx="32">
                  <c:v>1.3557</c:v>
                </c:pt>
                <c:pt idx="33">
                  <c:v>1.3488</c:v>
                </c:pt>
                <c:pt idx="34">
                  <c:v>1.3485</c:v>
                </c:pt>
                <c:pt idx="35">
                  <c:v>1.3889</c:v>
                </c:pt>
                <c:pt idx="36">
                  <c:v>1.3607</c:v>
                </c:pt>
                <c:pt idx="37">
                  <c:v>1.3508</c:v>
                </c:pt>
                <c:pt idx="38">
                  <c:v>1.3556</c:v>
                </c:pt>
                <c:pt idx="39">
                  <c:v>1.3562</c:v>
                </c:pt>
                <c:pt idx="40">
                  <c:v>1.3864</c:v>
                </c:pt>
                <c:pt idx="41">
                  <c:v>1.4174</c:v>
                </c:pt>
                <c:pt idx="42">
                  <c:v>1.4274</c:v>
                </c:pt>
                <c:pt idx="43">
                  <c:v>1.4212</c:v>
                </c:pt>
                <c:pt idx="44">
                  <c:v>1.4406</c:v>
                </c:pt>
                <c:pt idx="45">
                  <c:v>1.4472</c:v>
                </c:pt>
                <c:pt idx="46">
                  <c:v>1.4646</c:v>
                </c:pt>
                <c:pt idx="47">
                  <c:v>1.4685</c:v>
                </c:pt>
                <c:pt idx="48">
                  <c:v>1.4537</c:v>
                </c:pt>
                <c:pt idx="49">
                  <c:v>1.454</c:v>
                </c:pt>
                <c:pt idx="50">
                  <c:v>1.4702</c:v>
                </c:pt>
                <c:pt idx="51">
                  <c:v>1.5066</c:v>
                </c:pt>
                <c:pt idx="52">
                  <c:v>1.4547</c:v>
                </c:pt>
                <c:pt idx="53">
                  <c:v>1.4268</c:v>
                </c:pt>
                <c:pt idx="54">
                  <c:v>1.4015</c:v>
                </c:pt>
                <c:pt idx="55">
                  <c:v>1.3958</c:v>
                </c:pt>
                <c:pt idx="56">
                  <c:v>1.5029</c:v>
                </c:pt>
                <c:pt idx="57">
                  <c:v>1.4696</c:v>
                </c:pt>
                <c:pt idx="58">
                  <c:v>1.4364</c:v>
                </c:pt>
                <c:pt idx="59">
                  <c:v>1.3861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1.3972,1.4011,1.3991,1.4075,1.409,1.4082,1.3995,1.3914,1.391,1.3945,1.3921,1.3869,1.3702,1.3826,1.3885,1.399,1.3998,1.3961,1.3931,1.3678,1.3007,1.3693,1.3489,1.3445,1.3478,1.3565,1.3586,1.3566,1.3599,1.3659,1.3831,1.4034,1.3891,1.3764,1.3782,1.3997,1.376,1.3725,1.3726,1.3767,1.3907,1.4043,1.4132,1.4156,1.4398,1.4625,1.4678,1.484,1.4739,1.4729,1.4807,1.5229,1.5684,1.5429,1.5103,1.5023,1.5268,1.4964,1.4837,1.4225}</c:f>
              <c:numCache>
                <c:formatCode>General</c:formatCode>
                <c:ptCount val="60"/>
                <c:pt idx="0">
                  <c:v>1.3972</c:v>
                </c:pt>
                <c:pt idx="1">
                  <c:v>1.4011</c:v>
                </c:pt>
                <c:pt idx="2">
                  <c:v>1.3991</c:v>
                </c:pt>
                <c:pt idx="3">
                  <c:v>1.4075</c:v>
                </c:pt>
                <c:pt idx="4">
                  <c:v>1.409</c:v>
                </c:pt>
                <c:pt idx="5">
                  <c:v>1.4082</c:v>
                </c:pt>
                <c:pt idx="6">
                  <c:v>1.3995</c:v>
                </c:pt>
                <c:pt idx="7">
                  <c:v>1.3914</c:v>
                </c:pt>
                <c:pt idx="8">
                  <c:v>1.391</c:v>
                </c:pt>
                <c:pt idx="9">
                  <c:v>1.3945</c:v>
                </c:pt>
                <c:pt idx="10">
                  <c:v>1.3921</c:v>
                </c:pt>
                <c:pt idx="11">
                  <c:v>1.3869</c:v>
                </c:pt>
                <c:pt idx="12">
                  <c:v>1.3702</c:v>
                </c:pt>
                <c:pt idx="13">
                  <c:v>1.3826</c:v>
                </c:pt>
                <c:pt idx="14">
                  <c:v>1.3885</c:v>
                </c:pt>
                <c:pt idx="15">
                  <c:v>1.399</c:v>
                </c:pt>
                <c:pt idx="16">
                  <c:v>1.3998</c:v>
                </c:pt>
                <c:pt idx="17">
                  <c:v>1.3961</c:v>
                </c:pt>
                <c:pt idx="18">
                  <c:v>1.3931</c:v>
                </c:pt>
                <c:pt idx="19">
                  <c:v>1.3678</c:v>
                </c:pt>
                <c:pt idx="20">
                  <c:v>1.3007</c:v>
                </c:pt>
                <c:pt idx="21">
                  <c:v>1.3693</c:v>
                </c:pt>
                <c:pt idx="22">
                  <c:v>1.3489</c:v>
                </c:pt>
                <c:pt idx="23">
                  <c:v>1.3445</c:v>
                </c:pt>
                <c:pt idx="24">
                  <c:v>1.3478</c:v>
                </c:pt>
                <c:pt idx="25">
                  <c:v>1.3565</c:v>
                </c:pt>
                <c:pt idx="26">
                  <c:v>1.3586</c:v>
                </c:pt>
                <c:pt idx="27">
                  <c:v>1.3566</c:v>
                </c:pt>
                <c:pt idx="28">
                  <c:v>1.3599</c:v>
                </c:pt>
                <c:pt idx="29">
                  <c:v>1.3659</c:v>
                </c:pt>
                <c:pt idx="30">
                  <c:v>1.3831</c:v>
                </c:pt>
                <c:pt idx="31">
                  <c:v>1.4034</c:v>
                </c:pt>
                <c:pt idx="32">
                  <c:v>1.3891</c:v>
                </c:pt>
                <c:pt idx="33">
                  <c:v>1.3764</c:v>
                </c:pt>
                <c:pt idx="34">
                  <c:v>1.3782</c:v>
                </c:pt>
                <c:pt idx="35">
                  <c:v>1.3997</c:v>
                </c:pt>
                <c:pt idx="36">
                  <c:v>1.376</c:v>
                </c:pt>
                <c:pt idx="37">
                  <c:v>1.3725</c:v>
                </c:pt>
                <c:pt idx="38">
                  <c:v>1.3726</c:v>
                </c:pt>
                <c:pt idx="39">
                  <c:v>1.3767</c:v>
                </c:pt>
                <c:pt idx="40">
                  <c:v>1.3907</c:v>
                </c:pt>
                <c:pt idx="41">
                  <c:v>1.4043</c:v>
                </c:pt>
                <c:pt idx="42">
                  <c:v>1.4132</c:v>
                </c:pt>
                <c:pt idx="43">
                  <c:v>1.4156</c:v>
                </c:pt>
                <c:pt idx="44">
                  <c:v>1.4398</c:v>
                </c:pt>
                <c:pt idx="45">
                  <c:v>1.4625</c:v>
                </c:pt>
                <c:pt idx="46">
                  <c:v>1.4678</c:v>
                </c:pt>
                <c:pt idx="47">
                  <c:v>1.484</c:v>
                </c:pt>
                <c:pt idx="48">
                  <c:v>1.4739</c:v>
                </c:pt>
                <c:pt idx="49">
                  <c:v>1.4729</c:v>
                </c:pt>
                <c:pt idx="50">
                  <c:v>1.4807</c:v>
                </c:pt>
                <c:pt idx="51">
                  <c:v>1.5229</c:v>
                </c:pt>
                <c:pt idx="52">
                  <c:v>1.5684</c:v>
                </c:pt>
                <c:pt idx="53">
                  <c:v>1.5429</c:v>
                </c:pt>
                <c:pt idx="54">
                  <c:v>1.5103</c:v>
                </c:pt>
                <c:pt idx="55">
                  <c:v>1.5023</c:v>
                </c:pt>
                <c:pt idx="56">
                  <c:v>1.5268</c:v>
                </c:pt>
                <c:pt idx="57">
                  <c:v>1.4964</c:v>
                </c:pt>
                <c:pt idx="58">
                  <c:v>1.4837</c:v>
                </c:pt>
                <c:pt idx="59">
                  <c:v>1.4225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{42251,11307,25660,35299,8178,24926,22075,72185,23837,52240,6238,20264}</c:f>
              <c:numCache>
                <c:formatCode>General</c:formatCode>
                <c:ptCount val="12"/>
                <c:pt idx="0">
                  <c:v>42251</c:v>
                </c:pt>
                <c:pt idx="1">
                  <c:v>11307</c:v>
                </c:pt>
                <c:pt idx="2">
                  <c:v>25660</c:v>
                </c:pt>
                <c:pt idx="3">
                  <c:v>35299</c:v>
                </c:pt>
                <c:pt idx="4">
                  <c:v>8178</c:v>
                </c:pt>
                <c:pt idx="5">
                  <c:v>24926</c:v>
                </c:pt>
                <c:pt idx="6">
                  <c:v>22075</c:v>
                </c:pt>
                <c:pt idx="7">
                  <c:v>72185</c:v>
                </c:pt>
                <c:pt idx="8">
                  <c:v>23837</c:v>
                </c:pt>
                <c:pt idx="9">
                  <c:v>52240</c:v>
                </c:pt>
                <c:pt idx="10">
                  <c:v>6238</c:v>
                </c:pt>
                <c:pt idx="11">
                  <c:v>20264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{23600,-4296,6253,16081,-154,4096,9804,49016,8458,31522,-4006,4965}</c:f>
              <c:numCache>
                <c:formatCode>General</c:formatCode>
                <c:ptCount val="12"/>
                <c:pt idx="0">
                  <c:v>23600</c:v>
                </c:pt>
                <c:pt idx="1">
                  <c:v>-4296</c:v>
                </c:pt>
                <c:pt idx="2">
                  <c:v>6253</c:v>
                </c:pt>
                <c:pt idx="3">
                  <c:v>16081</c:v>
                </c:pt>
                <c:pt idx="4">
                  <c:v>-154</c:v>
                </c:pt>
                <c:pt idx="5">
                  <c:v>4096</c:v>
                </c:pt>
                <c:pt idx="6">
                  <c:v>9804</c:v>
                </c:pt>
                <c:pt idx="7">
                  <c:v>49016</c:v>
                </c:pt>
                <c:pt idx="8">
                  <c:v>8458</c:v>
                </c:pt>
                <c:pt idx="9">
                  <c:v>31522</c:v>
                </c:pt>
                <c:pt idx="10">
                  <c:v>-4006</c:v>
                </c:pt>
                <c:pt idx="11">
                  <c:v>4965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{13508,12482,13672,11893,4852,12077,6833,9764,14014,11658,9041,12236}</c:f>
              <c:numCache>
                <c:formatCode>General</c:formatCode>
                <c:ptCount val="12"/>
                <c:pt idx="0">
                  <c:v>13508</c:v>
                </c:pt>
                <c:pt idx="1">
                  <c:v>12482</c:v>
                </c:pt>
                <c:pt idx="2">
                  <c:v>13672</c:v>
                </c:pt>
                <c:pt idx="3">
                  <c:v>11893</c:v>
                </c:pt>
                <c:pt idx="4">
                  <c:v>4852</c:v>
                </c:pt>
                <c:pt idx="5">
                  <c:v>12077</c:v>
                </c:pt>
                <c:pt idx="6">
                  <c:v>6833</c:v>
                </c:pt>
                <c:pt idx="7">
                  <c:v>9764</c:v>
                </c:pt>
                <c:pt idx="8">
                  <c:v>14014</c:v>
                </c:pt>
                <c:pt idx="9">
                  <c:v>11658</c:v>
                </c:pt>
                <c:pt idx="10">
                  <c:v>9041</c:v>
                </c:pt>
                <c:pt idx="11">
                  <c:v>12236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{-1900,-1638,1973,3234,-2895,1488,-1492,6293,-1755,1258,-5284,-685}</c:f>
              <c:numCache>
                <c:formatCode>General</c:formatCode>
                <c:ptCount val="12"/>
                <c:pt idx="0">
                  <c:v>-1900</c:v>
                </c:pt>
                <c:pt idx="1">
                  <c:v>-1638</c:v>
                </c:pt>
                <c:pt idx="2">
                  <c:v>1973</c:v>
                </c:pt>
                <c:pt idx="3">
                  <c:v>3234</c:v>
                </c:pt>
                <c:pt idx="4">
                  <c:v>-2895</c:v>
                </c:pt>
                <c:pt idx="5">
                  <c:v>1488</c:v>
                </c:pt>
                <c:pt idx="6">
                  <c:v>-1492</c:v>
                </c:pt>
                <c:pt idx="7">
                  <c:v>6293</c:v>
                </c:pt>
                <c:pt idx="8">
                  <c:v>-1755</c:v>
                </c:pt>
                <c:pt idx="9">
                  <c:v>1258</c:v>
                </c:pt>
                <c:pt idx="10">
                  <c:v>-5284</c:v>
                </c:pt>
                <c:pt idx="11">
                  <c:v>-685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2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{2422,2748,1338,136,2500,4145,1541,5033,1522,3910,4520,1680}</c:f>
              <c:numCache>
                <c:formatCode>General</c:formatCode>
                <c:ptCount val="12"/>
                <c:pt idx="0">
                  <c:v>2422</c:v>
                </c:pt>
                <c:pt idx="1">
                  <c:v>2748</c:v>
                </c:pt>
                <c:pt idx="2">
                  <c:v>1338</c:v>
                </c:pt>
                <c:pt idx="3">
                  <c:v>136</c:v>
                </c:pt>
                <c:pt idx="4">
                  <c:v>2500</c:v>
                </c:pt>
                <c:pt idx="5">
                  <c:v>4145</c:v>
                </c:pt>
                <c:pt idx="6">
                  <c:v>1541</c:v>
                </c:pt>
                <c:pt idx="7">
                  <c:v>5033</c:v>
                </c:pt>
                <c:pt idx="8">
                  <c:v>1522</c:v>
                </c:pt>
                <c:pt idx="9">
                  <c:v>3910</c:v>
                </c:pt>
                <c:pt idx="10">
                  <c:v>4520</c:v>
                </c:pt>
                <c:pt idx="11">
                  <c:v>1680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{4.6,5.6,6,7.2,6.2,4.9,3.8,4.9,5.9,5.1,5,5.5}</c:f>
              <c:numCache>
                <c:formatCode>General</c:formatCode>
                <c:ptCount val="12"/>
                <c:pt idx="0">
                  <c:v>4.6</c:v>
                </c:pt>
                <c:pt idx="1">
                  <c:v>5.6</c:v>
                </c:pt>
                <c:pt idx="2">
                  <c:v>6</c:v>
                </c:pt>
                <c:pt idx="3">
                  <c:v>7.2</c:v>
                </c:pt>
                <c:pt idx="4">
                  <c:v>6.2</c:v>
                </c:pt>
                <c:pt idx="5">
                  <c:v>4.9</c:v>
                </c:pt>
                <c:pt idx="6">
                  <c:v>3.8</c:v>
                </c:pt>
                <c:pt idx="7">
                  <c:v>4.9</c:v>
                </c:pt>
                <c:pt idx="8">
                  <c:v>5.9</c:v>
                </c:pt>
                <c:pt idx="9">
                  <c:v>5.1</c:v>
                </c:pt>
                <c:pt idx="10">
                  <c:v>5</c:v>
                </c:pt>
                <c:pt idx="11">
                  <c:v>5.5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{8.3,8.8,8.8,8.4,8.2,8,8.5,9,9,8.5,8.6,8.6}</c:f>
              <c:numCache>
                <c:formatCode>General</c:formatCode>
                <c:ptCount val="12"/>
                <c:pt idx="0">
                  <c:v>8.3</c:v>
                </c:pt>
                <c:pt idx="1">
                  <c:v>8.8</c:v>
                </c:pt>
                <c:pt idx="2">
                  <c:v>8.8</c:v>
                </c:pt>
                <c:pt idx="3">
                  <c:v>8.4</c:v>
                </c:pt>
                <c:pt idx="4">
                  <c:v>8.2</c:v>
                </c:pt>
                <c:pt idx="5">
                  <c:v>8</c:v>
                </c:pt>
                <c:pt idx="6">
                  <c:v>8.5</c:v>
                </c:pt>
                <c:pt idx="7">
                  <c:v>9</c:v>
                </c:pt>
                <c:pt idx="8">
                  <c:v>9</c:v>
                </c:pt>
                <c:pt idx="9">
                  <c:v>8.5</c:v>
                </c:pt>
                <c:pt idx="10">
                  <c:v>8.6</c:v>
                </c:pt>
                <c:pt idx="11">
                  <c:v>8.6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{6.4,4.8,3.7,3.4,3,2.9,1.3,0.9,2.8,1.7,0.2,-0.6}</c:f>
              <c:numCache>
                <c:formatCode>General</c:formatCode>
                <c:ptCount val="12"/>
                <c:pt idx="0">
                  <c:v>6.4</c:v>
                </c:pt>
                <c:pt idx="1">
                  <c:v>4.8</c:v>
                </c:pt>
                <c:pt idx="2">
                  <c:v>3.7</c:v>
                </c:pt>
                <c:pt idx="3">
                  <c:v>3.4</c:v>
                </c:pt>
                <c:pt idx="4">
                  <c:v>3</c:v>
                </c:pt>
                <c:pt idx="5">
                  <c:v>2.9</c:v>
                </c:pt>
                <c:pt idx="6">
                  <c:v>1.3</c:v>
                </c:pt>
                <c:pt idx="7">
                  <c:v>0.9</c:v>
                </c:pt>
                <c:pt idx="8">
                  <c:v>2.8</c:v>
                </c:pt>
                <c:pt idx="9">
                  <c:v>1.7</c:v>
                </c:pt>
                <c:pt idx="10">
                  <c:v>0.2</c:v>
                </c:pt>
                <c:pt idx="11">
                  <c:v>-0.6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{3.7,2.8,1.6,0.5,-0.5,-1.7,-2.6,-3.8,1.8,1.7,-1.6,-4.1}</c:f>
              <c:numCache>
                <c:formatCode>General</c:formatCode>
                <c:ptCount val="12"/>
                <c:pt idx="0">
                  <c:v>3.7</c:v>
                </c:pt>
                <c:pt idx="1">
                  <c:v>2.8</c:v>
                </c:pt>
                <c:pt idx="2">
                  <c:v>1.6</c:v>
                </c:pt>
                <c:pt idx="3">
                  <c:v>0.5</c:v>
                </c:pt>
                <c:pt idx="4">
                  <c:v>-0.5</c:v>
                </c:pt>
                <c:pt idx="5">
                  <c:v>-1.7</c:v>
                </c:pt>
                <c:pt idx="6">
                  <c:v>-2.6</c:v>
                </c:pt>
                <c:pt idx="7">
                  <c:v>-3.8</c:v>
                </c:pt>
                <c:pt idx="8">
                  <c:v>1.8</c:v>
                </c:pt>
                <c:pt idx="9">
                  <c:v>1.7</c:v>
                </c:pt>
                <c:pt idx="10">
                  <c:v>-1.6</c:v>
                </c:pt>
                <c:pt idx="11">
                  <c:v>-4.1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{-2.9,-3.5,-4,-4.7,-5.5,-6.8,-7.8,-8.7,-13.5,-10.4,-10.2,-10.8}</c:f>
              <c:numCache>
                <c:formatCode>General</c:formatCode>
                <c:ptCount val="12"/>
                <c:pt idx="0">
                  <c:v>-2.9</c:v>
                </c:pt>
                <c:pt idx="1">
                  <c:v>-3.5</c:v>
                </c:pt>
                <c:pt idx="2">
                  <c:v>-4</c:v>
                </c:pt>
                <c:pt idx="3">
                  <c:v>-4.7</c:v>
                </c:pt>
                <c:pt idx="4">
                  <c:v>-5.5</c:v>
                </c:pt>
                <c:pt idx="5">
                  <c:v>-6.8</c:v>
                </c:pt>
                <c:pt idx="6">
                  <c:v>-7.8</c:v>
                </c:pt>
                <c:pt idx="7">
                  <c:v>-8.7</c:v>
                </c:pt>
                <c:pt idx="8">
                  <c:v>-13.5</c:v>
                </c:pt>
                <c:pt idx="9">
                  <c:v>-10.4</c:v>
                </c:pt>
                <c:pt idx="10">
                  <c:v>-10.2</c:v>
                </c:pt>
                <c:pt idx="11">
                  <c:v>-10.8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{-6.1,-5.9,-5.5,-5.2,-5.4,-5.7,-6.1,-6.2,-6.3,-6.3,-6.2,-5.9}</c:f>
              <c:numCache>
                <c:formatCode>General</c:formatCode>
                <c:ptCount val="12"/>
                <c:pt idx="0">
                  <c:v>-6.1</c:v>
                </c:pt>
                <c:pt idx="1">
                  <c:v>-5.9</c:v>
                </c:pt>
                <c:pt idx="2">
                  <c:v>-5.5</c:v>
                </c:pt>
                <c:pt idx="3">
                  <c:v>-5.2</c:v>
                </c:pt>
                <c:pt idx="4">
                  <c:v>-5.4</c:v>
                </c:pt>
                <c:pt idx="5">
                  <c:v>-5.7</c:v>
                </c:pt>
                <c:pt idx="6">
                  <c:v>-6.1</c:v>
                </c:pt>
                <c:pt idx="7">
                  <c:v>-6.2</c:v>
                </c:pt>
                <c:pt idx="8">
                  <c:v>-6.3</c:v>
                </c:pt>
                <c:pt idx="9">
                  <c:v>-6.3</c:v>
                </c:pt>
                <c:pt idx="10">
                  <c:v>-6.2</c:v>
                </c:pt>
                <c:pt idx="11">
                  <c:v>-5.9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{5.679733,6.996015,4.235673,8.175012,-1.272919,5.811098,6.457242,10,39.6,2.5,14,19.4}</c:f>
              <c:numCache>
                <c:formatCode>General</c:formatCode>
                <c:ptCount val="12"/>
                <c:pt idx="0">
                  <c:v>5.679733</c:v>
                </c:pt>
                <c:pt idx="1">
                  <c:v>6.996015</c:v>
                </c:pt>
                <c:pt idx="2">
                  <c:v>4.235673</c:v>
                </c:pt>
                <c:pt idx="3">
                  <c:v>8.175012</c:v>
                </c:pt>
                <c:pt idx="4">
                  <c:v>-1.272919</c:v>
                </c:pt>
                <c:pt idx="5">
                  <c:v>5.811098</c:v>
                </c:pt>
                <c:pt idx="6">
                  <c:v>6.457242</c:v>
                </c:pt>
                <c:pt idx="7">
                  <c:v>10</c:v>
                </c:pt>
                <c:pt idx="8">
                  <c:v>39.6</c:v>
                </c:pt>
                <c:pt idx="9">
                  <c:v>2.5</c:v>
                </c:pt>
                <c:pt idx="10">
                  <c:v>14</c:v>
                </c:pt>
                <c:pt idx="11">
                  <c:v>19.4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{49.3,49.4,49.8,49,49.2,50.1,49.3,49,50.4,50.3,50,50.3}</c:f>
              <c:numCache>
                <c:formatCode>General</c:formatCode>
                <c:ptCount val="12"/>
                <c:pt idx="0">
                  <c:v>49.3</c:v>
                </c:pt>
                <c:pt idx="1">
                  <c:v>49.4</c:v>
                </c:pt>
                <c:pt idx="2">
                  <c:v>49.8</c:v>
                </c:pt>
                <c:pt idx="3">
                  <c:v>49</c:v>
                </c:pt>
                <c:pt idx="4">
                  <c:v>49.2</c:v>
                </c:pt>
                <c:pt idx="5">
                  <c:v>50.1</c:v>
                </c:pt>
                <c:pt idx="6">
                  <c:v>49.3</c:v>
                </c:pt>
                <c:pt idx="7">
                  <c:v>49</c:v>
                </c:pt>
                <c:pt idx="8">
                  <c:v>50.4</c:v>
                </c:pt>
                <c:pt idx="9">
                  <c:v>50.3</c:v>
                </c:pt>
                <c:pt idx="10">
                  <c:v>50</c:v>
                </c:pt>
                <c:pt idx="11">
                  <c:v>50.3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{49.4,49.5,49.7,48.8,49.2,50.8,49.2,48.6,51.6,50.6,49.9,51.2}</c:f>
              <c:numCache>
                <c:formatCode>General</c:formatCode>
                <c:ptCount val="12"/>
                <c:pt idx="0">
                  <c:v>49.4</c:v>
                </c:pt>
                <c:pt idx="1">
                  <c:v>49.5</c:v>
                </c:pt>
                <c:pt idx="2">
                  <c:v>49.7</c:v>
                </c:pt>
                <c:pt idx="3">
                  <c:v>48.8</c:v>
                </c:pt>
                <c:pt idx="4">
                  <c:v>49.2</c:v>
                </c:pt>
                <c:pt idx="5">
                  <c:v>50.8</c:v>
                </c:pt>
                <c:pt idx="6">
                  <c:v>49.2</c:v>
                </c:pt>
                <c:pt idx="7">
                  <c:v>48.6</c:v>
                </c:pt>
                <c:pt idx="8">
                  <c:v>51.6</c:v>
                </c:pt>
                <c:pt idx="9">
                  <c:v>50.6</c:v>
                </c:pt>
                <c:pt idx="10">
                  <c:v>49.9</c:v>
                </c:pt>
                <c:pt idx="11">
                  <c:v>51.2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3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{50.5,50.8,51.9,49.7,50,51.7,50.6,49.6,51.4,51.5,51.2,51.4}</c:f>
              <c:numCache>
                <c:formatCode>General</c:formatCode>
                <c:ptCount val="12"/>
                <c:pt idx="0">
                  <c:v>50.5</c:v>
                </c:pt>
                <c:pt idx="1">
                  <c:v>50.8</c:v>
                </c:pt>
                <c:pt idx="2">
                  <c:v>51.9</c:v>
                </c:pt>
                <c:pt idx="3">
                  <c:v>49.7</c:v>
                </c:pt>
                <c:pt idx="4">
                  <c:v>50</c:v>
                </c:pt>
                <c:pt idx="5">
                  <c:v>51.7</c:v>
                </c:pt>
                <c:pt idx="6">
                  <c:v>50.6</c:v>
                </c:pt>
                <c:pt idx="7">
                  <c:v>49.6</c:v>
                </c:pt>
                <c:pt idx="8">
                  <c:v>51.4</c:v>
                </c:pt>
                <c:pt idx="9">
                  <c:v>51.5</c:v>
                </c:pt>
                <c:pt idx="10">
                  <c:v>51.2</c:v>
                </c:pt>
                <c:pt idx="11">
                  <c:v>51.4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{50.1,50.3,50,50.1,49.5,50.2,49.4,49.5,50.1,49.4,50.1,50.2}</c:f>
              <c:numCache>
                <c:formatCode>General</c:formatCode>
                <c:ptCount val="12"/>
                <c:pt idx="0">
                  <c:v>50.1</c:v>
                </c:pt>
                <c:pt idx="1">
                  <c:v>50.3</c:v>
                </c:pt>
                <c:pt idx="2">
                  <c:v>50</c:v>
                </c:pt>
                <c:pt idx="3">
                  <c:v>50.1</c:v>
                </c:pt>
                <c:pt idx="4">
                  <c:v>49.5</c:v>
                </c:pt>
                <c:pt idx="5">
                  <c:v>50.2</c:v>
                </c:pt>
                <c:pt idx="6">
                  <c:v>49.4</c:v>
                </c:pt>
                <c:pt idx="7">
                  <c:v>49.5</c:v>
                </c:pt>
                <c:pt idx="8">
                  <c:v>50.1</c:v>
                </c:pt>
                <c:pt idx="9">
                  <c:v>49.4</c:v>
                </c:pt>
                <c:pt idx="10">
                  <c:v>50.1</c:v>
                </c:pt>
                <c:pt idx="11">
                  <c:v>50.2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{6.8,5.7,5.2,6.5,4.9,4.8,5.2,6.3,6.3,5.7,4.1,4.5}</c:f>
              <c:numCache>
                <c:formatCode>General</c:formatCode>
                <c:ptCount val="12"/>
                <c:pt idx="0">
                  <c:v>6.8</c:v>
                </c:pt>
                <c:pt idx="1">
                  <c:v>5.7</c:v>
                </c:pt>
                <c:pt idx="2">
                  <c:v>5.2</c:v>
                </c:pt>
                <c:pt idx="3">
                  <c:v>6.5</c:v>
                </c:pt>
                <c:pt idx="4">
                  <c:v>4.9</c:v>
                </c:pt>
                <c:pt idx="5">
                  <c:v>4.8</c:v>
                </c:pt>
                <c:pt idx="6">
                  <c:v>5.2</c:v>
                </c:pt>
                <c:pt idx="7">
                  <c:v>6.3</c:v>
                </c:pt>
                <c:pt idx="8">
                  <c:v>6.3</c:v>
                </c:pt>
                <c:pt idx="9">
                  <c:v>5.7</c:v>
                </c:pt>
                <c:pt idx="10">
                  <c:v>4.1</c:v>
                </c:pt>
                <c:pt idx="11">
                  <c:v>4.5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{-3.6,-3.6,-2.9,-2.3,-2.1,-2.2,-1.9,-1.4,-0.9,0.5,2.8,3.9}</c:f>
              <c:numCache>
                <c:formatCode>General</c:formatCode>
                <c:ptCount val="12"/>
                <c:pt idx="0">
                  <c:v>-3.6</c:v>
                </c:pt>
                <c:pt idx="1">
                  <c:v>-3.6</c:v>
                </c:pt>
                <c:pt idx="2">
                  <c:v>-2.9</c:v>
                </c:pt>
                <c:pt idx="3">
                  <c:v>-2.3</c:v>
                </c:pt>
                <c:pt idx="4">
                  <c:v>-2.1</c:v>
                </c:pt>
                <c:pt idx="5">
                  <c:v>-2.2</c:v>
                </c:pt>
                <c:pt idx="6">
                  <c:v>-1.9</c:v>
                </c:pt>
                <c:pt idx="7">
                  <c:v>-1.4</c:v>
                </c:pt>
                <c:pt idx="8">
                  <c:v>-0.9</c:v>
                </c:pt>
                <c:pt idx="9">
                  <c:v>0.5</c:v>
                </c:pt>
                <c:pt idx="10">
                  <c:v>2.8</c:v>
                </c:pt>
                <c:pt idx="11">
                  <c:v>3.9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{0.1,0,-0.4,-0.3,0.2,0.7,0.8,0.2,1.3,1,1.2,1.2}</c:f>
              <c:numCache>
                <c:formatCode>General</c:formatCode>
                <c:ptCount val="12"/>
                <c:pt idx="0">
                  <c:v>0.1</c:v>
                </c:pt>
                <c:pt idx="1">
                  <c:v>0</c:v>
                </c:pt>
                <c:pt idx="2">
                  <c:v>-0.4</c:v>
                </c:pt>
                <c:pt idx="3">
                  <c:v>-0.3</c:v>
                </c:pt>
                <c:pt idx="4">
                  <c:v>0.2</c:v>
                </c:pt>
                <c:pt idx="5">
                  <c:v>0.7</c:v>
                </c:pt>
                <c:pt idx="6">
                  <c:v>0.8</c:v>
                </c:pt>
                <c:pt idx="7">
                  <c:v>0.2</c:v>
                </c:pt>
                <c:pt idx="8">
                  <c:v>1.3</c:v>
                </c:pt>
                <c:pt idx="9">
                  <c:v>1</c:v>
                </c:pt>
                <c:pt idx="10">
                  <c:v>1.2</c:v>
                </c:pt>
                <c:pt idx="11">
                  <c:v>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{51.5,53.3,53.2,52.5,53.6,53.1,56.1,54.8,63.9,63.7,60.5,54.2}</c:f>
              <c:numCache>
                <c:formatCode>General</c:formatCode>
                <c:ptCount val="12"/>
                <c:pt idx="0">
                  <c:v>51.5</c:v>
                </c:pt>
                <c:pt idx="1">
                  <c:v>53.3</c:v>
                </c:pt>
                <c:pt idx="2">
                  <c:v>53.2</c:v>
                </c:pt>
                <c:pt idx="3">
                  <c:v>52.5</c:v>
                </c:pt>
                <c:pt idx="4">
                  <c:v>53.6</c:v>
                </c:pt>
                <c:pt idx="5">
                  <c:v>53.1</c:v>
                </c:pt>
                <c:pt idx="6">
                  <c:v>56.1</c:v>
                </c:pt>
                <c:pt idx="7">
                  <c:v>54.8</c:v>
                </c:pt>
                <c:pt idx="8">
                  <c:v>63.9</c:v>
                </c:pt>
                <c:pt idx="9">
                  <c:v>63.7</c:v>
                </c:pt>
                <c:pt idx="10">
                  <c:v>60.5</c:v>
                </c:pt>
                <c:pt idx="11">
                  <c:v>54.2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{-1.1,-1.8,-1.7,0.9,3.2,1.9,0.1,0.6,15.2,15.5,18.2,18.8}</c:f>
              <c:numCache>
                <c:formatCode>General</c:formatCode>
                <c:ptCount val="12"/>
                <c:pt idx="0">
                  <c:v>-1.1</c:v>
                </c:pt>
                <c:pt idx="1">
                  <c:v>-1.8</c:v>
                </c:pt>
                <c:pt idx="2">
                  <c:v>-1.7</c:v>
                </c:pt>
                <c:pt idx="3">
                  <c:v>0.9</c:v>
                </c:pt>
                <c:pt idx="4">
                  <c:v>3.2</c:v>
                </c:pt>
                <c:pt idx="5">
                  <c:v>1.9</c:v>
                </c:pt>
                <c:pt idx="6">
                  <c:v>0.1</c:v>
                </c:pt>
                <c:pt idx="7">
                  <c:v>0.6</c:v>
                </c:pt>
                <c:pt idx="8">
                  <c:v>15.2</c:v>
                </c:pt>
                <c:pt idx="9">
                  <c:v>15.5</c:v>
                </c:pt>
                <c:pt idx="10">
                  <c:v>18.2</c:v>
                </c:pt>
                <c:pt idx="11">
                  <c:v>18.8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{4.97,5.15,5.15,5.24,5.26,5.25,5.29,5.31,4.92,5.11,5.43,5.56}</c:f>
              <c:numCache>
                <c:formatCode>General</c:formatCode>
                <c:ptCount val="12"/>
                <c:pt idx="0">
                  <c:v>4.97</c:v>
                </c:pt>
                <c:pt idx="1">
                  <c:v>5.15</c:v>
                </c:pt>
                <c:pt idx="2">
                  <c:v>5.15</c:v>
                </c:pt>
                <c:pt idx="3">
                  <c:v>5.24</c:v>
                </c:pt>
                <c:pt idx="4">
                  <c:v>5.26</c:v>
                </c:pt>
                <c:pt idx="5">
                  <c:v>5.25</c:v>
                </c:pt>
                <c:pt idx="6">
                  <c:v>5.29</c:v>
                </c:pt>
                <c:pt idx="7">
                  <c:v>5.31</c:v>
                </c:pt>
                <c:pt idx="8">
                  <c:v>4.92</c:v>
                </c:pt>
                <c:pt idx="9">
                  <c:v>5.11</c:v>
                </c:pt>
                <c:pt idx="10">
                  <c:v>5.43</c:v>
                </c:pt>
                <c:pt idx="11">
                  <c:v>5.56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1.4795,1.476,1.4715,1.466,1.4635,1.4615,1.455,1.4525,1.449,1.442,1.4375,1.4345,1.4275,1.429,1.424,1.4195,1.416,1.42,1.417,1.417,1.414,1.414,1.412,1.409,1.406,1.408,1.405,1.404,1.4045,1.4065,1.405,1.4065,1.4065,1.4045,1.4055,1.4075,1.4065,1.4035,1.4035,1.4015,1.402,1.402,1.402,1.402,1.408,1.414,1.4225,1.428,1.429,1.43,1.43,1.431,1.436,1.4395,1.44,1.437,1.438,1.438,1.437,1.435}</c:f>
              <c:numCache>
                <c:formatCode>General</c:formatCode>
                <c:ptCount val="60"/>
                <c:pt idx="0">
                  <c:v>1.4795</c:v>
                </c:pt>
                <c:pt idx="1">
                  <c:v>1.476</c:v>
                </c:pt>
                <c:pt idx="2">
                  <c:v>1.4715</c:v>
                </c:pt>
                <c:pt idx="3">
                  <c:v>1.466</c:v>
                </c:pt>
                <c:pt idx="4">
                  <c:v>1.4635</c:v>
                </c:pt>
                <c:pt idx="5">
                  <c:v>1.4615</c:v>
                </c:pt>
                <c:pt idx="6">
                  <c:v>1.455</c:v>
                </c:pt>
                <c:pt idx="7">
                  <c:v>1.4525</c:v>
                </c:pt>
                <c:pt idx="8">
                  <c:v>1.449</c:v>
                </c:pt>
                <c:pt idx="9">
                  <c:v>1.442</c:v>
                </c:pt>
                <c:pt idx="10">
                  <c:v>1.4375</c:v>
                </c:pt>
                <c:pt idx="11">
                  <c:v>1.4345</c:v>
                </c:pt>
                <c:pt idx="12">
                  <c:v>1.4275</c:v>
                </c:pt>
                <c:pt idx="13">
                  <c:v>1.429</c:v>
                </c:pt>
                <c:pt idx="14">
                  <c:v>1.424</c:v>
                </c:pt>
                <c:pt idx="15">
                  <c:v>1.4195</c:v>
                </c:pt>
                <c:pt idx="16">
                  <c:v>1.416</c:v>
                </c:pt>
                <c:pt idx="17">
                  <c:v>1.42</c:v>
                </c:pt>
                <c:pt idx="18">
                  <c:v>1.417</c:v>
                </c:pt>
                <c:pt idx="19">
                  <c:v>1.417</c:v>
                </c:pt>
                <c:pt idx="20">
                  <c:v>1.414</c:v>
                </c:pt>
                <c:pt idx="21">
                  <c:v>1.414</c:v>
                </c:pt>
                <c:pt idx="22">
                  <c:v>1.412</c:v>
                </c:pt>
                <c:pt idx="23">
                  <c:v>1.409</c:v>
                </c:pt>
                <c:pt idx="24">
                  <c:v>1.406</c:v>
                </c:pt>
                <c:pt idx="25">
                  <c:v>1.408</c:v>
                </c:pt>
                <c:pt idx="26">
                  <c:v>1.405</c:v>
                </c:pt>
                <c:pt idx="27">
                  <c:v>1.404</c:v>
                </c:pt>
                <c:pt idx="28">
                  <c:v>1.4045</c:v>
                </c:pt>
                <c:pt idx="29">
                  <c:v>1.4065</c:v>
                </c:pt>
                <c:pt idx="30">
                  <c:v>1.405</c:v>
                </c:pt>
                <c:pt idx="31">
                  <c:v>1.4065</c:v>
                </c:pt>
                <c:pt idx="32">
                  <c:v>1.4065</c:v>
                </c:pt>
                <c:pt idx="33">
                  <c:v>1.4045</c:v>
                </c:pt>
                <c:pt idx="34">
                  <c:v>1.4055</c:v>
                </c:pt>
                <c:pt idx="35">
                  <c:v>1.4075</c:v>
                </c:pt>
                <c:pt idx="36">
                  <c:v>1.4065</c:v>
                </c:pt>
                <c:pt idx="37">
                  <c:v>1.4035</c:v>
                </c:pt>
                <c:pt idx="38">
                  <c:v>1.4035</c:v>
                </c:pt>
                <c:pt idx="39">
                  <c:v>1.4015</c:v>
                </c:pt>
                <c:pt idx="40">
                  <c:v>1.402</c:v>
                </c:pt>
                <c:pt idx="41">
                  <c:v>1.402</c:v>
                </c:pt>
                <c:pt idx="42">
                  <c:v>1.402</c:v>
                </c:pt>
                <c:pt idx="43">
                  <c:v>1.402</c:v>
                </c:pt>
                <c:pt idx="44">
                  <c:v>1.408</c:v>
                </c:pt>
                <c:pt idx="45">
                  <c:v>1.414</c:v>
                </c:pt>
                <c:pt idx="46">
                  <c:v>1.4225</c:v>
                </c:pt>
                <c:pt idx="47">
                  <c:v>1.428</c:v>
                </c:pt>
                <c:pt idx="48">
                  <c:v>1.429</c:v>
                </c:pt>
                <c:pt idx="49">
                  <c:v>1.43</c:v>
                </c:pt>
                <c:pt idx="50">
                  <c:v>1.43</c:v>
                </c:pt>
                <c:pt idx="51">
                  <c:v>1.431</c:v>
                </c:pt>
                <c:pt idx="52">
                  <c:v>1.436</c:v>
                </c:pt>
                <c:pt idx="53">
                  <c:v>1.4395</c:v>
                </c:pt>
                <c:pt idx="54">
                  <c:v>1.44</c:v>
                </c:pt>
                <c:pt idx="55">
                  <c:v>1.437</c:v>
                </c:pt>
                <c:pt idx="56">
                  <c:v>1.438</c:v>
                </c:pt>
                <c:pt idx="57">
                  <c:v>1.438</c:v>
                </c:pt>
                <c:pt idx="58">
                  <c:v>1.437</c:v>
                </c:pt>
                <c:pt idx="59">
                  <c:v>1.435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{61.5,61.1,60.4,59.4,59}</c:f>
              <c:numCache>
                <c:formatCode>General</c:formatCode>
                <c:ptCount val="5"/>
                <c:pt idx="0">
                  <c:v>61.5</c:v>
                </c:pt>
                <c:pt idx="1">
                  <c:v>61.1</c:v>
                </c:pt>
                <c:pt idx="2">
                  <c:v>60.4</c:v>
                </c:pt>
                <c:pt idx="3">
                  <c:v>59.4</c:v>
                </c:pt>
                <c:pt idx="4">
                  <c:v>59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4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{63.2,65.3,67.5,68.4,70.3}</c:f>
              <c:numCache>
                <c:formatCode>General</c:formatCode>
                <c:ptCount val="5"/>
                <c:pt idx="0">
                  <c:v>63.2</c:v>
                </c:pt>
                <c:pt idx="1">
                  <c:v>65.3</c:v>
                </c:pt>
                <c:pt idx="2">
                  <c:v>67.5</c:v>
                </c:pt>
                <c:pt idx="3">
                  <c:v>68.4</c:v>
                </c:pt>
                <c:pt idx="4">
                  <c:v>70.3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{173.7,174,174.4,174.6,180}</c:f>
              <c:numCache>
                <c:formatCode>General</c:formatCode>
                <c:ptCount val="5"/>
                <c:pt idx="0">
                  <c:v>173.7</c:v>
                </c:pt>
                <c:pt idx="1">
                  <c:v>174</c:v>
                </c:pt>
                <c:pt idx="2">
                  <c:v>174.4</c:v>
                </c:pt>
                <c:pt idx="3">
                  <c:v>174.6</c:v>
                </c:pt>
                <c:pt idx="4">
                  <c:v>180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{3,3,3,3,3,3,3,3,3,3,3,3}</c:f>
              <c:numCache>
                <c:formatCode>General</c:formatCode>
                <c:ptCount val="12"/>
                <c:pt idx="0">
                  <c:v>3</c:v>
                </c:pt>
                <c:pt idx="1">
                  <c:v>3</c:v>
                </c:pt>
                <c:pt idx="2">
                  <c:v>3</c:v>
                </c:pt>
                <c:pt idx="3">
                  <c:v>3</c:v>
                </c:pt>
                <c:pt idx="4">
                  <c:v>3</c:v>
                </c:pt>
                <c:pt idx="5">
                  <c:v>3</c:v>
                </c:pt>
                <c:pt idx="6">
                  <c:v>3</c:v>
                </c:pt>
                <c:pt idx="7">
                  <c:v>3</c:v>
                </c:pt>
                <c:pt idx="8">
                  <c:v>3</c:v>
                </c:pt>
                <c:pt idx="9">
                  <c:v>3</c:v>
                </c:pt>
                <c:pt idx="10">
                  <c:v>3</c:v>
                </c:pt>
                <c:pt idx="11">
                  <c:v>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-2.4248,-2.4234,-2.5781,-2.5105,-2.5513,-2.4987,-2.5912,-2.6243,-2.5326,-2.4826,-2.5205,-2.4885,-2.5249,-2.5224,-2.5102,-2.4732,-2.4719,-2.4926,-2.4919,-2.47,-2.5046,-2.539,-2.4819,-2.4918,-2.5427,-2.5609,-2.5949,-2.568,-2.584,-2.596,-2.6582,-2.6431,-2.6169,-2.6815,-2.6645,-2.5904,-2.6398,-2.6189,-2.6636,-2.7008,-2.7002,-2.7044,-2.8357,-2.8593,-2.9136,-2.8084,-2.8101,-2.8007,-2.7473,-2.7472,-2.7215,-2.7111,-2.7284,-2.716,-2.7515,-2.7314,-2.7994,-2.8037,-2.7686,-2.7757}</c:f>
              <c:numCache>
                <c:formatCode>General</c:formatCode>
                <c:ptCount val="60"/>
                <c:pt idx="0">
                  <c:v>-2.4248</c:v>
                </c:pt>
                <c:pt idx="1">
                  <c:v>-2.4234</c:v>
                </c:pt>
                <c:pt idx="2">
                  <c:v>-2.5781</c:v>
                </c:pt>
                <c:pt idx="3">
                  <c:v>-2.5105</c:v>
                </c:pt>
                <c:pt idx="4">
                  <c:v>-2.5513</c:v>
                </c:pt>
                <c:pt idx="5">
                  <c:v>-2.4987</c:v>
                </c:pt>
                <c:pt idx="6">
                  <c:v>-2.5912</c:v>
                </c:pt>
                <c:pt idx="7">
                  <c:v>-2.6243</c:v>
                </c:pt>
                <c:pt idx="8">
                  <c:v>-2.5326</c:v>
                </c:pt>
                <c:pt idx="9">
                  <c:v>-2.4826</c:v>
                </c:pt>
                <c:pt idx="10">
                  <c:v>-2.5205</c:v>
                </c:pt>
                <c:pt idx="11">
                  <c:v>-2.4885</c:v>
                </c:pt>
                <c:pt idx="12">
                  <c:v>-2.5249</c:v>
                </c:pt>
                <c:pt idx="13">
                  <c:v>-2.5224</c:v>
                </c:pt>
                <c:pt idx="14">
                  <c:v>-2.5102</c:v>
                </c:pt>
                <c:pt idx="15">
                  <c:v>-2.4732</c:v>
                </c:pt>
                <c:pt idx="16">
                  <c:v>-2.4719</c:v>
                </c:pt>
                <c:pt idx="17">
                  <c:v>-2.4926</c:v>
                </c:pt>
                <c:pt idx="18">
                  <c:v>-2.4919</c:v>
                </c:pt>
                <c:pt idx="19">
                  <c:v>-2.47</c:v>
                </c:pt>
                <c:pt idx="20">
                  <c:v>-2.5046</c:v>
                </c:pt>
                <c:pt idx="21">
                  <c:v>-2.539</c:v>
                </c:pt>
                <c:pt idx="22">
                  <c:v>-2.4819</c:v>
                </c:pt>
                <c:pt idx="23">
                  <c:v>-2.4918</c:v>
                </c:pt>
                <c:pt idx="24">
                  <c:v>-2.5427</c:v>
                </c:pt>
                <c:pt idx="25">
                  <c:v>-2.5609</c:v>
                </c:pt>
                <c:pt idx="26">
                  <c:v>-2.5949</c:v>
                </c:pt>
                <c:pt idx="27">
                  <c:v>-2.568</c:v>
                </c:pt>
                <c:pt idx="28">
                  <c:v>-2.584</c:v>
                </c:pt>
                <c:pt idx="29">
                  <c:v>-2.596</c:v>
                </c:pt>
                <c:pt idx="30">
                  <c:v>-2.6582</c:v>
                </c:pt>
                <c:pt idx="31">
                  <c:v>-2.6431</c:v>
                </c:pt>
                <c:pt idx="32">
                  <c:v>-2.6169</c:v>
                </c:pt>
                <c:pt idx="33">
                  <c:v>-2.6815</c:v>
                </c:pt>
                <c:pt idx="34">
                  <c:v>-2.6645</c:v>
                </c:pt>
                <c:pt idx="35">
                  <c:v>-2.5904</c:v>
                </c:pt>
                <c:pt idx="36">
                  <c:v>-2.6398</c:v>
                </c:pt>
                <c:pt idx="37">
                  <c:v>-2.6189</c:v>
                </c:pt>
                <c:pt idx="38">
                  <c:v>-2.6636</c:v>
                </c:pt>
                <c:pt idx="39">
                  <c:v>-2.7008</c:v>
                </c:pt>
                <c:pt idx="40">
                  <c:v>-2.7002</c:v>
                </c:pt>
                <c:pt idx="41">
                  <c:v>-2.7044</c:v>
                </c:pt>
                <c:pt idx="42">
                  <c:v>-2.8357</c:v>
                </c:pt>
                <c:pt idx="43">
                  <c:v>-2.8593</c:v>
                </c:pt>
                <c:pt idx="44">
                  <c:v>-2.9136</c:v>
                </c:pt>
                <c:pt idx="45">
                  <c:v>-2.8084</c:v>
                </c:pt>
                <c:pt idx="46">
                  <c:v>-2.8101</c:v>
                </c:pt>
                <c:pt idx="47">
                  <c:v>-2.8007</c:v>
                </c:pt>
                <c:pt idx="48">
                  <c:v>-2.7473</c:v>
                </c:pt>
                <c:pt idx="49">
                  <c:v>-2.7472</c:v>
                </c:pt>
                <c:pt idx="50">
                  <c:v>-2.7215</c:v>
                </c:pt>
                <c:pt idx="51">
                  <c:v>-2.7111</c:v>
                </c:pt>
                <c:pt idx="52">
                  <c:v>-2.7284</c:v>
                </c:pt>
                <c:pt idx="53">
                  <c:v>-2.716</c:v>
                </c:pt>
                <c:pt idx="54">
                  <c:v>-2.7515</c:v>
                </c:pt>
                <c:pt idx="55">
                  <c:v>-2.7314</c:v>
                </c:pt>
                <c:pt idx="56">
                  <c:v>-2.7994</c:v>
                </c:pt>
                <c:pt idx="57">
                  <c:v>-2.8037</c:v>
                </c:pt>
                <c:pt idx="58">
                  <c:v>-2.7686</c:v>
                </c:pt>
                <c:pt idx="59">
                  <c:v>-2.7757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{96623,115566,135839,148198,163876,186490,200516,216045,44154,61613,83404,100465}</c:f>
              <c:numCache>
                <c:formatCode>General</c:formatCode>
                <c:ptCount val="12"/>
                <c:pt idx="0">
                  <c:v>96623</c:v>
                </c:pt>
                <c:pt idx="1">
                  <c:v>115566</c:v>
                </c:pt>
                <c:pt idx="2">
                  <c:v>135839</c:v>
                </c:pt>
                <c:pt idx="3">
                  <c:v>148198</c:v>
                </c:pt>
                <c:pt idx="4">
                  <c:v>163876</c:v>
                </c:pt>
                <c:pt idx="5">
                  <c:v>186490</c:v>
                </c:pt>
                <c:pt idx="6">
                  <c:v>200516</c:v>
                </c:pt>
                <c:pt idx="7">
                  <c:v>216045</c:v>
                </c:pt>
                <c:pt idx="8">
                  <c:v>44154</c:v>
                </c:pt>
                <c:pt idx="9">
                  <c:v>61613</c:v>
                </c:pt>
                <c:pt idx="10">
                  <c:v>83404</c:v>
                </c:pt>
                <c:pt idx="11">
                  <c:v>100465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{-11.9,-6.5,-4.6,-4.7,-4.2,-7.4,-10.7,-14.7,-25.2,-24.4,-27.2,-28.7}</c:f>
              <c:numCache>
                <c:formatCode>General</c:formatCode>
                <c:ptCount val="12"/>
                <c:pt idx="0">
                  <c:v>-11.9</c:v>
                </c:pt>
                <c:pt idx="1">
                  <c:v>-6.5</c:v>
                </c:pt>
                <c:pt idx="2">
                  <c:v>-4.6</c:v>
                </c:pt>
                <c:pt idx="3">
                  <c:v>-4.7</c:v>
                </c:pt>
                <c:pt idx="4">
                  <c:v>-4.2</c:v>
                </c:pt>
                <c:pt idx="5">
                  <c:v>-7.4</c:v>
                </c:pt>
                <c:pt idx="6">
                  <c:v>-10.7</c:v>
                </c:pt>
                <c:pt idx="7">
                  <c:v>-14.7</c:v>
                </c:pt>
                <c:pt idx="8">
                  <c:v>-25.2</c:v>
                </c:pt>
                <c:pt idx="9">
                  <c:v>-24.4</c:v>
                </c:pt>
                <c:pt idx="10">
                  <c:v>-27.2</c:v>
                </c:pt>
                <c:pt idx="11">
                  <c:v>-28.7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{36055.7,37963.8,40007.1,41231.8,42349.8}</c:f>
              <c:numCache>
                <c:formatCode>General</c:formatCode>
                <c:ptCount val="5"/>
                <c:pt idx="0">
                  <c:v>36055.7</c:v>
                </c:pt>
                <c:pt idx="1">
                  <c:v>37963.8</c:v>
                </c:pt>
                <c:pt idx="2">
                  <c:v>40007.1</c:v>
                </c:pt>
                <c:pt idx="3">
                  <c:v>41231.8</c:v>
                </c:pt>
                <c:pt idx="4">
                  <c:v>42349.8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{-0.182041362765,-0.933960643685,-0.813550839473,-0.95671581403}</c:f>
              <c:numCache>
                <c:formatCode>General</c:formatCode>
                <c:ptCount val="4"/>
                <c:pt idx="0">
                  <c:v>-0.182041362765</c:v>
                </c:pt>
                <c:pt idx="1">
                  <c:v>-0.933960643685</c:v>
                </c:pt>
                <c:pt idx="2">
                  <c:v>-0.813550839473</c:v>
                </c:pt>
                <c:pt idx="3">
                  <c:v>-0.95671581403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{318466.4,341395.3,354106.2,387911.3,334192.9}</c:f>
              <c:numCache>
                <c:formatCode>General</c:formatCode>
                <c:ptCount val="5"/>
                <c:pt idx="0">
                  <c:v>318466.4</c:v>
                </c:pt>
                <c:pt idx="1">
                  <c:v>341395.3</c:v>
                </c:pt>
                <c:pt idx="2">
                  <c:v>354106.2</c:v>
                </c:pt>
                <c:pt idx="3">
                  <c:v>387911.3</c:v>
                </c:pt>
                <c:pt idx="4">
                  <c:v>334192.9</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{50.1,50.5,51.7,52,46.7}</c:f>
              <c:numCache>
                <c:formatCode>General</c:formatCode>
                <c:ptCount val="5"/>
                <c:pt idx="0">
                  <c:v>50.1</c:v>
                </c:pt>
                <c:pt idx="1">
                  <c:v>50.5</c:v>
                </c:pt>
                <c:pt idx="2">
                  <c:v>51.7</c:v>
                </c:pt>
                <c:pt idx="3">
                  <c:v>52</c:v>
                </c:pt>
                <c:pt idx="4">
                  <c:v>46.7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5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{4.7,14.6,15,15.3,38}</c:f>
              <c:numCache>
                <c:formatCode>General</c:formatCode>
                <c:ptCount val="5"/>
                <c:pt idx="0">
                  <c:v>4.7</c:v>
                </c:pt>
                <c:pt idx="1">
                  <c:v>14.6</c:v>
                </c:pt>
                <c:pt idx="2">
                  <c:v>15</c:v>
                </c:pt>
                <c:pt idx="3">
                  <c:v>15.3</c:v>
                </c:pt>
                <c:pt idx="4">
                  <c:v>38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{45.2,34.9,33.3,32.7,15.3}</c:f>
              <c:numCache>
                <c:formatCode>General</c:formatCode>
                <c:ptCount val="5"/>
                <c:pt idx="0">
                  <c:v>45.2</c:v>
                </c:pt>
                <c:pt idx="1">
                  <c:v>34.9</c:v>
                </c:pt>
                <c:pt idx="2">
                  <c:v>33.3</c:v>
                </c:pt>
                <c:pt idx="3">
                  <c:v>32.7</c:v>
                </c:pt>
                <c:pt idx="4">
                  <c:v>15.3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{-10.7,-11.2,-12,-12.9,-13.9,-14.7,-15.9,-17.2,-11.1,-11.2,-13.7,-16.2}</c:f>
              <c:numCache>
                <c:formatCode>General</c:formatCode>
                <c:ptCount val="12"/>
                <c:pt idx="0">
                  <c:v>-10.7</c:v>
                </c:pt>
                <c:pt idx="1">
                  <c:v>-11.2</c:v>
                </c:pt>
                <c:pt idx="2">
                  <c:v>-12</c:v>
                </c:pt>
                <c:pt idx="3">
                  <c:v>-12.9</c:v>
                </c:pt>
                <c:pt idx="4">
                  <c:v>-13.9</c:v>
                </c:pt>
                <c:pt idx="5">
                  <c:v>-14.7</c:v>
                </c:pt>
                <c:pt idx="6">
                  <c:v>-15.9</c:v>
                </c:pt>
                <c:pt idx="7">
                  <c:v>-17.2</c:v>
                </c:pt>
                <c:pt idx="8">
                  <c:v>-11.1</c:v>
                </c:pt>
                <c:pt idx="9">
                  <c:v>-11.2</c:v>
                </c:pt>
                <c:pt idx="10">
                  <c:v>-13.7</c:v>
                </c:pt>
                <c:pt idx="11">
                  <c:v>-16.2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{8.5,7.5,6.2,5.1,4,2.7,1.9,0.6,3.1,4.1,1.2,-0.4}</c:f>
              <c:numCache>
                <c:formatCode>General</c:formatCode>
                <c:ptCount val="12"/>
                <c:pt idx="0">
                  <c:v>8.5</c:v>
                </c:pt>
                <c:pt idx="1">
                  <c:v>7.5</c:v>
                </c:pt>
                <c:pt idx="2">
                  <c:v>6.2</c:v>
                </c:pt>
                <c:pt idx="3">
                  <c:v>5.1</c:v>
                </c:pt>
                <c:pt idx="4">
                  <c:v>4</c:v>
                </c:pt>
                <c:pt idx="5">
                  <c:v>2.7</c:v>
                </c:pt>
                <c:pt idx="6">
                  <c:v>1.9</c:v>
                </c:pt>
                <c:pt idx="7">
                  <c:v>0.6</c:v>
                </c:pt>
                <c:pt idx="8">
                  <c:v>3.1</c:v>
                </c:pt>
                <c:pt idx="9">
                  <c:v>4.1</c:v>
                </c:pt>
                <c:pt idx="10">
                  <c:v>1.2</c:v>
                </c:pt>
                <c:pt idx="11">
                  <c:v>-0.4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{10.42,8.9,7.29,5.42,3.34,1.51,0.13,-1.48,9.76,9.24,4.92,0.75}</c:f>
              <c:numCache>
                <c:formatCode>General</c:formatCode>
                <c:ptCount val="12"/>
                <c:pt idx="0">
                  <c:v>10.42</c:v>
                </c:pt>
                <c:pt idx="1">
                  <c:v>8.9</c:v>
                </c:pt>
                <c:pt idx="2">
                  <c:v>7.29</c:v>
                </c:pt>
                <c:pt idx="3">
                  <c:v>5.42</c:v>
                </c:pt>
                <c:pt idx="4">
                  <c:v>3.34</c:v>
                </c:pt>
                <c:pt idx="5">
                  <c:v>1.51</c:v>
                </c:pt>
                <c:pt idx="6">
                  <c:v>0.13</c:v>
                </c:pt>
                <c:pt idx="7">
                  <c:v>-1.48</c:v>
                </c:pt>
                <c:pt idx="8">
                  <c:v>9.76</c:v>
                </c:pt>
                <c:pt idx="9">
                  <c:v>9.24</c:v>
                </c:pt>
                <c:pt idx="10">
                  <c:v>4.92</c:v>
                </c:pt>
                <c:pt idx="11">
                  <c:v>0.75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{-10.9,-12.6,-15.5,-16.9,-17.8,-18.9,-20,-23,-11,-16.3,-10.2,-2.7}</c:f>
              <c:numCache>
                <c:formatCode>General</c:formatCode>
                <c:ptCount val="12"/>
                <c:pt idx="0">
                  <c:v>-10.9</c:v>
                </c:pt>
                <c:pt idx="1">
                  <c:v>-12.6</c:v>
                </c:pt>
                <c:pt idx="2">
                  <c:v>-15.5</c:v>
                </c:pt>
                <c:pt idx="3">
                  <c:v>-16.9</c:v>
                </c:pt>
                <c:pt idx="4">
                  <c:v>-17.8</c:v>
                </c:pt>
                <c:pt idx="5">
                  <c:v>-18.9</c:v>
                </c:pt>
                <c:pt idx="6">
                  <c:v>-20</c:v>
                </c:pt>
                <c:pt idx="7">
                  <c:v>-23</c:v>
                </c:pt>
                <c:pt idx="8">
                  <c:v>-11</c:v>
                </c:pt>
                <c:pt idx="9">
                  <c:v>-16.3</c:v>
                </c:pt>
                <c:pt idx="10">
                  <c:v>-10.2</c:v>
                </c:pt>
                <c:pt idx="11">
                  <c:v>-2.7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{13,13.5,14.6,14.7,14.3,13.7,13.4,22.7,29.4,20.5,19.1,20.3}</c:f>
              <c:numCache>
                <c:formatCode>General</c:formatCode>
                <c:ptCount val="12"/>
                <c:pt idx="0">
                  <c:v>13</c:v>
                </c:pt>
                <c:pt idx="1">
                  <c:v>13.5</c:v>
                </c:pt>
                <c:pt idx="2">
                  <c:v>14.6</c:v>
                </c:pt>
                <c:pt idx="3">
                  <c:v>14.7</c:v>
                </c:pt>
                <c:pt idx="4">
                  <c:v>14.3</c:v>
                </c:pt>
                <c:pt idx="5">
                  <c:v>13.7</c:v>
                </c:pt>
                <c:pt idx="6">
                  <c:v>13.4</c:v>
                </c:pt>
                <c:pt idx="7">
                  <c:v>22.7</c:v>
                </c:pt>
                <c:pt idx="8">
                  <c:v>29.4</c:v>
                </c:pt>
                <c:pt idx="9">
                  <c:v>20.5</c:v>
                </c:pt>
                <c:pt idx="10">
                  <c:v>19.1</c:v>
                </c:pt>
                <c:pt idx="11">
                  <c:v>20.3</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{1138.401184,974.005908,1010.875872,887.83009,881.348425,1100.402882,1124.370332,1211.877474,902.40835,501.57858,846.857715,1054.335842}</c:f>
              <c:numCache>
                <c:formatCode>General</c:formatCode>
                <c:ptCount val="12"/>
                <c:pt idx="0">
                  <c:v>1138.401184</c:v>
                </c:pt>
                <c:pt idx="1">
                  <c:v>974.005908</c:v>
                </c:pt>
                <c:pt idx="2">
                  <c:v>1010.875872</c:v>
                </c:pt>
                <c:pt idx="3">
                  <c:v>887.83009</c:v>
                </c:pt>
                <c:pt idx="4">
                  <c:v>881.348425</c:v>
                </c:pt>
                <c:pt idx="5">
                  <c:v>1100.402882</c:v>
                </c:pt>
                <c:pt idx="6">
                  <c:v>1124.370332</c:v>
                </c:pt>
                <c:pt idx="7">
                  <c:v>1211.877474</c:v>
                </c:pt>
                <c:pt idx="8">
                  <c:v>902.40835</c:v>
                </c:pt>
                <c:pt idx="9">
                  <c:v>501.57858</c:v>
                </c:pt>
                <c:pt idx="10">
                  <c:v>846.857715</c:v>
                </c:pt>
                <c:pt idx="11">
                  <c:v>1054.335842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80.48,80.35,80.35,80.46,80.44,80.25,79.96,79.91,79.72,79.91,80.05,79.98,79.9,79.74,79.69,79.63,79.71,79.91,80.04,79.97,79.68,79.59,79.68,79.71,79.74,79.66,79.43,79.38,79.16,78.79,78.98,78.95,79.05,78.85,78.94,78.8,78.87,78.71,78.7,78.42,78.51,78.49,78.51,78.55,78.49,78.55,78.3,78.23,78.28,78.12,78.18,78.27,78.4,78.3,78.23,78,78.03,78.38,78.46,79.58}</c:f>
              <c:numCache>
                <c:formatCode>General</c:formatCode>
                <c:ptCount val="60"/>
                <c:pt idx="0">
                  <c:v>80.48</c:v>
                </c:pt>
                <c:pt idx="1">
                  <c:v>80.35</c:v>
                </c:pt>
                <c:pt idx="2">
                  <c:v>80.35</c:v>
                </c:pt>
                <c:pt idx="3">
                  <c:v>80.46</c:v>
                </c:pt>
                <c:pt idx="4">
                  <c:v>80.44</c:v>
                </c:pt>
                <c:pt idx="5">
                  <c:v>80.25</c:v>
                </c:pt>
                <c:pt idx="6">
                  <c:v>79.96</c:v>
                </c:pt>
                <c:pt idx="7">
                  <c:v>79.91</c:v>
                </c:pt>
                <c:pt idx="8">
                  <c:v>79.72</c:v>
                </c:pt>
                <c:pt idx="9">
                  <c:v>79.91</c:v>
                </c:pt>
                <c:pt idx="10">
                  <c:v>80.05</c:v>
                </c:pt>
                <c:pt idx="11">
                  <c:v>79.98</c:v>
                </c:pt>
                <c:pt idx="12">
                  <c:v>79.9</c:v>
                </c:pt>
                <c:pt idx="13">
                  <c:v>79.74</c:v>
                </c:pt>
                <c:pt idx="14">
                  <c:v>79.69</c:v>
                </c:pt>
                <c:pt idx="15">
                  <c:v>79.63</c:v>
                </c:pt>
                <c:pt idx="16">
                  <c:v>79.71</c:v>
                </c:pt>
                <c:pt idx="17">
                  <c:v>79.91</c:v>
                </c:pt>
                <c:pt idx="18">
                  <c:v>80.04</c:v>
                </c:pt>
                <c:pt idx="19">
                  <c:v>79.97</c:v>
                </c:pt>
                <c:pt idx="20">
                  <c:v>79.68</c:v>
                </c:pt>
                <c:pt idx="21">
                  <c:v>79.59</c:v>
                </c:pt>
                <c:pt idx="22">
                  <c:v>79.68</c:v>
                </c:pt>
                <c:pt idx="23">
                  <c:v>79.71</c:v>
                </c:pt>
                <c:pt idx="24">
                  <c:v>79.74</c:v>
                </c:pt>
                <c:pt idx="25">
                  <c:v>79.66</c:v>
                </c:pt>
                <c:pt idx="26">
                  <c:v>79.43</c:v>
                </c:pt>
                <c:pt idx="27">
                  <c:v>79.38</c:v>
                </c:pt>
                <c:pt idx="28">
                  <c:v>79.16</c:v>
                </c:pt>
                <c:pt idx="29">
                  <c:v>78.79</c:v>
                </c:pt>
                <c:pt idx="30">
                  <c:v>78.98</c:v>
                </c:pt>
                <c:pt idx="31">
                  <c:v>78.95</c:v>
                </c:pt>
                <c:pt idx="32">
                  <c:v>79.05</c:v>
                </c:pt>
                <c:pt idx="33">
                  <c:v>78.85</c:v>
                </c:pt>
                <c:pt idx="34">
                  <c:v>78.94</c:v>
                </c:pt>
                <c:pt idx="35">
                  <c:v>78.8</c:v>
                </c:pt>
                <c:pt idx="36">
                  <c:v>78.87</c:v>
                </c:pt>
                <c:pt idx="37">
                  <c:v>78.71</c:v>
                </c:pt>
                <c:pt idx="38">
                  <c:v>78.7</c:v>
                </c:pt>
                <c:pt idx="39">
                  <c:v>78.42</c:v>
                </c:pt>
                <c:pt idx="40">
                  <c:v>78.51</c:v>
                </c:pt>
                <c:pt idx="41">
                  <c:v>78.49</c:v>
                </c:pt>
                <c:pt idx="42">
                  <c:v>78.51</c:v>
                </c:pt>
                <c:pt idx="43">
                  <c:v>78.55</c:v>
                </c:pt>
                <c:pt idx="44">
                  <c:v>78.49</c:v>
                </c:pt>
                <c:pt idx="45">
                  <c:v>78.55</c:v>
                </c:pt>
                <c:pt idx="46">
                  <c:v>78.3</c:v>
                </c:pt>
                <c:pt idx="47">
                  <c:v>78.23</c:v>
                </c:pt>
                <c:pt idx="48">
                  <c:v>78.28</c:v>
                </c:pt>
                <c:pt idx="49">
                  <c:v>78.12</c:v>
                </c:pt>
                <c:pt idx="50">
                  <c:v>78.18</c:v>
                </c:pt>
                <c:pt idx="51">
                  <c:v>78.27</c:v>
                </c:pt>
                <c:pt idx="52">
                  <c:v>78.4</c:v>
                </c:pt>
                <c:pt idx="53">
                  <c:v>78.3</c:v>
                </c:pt>
                <c:pt idx="54">
                  <c:v>78.23</c:v>
                </c:pt>
                <c:pt idx="55">
                  <c:v>78</c:v>
                </c:pt>
                <c:pt idx="56">
                  <c:v>78.03</c:v>
                </c:pt>
                <c:pt idx="57">
                  <c:v>78.38</c:v>
                </c:pt>
                <c:pt idx="58">
                  <c:v>78.46</c:v>
                </c:pt>
                <c:pt idx="59">
                  <c:v>79.58</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99.36,94.79,94.93,99.39,90.38,95.48,98.48,101.91,105.07,105.33,108.23,111.26,118.03,114.01,108.17,114.44,109.87,101.27,100.06,101.29,104.21,107.77,105.63,105.72,109.26,112.1,111.28,105.02,102.58,103.54,96.14,99.58,94.29,93.71,92.05,94.98,96,97.81,95.03,93.09,94.25,91.45,93.1,90.38,87.33,83.17,78.96,79.55,79.85,80.57,77.9,77.08,73.74,75.26,71.99,73.15,72.92,71.57,71.8,72.12}</c:f>
              <c:numCache>
                <c:formatCode>General</c:formatCode>
                <c:ptCount val="60"/>
                <c:pt idx="0">
                  <c:v>99.36</c:v>
                </c:pt>
                <c:pt idx="1">
                  <c:v>94.79</c:v>
                </c:pt>
                <c:pt idx="2">
                  <c:v>94.93</c:v>
                </c:pt>
                <c:pt idx="3">
                  <c:v>99.39</c:v>
                </c:pt>
                <c:pt idx="4">
                  <c:v>90.38</c:v>
                </c:pt>
                <c:pt idx="5">
                  <c:v>95.48</c:v>
                </c:pt>
                <c:pt idx="6">
                  <c:v>98.48</c:v>
                </c:pt>
                <c:pt idx="7">
                  <c:v>101.91</c:v>
                </c:pt>
                <c:pt idx="8">
                  <c:v>105.07</c:v>
                </c:pt>
                <c:pt idx="9">
                  <c:v>105.33</c:v>
                </c:pt>
                <c:pt idx="10">
                  <c:v>108.23</c:v>
                </c:pt>
                <c:pt idx="11">
                  <c:v>111.26</c:v>
                </c:pt>
                <c:pt idx="12">
                  <c:v>118.03</c:v>
                </c:pt>
                <c:pt idx="13">
                  <c:v>114.01</c:v>
                </c:pt>
                <c:pt idx="14">
                  <c:v>108.17</c:v>
                </c:pt>
                <c:pt idx="15">
                  <c:v>114.44</c:v>
                </c:pt>
                <c:pt idx="16">
                  <c:v>109.87</c:v>
                </c:pt>
                <c:pt idx="17">
                  <c:v>101.27</c:v>
                </c:pt>
                <c:pt idx="18">
                  <c:v>100.06</c:v>
                </c:pt>
                <c:pt idx="19">
                  <c:v>101.29</c:v>
                </c:pt>
                <c:pt idx="20">
                  <c:v>104.21</c:v>
                </c:pt>
                <c:pt idx="21">
                  <c:v>107.77</c:v>
                </c:pt>
                <c:pt idx="22">
                  <c:v>105.63</c:v>
                </c:pt>
                <c:pt idx="23">
                  <c:v>105.72</c:v>
                </c:pt>
                <c:pt idx="24">
                  <c:v>109.26</c:v>
                </c:pt>
                <c:pt idx="25">
                  <c:v>112.1</c:v>
                </c:pt>
                <c:pt idx="26">
                  <c:v>111.28</c:v>
                </c:pt>
                <c:pt idx="27">
                  <c:v>105.02</c:v>
                </c:pt>
                <c:pt idx="28">
                  <c:v>102.58</c:v>
                </c:pt>
                <c:pt idx="29">
                  <c:v>103.54</c:v>
                </c:pt>
                <c:pt idx="30">
                  <c:v>96.14</c:v>
                </c:pt>
                <c:pt idx="31">
                  <c:v>99.58</c:v>
                </c:pt>
                <c:pt idx="32">
                  <c:v>94.29</c:v>
                </c:pt>
                <c:pt idx="33">
                  <c:v>93.71</c:v>
                </c:pt>
                <c:pt idx="34">
                  <c:v>92.05</c:v>
                </c:pt>
                <c:pt idx="35">
                  <c:v>94.98</c:v>
                </c:pt>
                <c:pt idx="36">
                  <c:v>96</c:v>
                </c:pt>
                <c:pt idx="37">
                  <c:v>97.81</c:v>
                </c:pt>
                <c:pt idx="38">
                  <c:v>95.03</c:v>
                </c:pt>
                <c:pt idx="39">
                  <c:v>93.09</c:v>
                </c:pt>
                <c:pt idx="40">
                  <c:v>94.25</c:v>
                </c:pt>
                <c:pt idx="41">
                  <c:v>91.45</c:v>
                </c:pt>
                <c:pt idx="42">
                  <c:v>93.1</c:v>
                </c:pt>
                <c:pt idx="43">
                  <c:v>90.38</c:v>
                </c:pt>
                <c:pt idx="44">
                  <c:v>87.33</c:v>
                </c:pt>
                <c:pt idx="45">
                  <c:v>83.17</c:v>
                </c:pt>
                <c:pt idx="46">
                  <c:v>78.96</c:v>
                </c:pt>
                <c:pt idx="47">
                  <c:v>79.55</c:v>
                </c:pt>
                <c:pt idx="48">
                  <c:v>79.85</c:v>
                </c:pt>
                <c:pt idx="49">
                  <c:v>80.57</c:v>
                </c:pt>
                <c:pt idx="50">
                  <c:v>77.9</c:v>
                </c:pt>
                <c:pt idx="51">
                  <c:v>77.08</c:v>
                </c:pt>
                <c:pt idx="52">
                  <c:v>73.74</c:v>
                </c:pt>
                <c:pt idx="53">
                  <c:v>75.26</c:v>
                </c:pt>
                <c:pt idx="54">
                  <c:v>71.99</c:v>
                </c:pt>
                <c:pt idx="55">
                  <c:v>73.15</c:v>
                </c:pt>
                <c:pt idx="56">
                  <c:v>72.92</c:v>
                </c:pt>
                <c:pt idx="57">
                  <c:v>71.57</c:v>
                </c:pt>
                <c:pt idx="58">
                  <c:v>71.8</c:v>
                </c:pt>
                <c:pt idx="59">
                  <c:v>72.12</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6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{112953,141271,160737,179324,208064,225825,248538,287395,46706,74706,94809,113877}</c:f>
              <c:numCache>
                <c:formatCode>General</c:formatCode>
                <c:ptCount val="12"/>
                <c:pt idx="0">
                  <c:v>112953</c:v>
                </c:pt>
                <c:pt idx="1">
                  <c:v>141271</c:v>
                </c:pt>
                <c:pt idx="2">
                  <c:v>160737</c:v>
                </c:pt>
                <c:pt idx="3">
                  <c:v>179324</c:v>
                </c:pt>
                <c:pt idx="4">
                  <c:v>208064</c:v>
                </c:pt>
                <c:pt idx="5">
                  <c:v>225825</c:v>
                </c:pt>
                <c:pt idx="6">
                  <c:v>248538</c:v>
                </c:pt>
                <c:pt idx="7">
                  <c:v>287395</c:v>
                </c:pt>
                <c:pt idx="8">
                  <c:v>46706</c:v>
                </c:pt>
                <c:pt idx="9">
                  <c:v>74706</c:v>
                </c:pt>
                <c:pt idx="10">
                  <c:v>94809</c:v>
                </c:pt>
                <c:pt idx="11">
                  <c:v>113877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{12500,20200,22100,13700,20900,20400,6579,15500,12000,4606,12000,19100}</c:f>
              <c:numCache>
                <c:formatCode>General</c:formatCode>
                <c:ptCount val="12"/>
                <c:pt idx="0">
                  <c:v>12500</c:v>
                </c:pt>
                <c:pt idx="1">
                  <c:v>20200</c:v>
                </c:pt>
                <c:pt idx="2">
                  <c:v>22100</c:v>
                </c:pt>
                <c:pt idx="3">
                  <c:v>13700</c:v>
                </c:pt>
                <c:pt idx="4">
                  <c:v>20900</c:v>
                </c:pt>
                <c:pt idx="5">
                  <c:v>20400</c:v>
                </c:pt>
                <c:pt idx="6">
                  <c:v>6579</c:v>
                </c:pt>
                <c:pt idx="7">
                  <c:v>15500</c:v>
                </c:pt>
                <c:pt idx="8">
                  <c:v>12000</c:v>
                </c:pt>
                <c:pt idx="9">
                  <c:v>4606</c:v>
                </c:pt>
                <c:pt idx="10">
                  <c:v>12000</c:v>
                </c:pt>
                <c:pt idx="11">
                  <c:v>19100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{37174.1,41325.8,42287.4,38780.2,39667.6,41971,46291.3,43898,45135.9,41616,37246.5,41090}</c:f>
              <c:numCache>
                <c:formatCode>General</c:formatCode>
                <c:ptCount val="12"/>
                <c:pt idx="0">
                  <c:v>37174.1</c:v>
                </c:pt>
                <c:pt idx="1">
                  <c:v>41325.8</c:v>
                </c:pt>
                <c:pt idx="2">
                  <c:v>42287.4</c:v>
                </c:pt>
                <c:pt idx="3">
                  <c:v>38780.2</c:v>
                </c:pt>
                <c:pt idx="4">
                  <c:v>39667.6</c:v>
                </c:pt>
                <c:pt idx="5">
                  <c:v>41971</c:v>
                </c:pt>
                <c:pt idx="6">
                  <c:v>46291.3</c:v>
                </c:pt>
                <c:pt idx="7">
                  <c:v>43898</c:v>
                </c:pt>
                <c:pt idx="8">
                  <c:v>45135.9</c:v>
                </c:pt>
                <c:pt idx="9">
                  <c:v>41616</c:v>
                </c:pt>
                <c:pt idx="10">
                  <c:v>37246.5</c:v>
                </c:pt>
                <c:pt idx="11">
                  <c:v>41090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{5.4,5.2,4.8,4.5,5}</c:f>
              <c:numCache>
                <c:formatCode>General</c:formatCode>
                <c:ptCount val="5"/>
                <c:pt idx="0">
                  <c:v>5.4</c:v>
                </c:pt>
                <c:pt idx="1">
                  <c:v>5.2</c:v>
                </c:pt>
                <c:pt idx="2">
                  <c:v>4.8</c:v>
                </c:pt>
                <c:pt idx="3">
                  <c:v>4.5</c:v>
                </c:pt>
                <c:pt idx="4">
                  <c:v>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{3.7,2.8,1.6,0.5,-0.5,-1.7,-2.6,-3.8,1.8,1.7,-1.6,-4.1}</c:f>
              <c:numCache>
                <c:formatCode>General</c:formatCode>
                <c:ptCount val="12"/>
                <c:pt idx="0">
                  <c:v>3.7</c:v>
                </c:pt>
                <c:pt idx="1">
                  <c:v>2.8</c:v>
                </c:pt>
                <c:pt idx="2">
                  <c:v>1.6</c:v>
                </c:pt>
                <c:pt idx="3">
                  <c:v>0.5</c:v>
                </c:pt>
                <c:pt idx="4">
                  <c:v>-0.5</c:v>
                </c:pt>
                <c:pt idx="5">
                  <c:v>-1.7</c:v>
                </c:pt>
                <c:pt idx="6">
                  <c:v>-2.6</c:v>
                </c:pt>
                <c:pt idx="7">
                  <c:v>-3.8</c:v>
                </c:pt>
                <c:pt idx="8">
                  <c:v>1.8</c:v>
                </c:pt>
                <c:pt idx="9">
                  <c:v>1.7</c:v>
                </c:pt>
                <c:pt idx="10">
                  <c:v>-1.6</c:v>
                </c:pt>
                <c:pt idx="11">
                  <c:v>-4.1</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{42251,11307,25660,35299,8178,24926,22075,72185,23837,52240,6238,20264}</c:f>
              <c:numCache>
                <c:formatCode>General</c:formatCode>
                <c:ptCount val="12"/>
                <c:pt idx="0">
                  <c:v>42251</c:v>
                </c:pt>
                <c:pt idx="1">
                  <c:v>11307</c:v>
                </c:pt>
                <c:pt idx="2">
                  <c:v>25660</c:v>
                </c:pt>
                <c:pt idx="3">
                  <c:v>35299</c:v>
                </c:pt>
                <c:pt idx="4">
                  <c:v>8178</c:v>
                </c:pt>
                <c:pt idx="5">
                  <c:v>24926</c:v>
                </c:pt>
                <c:pt idx="6">
                  <c:v>22075</c:v>
                </c:pt>
                <c:pt idx="7">
                  <c:v>72185</c:v>
                </c:pt>
                <c:pt idx="8">
                  <c:v>23837</c:v>
                </c:pt>
                <c:pt idx="9">
                  <c:v>52240</c:v>
                </c:pt>
                <c:pt idx="10">
                  <c:v>6238</c:v>
                </c:pt>
                <c:pt idx="11">
                  <c:v>20264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5.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{23600,-4296,6253,16081,-154,4096,9804,49016,8458,31522,-4006,4965}</c:f>
              <c:numCache>
                <c:formatCode>General</c:formatCode>
                <c:ptCount val="12"/>
                <c:pt idx="0">
                  <c:v>23600</c:v>
                </c:pt>
                <c:pt idx="1">
                  <c:v>-4296</c:v>
                </c:pt>
                <c:pt idx="2">
                  <c:v>6253</c:v>
                </c:pt>
                <c:pt idx="3">
                  <c:v>16081</c:v>
                </c:pt>
                <c:pt idx="4">
                  <c:v>-154</c:v>
                </c:pt>
                <c:pt idx="5">
                  <c:v>4096</c:v>
                </c:pt>
                <c:pt idx="6">
                  <c:v>9804</c:v>
                </c:pt>
                <c:pt idx="7">
                  <c:v>49016</c:v>
                </c:pt>
                <c:pt idx="8">
                  <c:v>8458</c:v>
                </c:pt>
                <c:pt idx="9">
                  <c:v>31522</c:v>
                </c:pt>
                <c:pt idx="10">
                  <c:v>-4006</c:v>
                </c:pt>
                <c:pt idx="11">
                  <c:v>4965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6.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{13508,12482,13672,11893,4852,12077,6833,9764,14014,11658,9041,12236}</c:f>
              <c:numCache>
                <c:formatCode>General</c:formatCode>
                <c:ptCount val="12"/>
                <c:pt idx="0">
                  <c:v>13508</c:v>
                </c:pt>
                <c:pt idx="1">
                  <c:v>12482</c:v>
                </c:pt>
                <c:pt idx="2">
                  <c:v>13672</c:v>
                </c:pt>
                <c:pt idx="3">
                  <c:v>11893</c:v>
                </c:pt>
                <c:pt idx="4">
                  <c:v>4852</c:v>
                </c:pt>
                <c:pt idx="5">
                  <c:v>12077</c:v>
                </c:pt>
                <c:pt idx="6">
                  <c:v>6833</c:v>
                </c:pt>
                <c:pt idx="7">
                  <c:v>9764</c:v>
                </c:pt>
                <c:pt idx="8">
                  <c:v>14014</c:v>
                </c:pt>
                <c:pt idx="9">
                  <c:v>11658</c:v>
                </c:pt>
                <c:pt idx="10">
                  <c:v>9041</c:v>
                </c:pt>
                <c:pt idx="11">
                  <c:v>12236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7.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{-1900,-1638,1973,3234,-2895,1488,-1492,6293,-1755,1258,-5284,-685}</c:f>
              <c:numCache>
                <c:formatCode>General</c:formatCode>
                <c:ptCount val="12"/>
                <c:pt idx="0">
                  <c:v>-1900</c:v>
                </c:pt>
                <c:pt idx="1">
                  <c:v>-1638</c:v>
                </c:pt>
                <c:pt idx="2">
                  <c:v>1973</c:v>
                </c:pt>
                <c:pt idx="3">
                  <c:v>3234</c:v>
                </c:pt>
                <c:pt idx="4">
                  <c:v>-2895</c:v>
                </c:pt>
                <c:pt idx="5">
                  <c:v>1488</c:v>
                </c:pt>
                <c:pt idx="6">
                  <c:v>-1492</c:v>
                </c:pt>
                <c:pt idx="7">
                  <c:v>6293</c:v>
                </c:pt>
                <c:pt idx="8">
                  <c:v>-1755</c:v>
                </c:pt>
                <c:pt idx="9">
                  <c:v>1258</c:v>
                </c:pt>
                <c:pt idx="10">
                  <c:v>-5284</c:v>
                </c:pt>
                <c:pt idx="11">
                  <c:v>-685</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8.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{2422,2748,1338,136,2500,4145,1541,5033,1522,3910,4520,1680}</c:f>
              <c:numCache>
                <c:formatCode>General</c:formatCode>
                <c:ptCount val="12"/>
                <c:pt idx="0">
                  <c:v>2422</c:v>
                </c:pt>
                <c:pt idx="1">
                  <c:v>2748</c:v>
                </c:pt>
                <c:pt idx="2">
                  <c:v>1338</c:v>
                </c:pt>
                <c:pt idx="3">
                  <c:v>136</c:v>
                </c:pt>
                <c:pt idx="4">
                  <c:v>2500</c:v>
                </c:pt>
                <c:pt idx="5">
                  <c:v>4145</c:v>
                </c:pt>
                <c:pt idx="6">
                  <c:v>1541</c:v>
                </c:pt>
                <c:pt idx="7">
                  <c:v>5033</c:v>
                </c:pt>
                <c:pt idx="8">
                  <c:v>1522</c:v>
                </c:pt>
                <c:pt idx="9">
                  <c:v>3910</c:v>
                </c:pt>
                <c:pt idx="10">
                  <c:v>4520</c:v>
                </c:pt>
                <c:pt idx="11">
                  <c:v>1680</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79.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12.9730997086,12.9398002625,12.9630002975,13.0349998474,12.930100441,13.1022996902,13.0938997269,12.9861001968,12.9351997375,12.945599556,12.8316001892,12.8220996857,12.8197002411,13.0901002884,13.0335998535,13.0205001831,13.266500473,13.3245000839,13.3270998001,13.1956996918,13.2516002655,13.307800293,13.2313995361,13.2037000656,13.1407003403,13.201499939,12.9397001266,12.9306001663,12.9419002533,12.8281002045,12.8727998734,12.7931995392,12.6614999771,12.8309001923,12.6784000397,12.694899559,12.6393995285,12.8765001297,13.0027999878,13.100399971,13.0496997833,13.0909996033,13.2812995911,13.1829996109,13.195599556,13.0604000092,13.042599678,13.1482000351,13.1267004013,13.0820999146,13.1211996078,13.0894002914,13.107000351,13.1224002838,13.0640001297,12.9814996719,13.1632995605,13.0958003998,13.0411996841,13.0572004318,13.0745000839,13.0361003876,12.9411001205,12.9661998749,13.0994997025,13.0469999313,12.9934997559,13.0566997528,12.9500999451,12.7229003906,12.6194000244,12.4490995407,12.5155000687,12.5047998428,12.5940999985,12.6528997421,12.6288003922,12.6176996231,12.6395998001,12.5968999863,12.6677999496,12.7431001663,12.7416000366,12.7204999924,12.7295999527,12.6809997559,12.6934995651,12.7265996933,12.7899999619,12.7161998749,12.7171001434,12.76720047,12.7645998001,12.679599762,12.75,12.6810998917,12.6338996887,12.654299736,12.5886001587,12.6429004669,12.6625003815,12.6268997192,12.4271001816,12.402299881,12.3956003189,12.4239997864,12.51060009,12.5680999756,12.4287004471,12.3950996399,12.3252000809,12.2981004715,12.3155002594,12.1978998184,12.2505998611,12.2600002289,12.287899971,12.2249002457,12.3073997498,12.4524002075,12.5382995605,12.4982004166,12.5255002975,12.4909000397,12.391500473,12.2479000092,12.2627000809,12.1851997375,12.2003002167,12.1870002747,12.2184000015,12.2541999817,12.0142002106,12.0696001053,12.0153999329,11.7298002243,11.7769002914,11.998000145,12.3620996475,12.4040002823,12.3252000809,12.1111001968,11.968000412,11.8865003586,11.7523002625,11.6817998886,12.0016002655,12.1391000748,12.2624998093,12.4851999283,12.5445995331,12.6578998566,12.8116998672,12.8621997833,12.7385997772,12.8956003189,12.6686000824,12.8959999084,12.9387998581,13.0060997009,13.060500145,13.0240001678,12.98939991,13.0970001221,13.1514997482,13.040599823,12.9736003876,12.9764995575,13.032500267,13.1486997604,13.0619001389,13.1458997726,13.1254997253,13.069899559,13.0018997192,13.0314998627,12.8938999176,12.9329996109,13.0857000351,13.2154998779,13.2309999466,13.205499649,13.1408996582,13.1344995499,13.0514001846,13.0626001358,12.9945001602,13.1925001144,13.015999794,13.2695999146,13.2754001617,13.2617998123,13.1861000061,13.0936002731,13.171500206,13.1953001022,13.3392000198,13.4093999863,13.6107997894,13.7334003448,13.765999794,13.6923999786,13.7854003906,13.8163003922,13.7811002731,13.761300087,13.6519002914,13.6700000763,13.7931995392,13.8738002777,13.8246002197,13.8246002197,13.6521997452,13.5408000946,13.7072000504,13.6529998779,13.6639995575,13.579000473,13.557800293,13.5454998016,13.5961999893,13.488699913,13.4331998825,13.4596004486,13.3559999466,13.4017000198,13.3712997437,13.3807001114,13.2593002319,13.3242998123,13.3065004349,13.2763004303,13.2541999817,13.1291999817,13.0773000717,13.1625003815,13.0825004578,13.1963996887,13.3310003281,13.3736000061,13.3141002655,13.2259998322,13.1665000916,13.0803003311,13.2223997116,13.132399559,13.2392997742,13.2433004379,13.2871999741,13.293800354,13.2142000198,13.2980003357,13.3126001358,13.2077999115,13.0291004181,12.986000061,12.9027996063,12.8774995804,12.8994998932,12.8395004272,13.0602998734,13.046500206,12.9366998672,12.7419996262,12.747300148,12.7714996338,12.7652997971,12.7210998535,12.7039003372,12.751999855,12.6947002411,12.8190002441,12.848400116,12.917599678,12.8016996384,12.7503004074,12.7283000946,12.7432003021,12.7370996475,12.733300209,12.6838998795,12.5427999496,12.5369997025,12.5097999573,12.4535999298,12.3554000854,12.3580999374,12.2741003036,12.1343002319,12.1870002747,12.0662002563,12.0437002182,12.0131998062,12.0951004028,12.1611995697,12.1803998947,12.2384004593,12.7410001755,12.8821001053,13.3114995956,13.6204996109,14.6778001785,15.3133001328,14.3640003204,14.578499794,14.2538003922,14.5621995926,14.1753997803,14.1971998215,14.0516996384,14.4281997681,14.4270000458,14.3837003708,14.4446001053,14.3485002518,14.4033002853,14.4884996414,14.392999649,14.2646999359,14.0694999695,14.0677995682,14.2089996338,14.5233001709,14.4927997589,14.8541002274,14.763299942,14.8101997375,14.6035995483,14.6999998093,14.4729995728,14.288599968,14.2763996124,14.3528003693,14.4334001541,14.4413995743,14.029299736,14.0152997971,14.0160999298,14.2238998413,14.1612997055,14.2798995972,14.4141998291,14.4961996078,14.4643001556,14.4687995911,14.6150999069,14.6106996536,14.6930999756,14.7083997726,14.8361997604,14.5620002747,14.5712995529,14.4819002151,14.579000473,14.5242996216,14.5107002258,14.497300148,14.6817998886,14.7024002075,14.7023000717,14.7103996277,14.7648000717,14.5543003082,14.1646995544,13.9657001495,13.9305000305,14.0347003937,14.054400444,13.962100029,13.7781000137,13.7402000427,14.0593004227,13.9940004349,14.0424003601,14.0574998856,14.0440998077,14.0249004364,13.9041004181,13.9977998734,14.0673999786,14.0732002258,13.9652004242,14.1183004379,14.2378997803,14.3169002533,14.3190002441,14.4388999939,14.3853998184,14.4495000839,14.4829998016,14.3692998886,14.4666996002,14.4499998093,14.5708999634,14.5201997757,14.3877000809,14.519200325,14.5583000183,14.3331003189,14.3121995926,14.2793998718,14.3738002777,14.5131998062,14.4795999527,14.4331998825,14.4930000305,14.4513998032,14.4071998596,14.6765003204,14.7058000565,14.726099968,14.7236003876,14.61439991,14.4453001022,14.430100441,14.44810009,14.4158000946,14.4277000427,14.3013000488,14.2293996811,14.2550001144,14.2688999176,14.2440004349,13.2722997665,13.5018997192,13.6552000046,13.7869997025,13.8451004028,13.942899704,13.9821996689,14.0438995361,14.0586996078,14.0593996048,14.0820999146,14.1272001266,14.0867996216,14.0982999802,14.0943002701,14.1922998428,14.2285003662,14.2132997513,14.3515996933,14.4718999863,14.5003004074,14.4589996338,14.5380001068,14.5710000992,14.6990003586,14.6015996933,14.540599823,14.5406999588,14.601099968,14.6367998123,14.6101999283,14.4805002213,14.476099968,14.4569997787,14.4483995438,14.5361003876,14.4895000458,14.557299614,14.6086997986,14.6415996552,14.6423997879,14.6912002563,14.6314001083,14.7018003464,14.7069997787,14.616399765,14.6645002365,14.6570997238,14.6723003387,14.6331996918,14.6430997849,14.7637996674,14.9160995483,15.067700386,15.067199707,14.9343996048,15.0136003494,15.0893001556,15.079000473,15.093000412,15.1520996094,15.1478996277,15.2378997803,15.2329998016,15.3118000031,15.2974004745,15.3354997635,15.2882995605,15.2818002701,15.3219003677,15.3900995255,15.4750003815,15.5532999039,15.5635995865,15.6414003372,15.5836000443,15.5972995758,15.6317996979,15.6679000854,15.4791002274,15.4188995361,15.5206003189,15.668800354,15.7230997086,15.7242002487,15.6876001358,15.7047996521,15.7881002426,15.8362998962,15.7771997452,15.8767995834,15.9839000702,15.9729003906,16.126499176,16.1606998444,16.4088001251,16.6315994263,16.5736999512,16.2882003784,16.5659008026,16.561000824,16.5914001465,16.5636005402,16.3812999725,16.1968002319,16.3428001404,16.397600174,16.310300827,16.3432006836,16.5855998993,16.5834007263,16.5415000916,16.5400009155,16.6053009033,16.4008998871,16.3658008575,16.3827991486,16.3819007874,16.5090999603,16.507900238,16.410900116,16.5417003632,16.623500824,16.8332004547,16.6891002655,16.6686992645,16.5925998688,16.7754001617,16.8176002502,16.5128993988,16.5921993256,16.7921009064,16.8057994843,16.8486995697,16.9473991394,17.0898990631,17.0048999786,16.960100174,16.8136997223,16.4543991089,16.5557994843,16.5151996613,16.5338001251,16.6909999847,16.6466999054,16.7397994995,16.6760005951,16.6951999664,16.7931995392,16.64220047,16.5629997253,16.4452991486,16.4983005524,16.4647006989,16.1002006531,16.0879001617,16.2236003876,16.1926002502,16.235200882,16.2703990936,16.3745002747,16.3145999908,16.2236003876,16.2220001221,16.3269004822,16.4015007019,16.3400001526,16.2924995422,16.1769008636,16.2397994995,16.1557006836,15.9858999252,16.1695995331,16.2178993225,16.2612991333,16.3633003235,16.3824005127,16.4580993652,16.5207996368,16.5340995789,16.5578994751,16.5652999878,16.5904006958,16.8040008545,17.0400009155,17.0244007111,17.0002994537,17.1354007721,17.2887992859,17.2180995941,17.1387996674,17.0764007568,17.015499115,17.0492992401,17.0541000366,17.0571994781,17.0737991333,17.0976009369,17.1149997711,17.1502990723,17.2336997986,17.2828006744,17.1140995026,16.6903991699,16.8656997681,17.026599884,16.924200058,16.8899993896,17.1063995361,17.1429004669,17.1613998413,17.1548995972,16.932100296,17.1028003693,17.1870994568,17.158700943,17.2003993988,17.3241004944,17.1664009094,16.9923000336,17.0834007263,17.1247005463,17.049200058,17.1182003021,17.1798000336,17.1798992157,17.0503005981,17.0060005188,16.8812999725,16.933599472,16.7626991272,16.5902996063,16.0037002563,16.2730007172,16.4601993561,16.344499588,16.5182991028,16.564699173,16.5519008636,16.755399704,16.6399002075,16.4789009094,16.5282993317,16.9099998474,16.8069992065,16.8703994751,16.8731994629,17.0161991119,17.0230998993,17.1130008698,17.1189002991,17.2698993683,17.313999176,17.331199646,17.2798995972,17.2339992523,17.3255004883,17.3939990997,17.473400116,17.5594997406,17.7203006744,17.7672996521,17.7586994171,17.8920001984,17.8542003632,17.9444999695,17.7045993805,17.5447998047,17.5301990509,17.6868000031,17.67029953,17.3360004425,17.4645004272,17.6445007324,17.6333007812,17.4165000916,17.4398994446,17.3302001953,17.2924995422,17.3733997345,17.4123001099,17.3015995026,17.1660003662,16.9260997772,17.1033000946,17.0499992371,17.0328998566,17.2110996246,17.241399765,17.1840991974,17.2457008362,17.1417999268,17.4435997009,17.2283000946,17.2313995361,17.263299942,16.8841991425,17.0879001617,17.1315002441,17.198299408,16.8787994385,16.9409999847}</c:f>
              <c:numCache>
                <c:formatCode>General</c:formatCode>
                <c:ptCount val="725"/>
                <c:pt idx="0">
                  <c:v>12.9730997086</c:v>
                </c:pt>
                <c:pt idx="1">
                  <c:v>12.9398002625</c:v>
                </c:pt>
                <c:pt idx="2">
                  <c:v>12.9630002975</c:v>
                </c:pt>
                <c:pt idx="3">
                  <c:v>13.0349998474</c:v>
                </c:pt>
                <c:pt idx="4">
                  <c:v>12.930100441</c:v>
                </c:pt>
                <c:pt idx="5">
                  <c:v>13.1022996902</c:v>
                </c:pt>
                <c:pt idx="6">
                  <c:v>13.0938997269</c:v>
                </c:pt>
                <c:pt idx="7">
                  <c:v>12.9861001968</c:v>
                </c:pt>
                <c:pt idx="8">
                  <c:v>12.9351997375</c:v>
                </c:pt>
                <c:pt idx="9">
                  <c:v>12.945599556</c:v>
                </c:pt>
                <c:pt idx="10">
                  <c:v>12.8316001892</c:v>
                </c:pt>
                <c:pt idx="11">
                  <c:v>12.8220996857</c:v>
                </c:pt>
                <c:pt idx="12">
                  <c:v>12.8197002411</c:v>
                </c:pt>
                <c:pt idx="13">
                  <c:v>13.0901002884</c:v>
                </c:pt>
                <c:pt idx="14">
                  <c:v>13.0335998535</c:v>
                </c:pt>
                <c:pt idx="15">
                  <c:v>13.0205001831</c:v>
                </c:pt>
                <c:pt idx="16">
                  <c:v>13.266500473</c:v>
                </c:pt>
                <c:pt idx="17">
                  <c:v>13.3245000839</c:v>
                </c:pt>
                <c:pt idx="18">
                  <c:v>13.3270998001</c:v>
                </c:pt>
                <c:pt idx="19">
                  <c:v>13.1956996918</c:v>
                </c:pt>
                <c:pt idx="20">
                  <c:v>13.2516002655</c:v>
                </c:pt>
                <c:pt idx="21">
                  <c:v>13.307800293</c:v>
                </c:pt>
                <c:pt idx="22">
                  <c:v>13.2313995361</c:v>
                </c:pt>
                <c:pt idx="23">
                  <c:v>13.2037000656</c:v>
                </c:pt>
                <c:pt idx="24">
                  <c:v>13.1407003403</c:v>
                </c:pt>
                <c:pt idx="25">
                  <c:v>13.201499939</c:v>
                </c:pt>
                <c:pt idx="26">
                  <c:v>12.9397001266</c:v>
                </c:pt>
                <c:pt idx="27">
                  <c:v>12.9306001663</c:v>
                </c:pt>
                <c:pt idx="28">
                  <c:v>12.9419002533</c:v>
                </c:pt>
                <c:pt idx="29">
                  <c:v>12.8281002045</c:v>
                </c:pt>
                <c:pt idx="30">
                  <c:v>12.8727998734</c:v>
                </c:pt>
                <c:pt idx="31">
                  <c:v>12.7931995392</c:v>
                </c:pt>
                <c:pt idx="32">
                  <c:v>12.6614999771</c:v>
                </c:pt>
                <c:pt idx="33">
                  <c:v>12.8309001923</c:v>
                </c:pt>
                <c:pt idx="34">
                  <c:v>12.6784000397</c:v>
                </c:pt>
                <c:pt idx="35">
                  <c:v>12.694899559</c:v>
                </c:pt>
                <c:pt idx="36">
                  <c:v>12.6393995285</c:v>
                </c:pt>
                <c:pt idx="37">
                  <c:v>12.8765001297</c:v>
                </c:pt>
                <c:pt idx="38">
                  <c:v>13.0027999878</c:v>
                </c:pt>
                <c:pt idx="39">
                  <c:v>13.100399971</c:v>
                </c:pt>
                <c:pt idx="40">
                  <c:v>13.0496997833</c:v>
                </c:pt>
                <c:pt idx="41">
                  <c:v>13.0909996033</c:v>
                </c:pt>
                <c:pt idx="42">
                  <c:v>13.2812995911</c:v>
                </c:pt>
                <c:pt idx="43">
                  <c:v>13.1829996109</c:v>
                </c:pt>
                <c:pt idx="44">
                  <c:v>13.195599556</c:v>
                </c:pt>
                <c:pt idx="45">
                  <c:v>13.0604000092</c:v>
                </c:pt>
                <c:pt idx="46">
                  <c:v>13.042599678</c:v>
                </c:pt>
                <c:pt idx="47">
                  <c:v>13.1482000351</c:v>
                </c:pt>
                <c:pt idx="48">
                  <c:v>13.1267004013</c:v>
                </c:pt>
                <c:pt idx="49">
                  <c:v>13.0820999146</c:v>
                </c:pt>
                <c:pt idx="50">
                  <c:v>13.1211996078</c:v>
                </c:pt>
                <c:pt idx="51">
                  <c:v>13.0894002914</c:v>
                </c:pt>
                <c:pt idx="52">
                  <c:v>13.107000351</c:v>
                </c:pt>
                <c:pt idx="53">
                  <c:v>13.1224002838</c:v>
                </c:pt>
                <c:pt idx="54">
                  <c:v>13.0640001297</c:v>
                </c:pt>
                <c:pt idx="55">
                  <c:v>12.9814996719</c:v>
                </c:pt>
                <c:pt idx="56">
                  <c:v>13.1632995605</c:v>
                </c:pt>
                <c:pt idx="57">
                  <c:v>13.0958003998</c:v>
                </c:pt>
                <c:pt idx="58">
                  <c:v>13.0411996841</c:v>
                </c:pt>
                <c:pt idx="59">
                  <c:v>13.0572004318</c:v>
                </c:pt>
                <c:pt idx="60">
                  <c:v>13.0745000839</c:v>
                </c:pt>
                <c:pt idx="61">
                  <c:v>13.0361003876</c:v>
                </c:pt>
                <c:pt idx="62">
                  <c:v>12.9411001205</c:v>
                </c:pt>
                <c:pt idx="63">
                  <c:v>12.9661998749</c:v>
                </c:pt>
                <c:pt idx="64">
                  <c:v>13.0994997025</c:v>
                </c:pt>
                <c:pt idx="65">
                  <c:v>13.0469999313</c:v>
                </c:pt>
                <c:pt idx="66">
                  <c:v>12.9934997559</c:v>
                </c:pt>
                <c:pt idx="67">
                  <c:v>13.0566997528</c:v>
                </c:pt>
                <c:pt idx="68">
                  <c:v>12.9500999451</c:v>
                </c:pt>
                <c:pt idx="69">
                  <c:v>12.7229003906</c:v>
                </c:pt>
                <c:pt idx="70">
                  <c:v>12.6194000244</c:v>
                </c:pt>
                <c:pt idx="71">
                  <c:v>12.4490995407</c:v>
                </c:pt>
                <c:pt idx="72">
                  <c:v>12.5155000687</c:v>
                </c:pt>
                <c:pt idx="73">
                  <c:v>12.5047998428</c:v>
                </c:pt>
                <c:pt idx="74">
                  <c:v>12.5940999985</c:v>
                </c:pt>
                <c:pt idx="75">
                  <c:v>12.6528997421</c:v>
                </c:pt>
                <c:pt idx="76">
                  <c:v>12.6288003922</c:v>
                </c:pt>
                <c:pt idx="77">
                  <c:v>12.6176996231</c:v>
                </c:pt>
                <c:pt idx="78">
                  <c:v>12.6395998001</c:v>
                </c:pt>
                <c:pt idx="79">
                  <c:v>12.5968999863</c:v>
                </c:pt>
                <c:pt idx="80">
                  <c:v>12.6677999496</c:v>
                </c:pt>
                <c:pt idx="81">
                  <c:v>12.7431001663</c:v>
                </c:pt>
                <c:pt idx="82">
                  <c:v>12.7416000366</c:v>
                </c:pt>
                <c:pt idx="83">
                  <c:v>12.7204999924</c:v>
                </c:pt>
                <c:pt idx="84">
                  <c:v>12.7295999527</c:v>
                </c:pt>
                <c:pt idx="85">
                  <c:v>12.6809997559</c:v>
                </c:pt>
                <c:pt idx="86">
                  <c:v>12.6934995651</c:v>
                </c:pt>
                <c:pt idx="87">
                  <c:v>12.7265996933</c:v>
                </c:pt>
                <c:pt idx="88">
                  <c:v>12.7899999619</c:v>
                </c:pt>
                <c:pt idx="89">
                  <c:v>12.7161998749</c:v>
                </c:pt>
                <c:pt idx="90">
                  <c:v>12.7171001434</c:v>
                </c:pt>
                <c:pt idx="91">
                  <c:v>12.76720047</c:v>
                </c:pt>
                <c:pt idx="92">
                  <c:v>12.7645998001</c:v>
                </c:pt>
                <c:pt idx="93">
                  <c:v>12.679599762</c:v>
                </c:pt>
                <c:pt idx="94">
                  <c:v>12.75</c:v>
                </c:pt>
                <c:pt idx="95">
                  <c:v>12.6810998917</c:v>
                </c:pt>
                <c:pt idx="96">
                  <c:v>12.6338996887</c:v>
                </c:pt>
                <c:pt idx="97">
                  <c:v>12.654299736</c:v>
                </c:pt>
                <c:pt idx="98">
                  <c:v>12.5886001587</c:v>
                </c:pt>
                <c:pt idx="99">
                  <c:v>12.6429004669</c:v>
                </c:pt>
                <c:pt idx="100">
                  <c:v>12.6625003815</c:v>
                </c:pt>
                <c:pt idx="101">
                  <c:v>12.6268997192</c:v>
                </c:pt>
                <c:pt idx="102">
                  <c:v>12.4271001816</c:v>
                </c:pt>
                <c:pt idx="103">
                  <c:v>12.402299881</c:v>
                </c:pt>
                <c:pt idx="104">
                  <c:v>12.3956003189</c:v>
                </c:pt>
                <c:pt idx="105">
                  <c:v>12.4239997864</c:v>
                </c:pt>
                <c:pt idx="106">
                  <c:v>12.51060009</c:v>
                </c:pt>
                <c:pt idx="107">
                  <c:v>12.5680999756</c:v>
                </c:pt>
                <c:pt idx="108">
                  <c:v>12.4287004471</c:v>
                </c:pt>
                <c:pt idx="109">
                  <c:v>12.3950996399</c:v>
                </c:pt>
                <c:pt idx="110">
                  <c:v>12.3252000809</c:v>
                </c:pt>
                <c:pt idx="111">
                  <c:v>12.2981004715</c:v>
                </c:pt>
                <c:pt idx="112">
                  <c:v>12.3155002594</c:v>
                </c:pt>
                <c:pt idx="113">
                  <c:v>12.1978998184</c:v>
                </c:pt>
                <c:pt idx="114">
                  <c:v>12.2505998611</c:v>
                </c:pt>
                <c:pt idx="115">
                  <c:v>12.2600002289</c:v>
                </c:pt>
                <c:pt idx="116">
                  <c:v>12.287899971</c:v>
                </c:pt>
                <c:pt idx="117">
                  <c:v>12.2249002457</c:v>
                </c:pt>
                <c:pt idx="118">
                  <c:v>12.3073997498</c:v>
                </c:pt>
                <c:pt idx="119">
                  <c:v>12.4524002075</c:v>
                </c:pt>
                <c:pt idx="120">
                  <c:v>12.5382995605</c:v>
                </c:pt>
                <c:pt idx="121">
                  <c:v>12.4982004166</c:v>
                </c:pt>
                <c:pt idx="122">
                  <c:v>12.5255002975</c:v>
                </c:pt>
                <c:pt idx="123">
                  <c:v>12.4909000397</c:v>
                </c:pt>
                <c:pt idx="124">
                  <c:v>12.391500473</c:v>
                </c:pt>
                <c:pt idx="125">
                  <c:v>12.2479000092</c:v>
                </c:pt>
                <c:pt idx="126">
                  <c:v>12.2627000809</c:v>
                </c:pt>
                <c:pt idx="127">
                  <c:v>12.1851997375</c:v>
                </c:pt>
                <c:pt idx="128">
                  <c:v>12.2003002167</c:v>
                </c:pt>
                <c:pt idx="129">
                  <c:v>12.1870002747</c:v>
                </c:pt>
                <c:pt idx="130">
                  <c:v>12.2184000015</c:v>
                </c:pt>
                <c:pt idx="131">
                  <c:v>12.2541999817</c:v>
                </c:pt>
                <c:pt idx="132">
                  <c:v>12.0142002106</c:v>
                </c:pt>
                <c:pt idx="133">
                  <c:v>12.0696001053</c:v>
                </c:pt>
                <c:pt idx="134">
                  <c:v>12.0153999329</c:v>
                </c:pt>
                <c:pt idx="135">
                  <c:v>11.7298002243</c:v>
                </c:pt>
                <c:pt idx="136">
                  <c:v>11.7769002914</c:v>
                </c:pt>
                <c:pt idx="137">
                  <c:v>11.998000145</c:v>
                </c:pt>
                <c:pt idx="138">
                  <c:v>12.3620996475</c:v>
                </c:pt>
                <c:pt idx="139">
                  <c:v>12.4040002823</c:v>
                </c:pt>
                <c:pt idx="140">
                  <c:v>12.3252000809</c:v>
                </c:pt>
                <c:pt idx="141">
                  <c:v>12.1111001968</c:v>
                </c:pt>
                <c:pt idx="142">
                  <c:v>11.968000412</c:v>
                </c:pt>
                <c:pt idx="143">
                  <c:v>11.8865003586</c:v>
                </c:pt>
                <c:pt idx="144">
                  <c:v>11.7523002625</c:v>
                </c:pt>
                <c:pt idx="145">
                  <c:v>11.6817998886</c:v>
                </c:pt>
                <c:pt idx="146">
                  <c:v>12.0016002655</c:v>
                </c:pt>
                <c:pt idx="147">
                  <c:v>12.1391000748</c:v>
                </c:pt>
                <c:pt idx="148">
                  <c:v>12.2624998093</c:v>
                </c:pt>
                <c:pt idx="149">
                  <c:v>12.4851999283</c:v>
                </c:pt>
                <c:pt idx="150">
                  <c:v>12.5445995331</c:v>
                </c:pt>
                <c:pt idx="151">
                  <c:v>12.6578998566</c:v>
                </c:pt>
                <c:pt idx="152">
                  <c:v>12.8116998672</c:v>
                </c:pt>
                <c:pt idx="153">
                  <c:v>12.8621997833</c:v>
                </c:pt>
                <c:pt idx="154">
                  <c:v>12.7385997772</c:v>
                </c:pt>
                <c:pt idx="155">
                  <c:v>12.8956003189</c:v>
                </c:pt>
                <c:pt idx="156">
                  <c:v>12.6686000824</c:v>
                </c:pt>
                <c:pt idx="157">
                  <c:v>12.8959999084</c:v>
                </c:pt>
                <c:pt idx="158">
                  <c:v>12.9387998581</c:v>
                </c:pt>
                <c:pt idx="159">
                  <c:v>13.0060997009</c:v>
                </c:pt>
                <c:pt idx="160">
                  <c:v>13.060500145</c:v>
                </c:pt>
                <c:pt idx="161">
                  <c:v>13.0240001678</c:v>
                </c:pt>
                <c:pt idx="162">
                  <c:v>12.98939991</c:v>
                </c:pt>
                <c:pt idx="163">
                  <c:v>13.0970001221</c:v>
                </c:pt>
                <c:pt idx="164">
                  <c:v>13.1514997482</c:v>
                </c:pt>
                <c:pt idx="165">
                  <c:v>13.040599823</c:v>
                </c:pt>
                <c:pt idx="166">
                  <c:v>12.9736003876</c:v>
                </c:pt>
                <c:pt idx="167">
                  <c:v>12.9764995575</c:v>
                </c:pt>
                <c:pt idx="168">
                  <c:v>13.032500267</c:v>
                </c:pt>
                <c:pt idx="169">
                  <c:v>13.1486997604</c:v>
                </c:pt>
                <c:pt idx="170">
                  <c:v>13.0619001389</c:v>
                </c:pt>
                <c:pt idx="171">
                  <c:v>13.1458997726</c:v>
                </c:pt>
                <c:pt idx="172">
                  <c:v>13.1254997253</c:v>
                </c:pt>
                <c:pt idx="173">
                  <c:v>13.069899559</c:v>
                </c:pt>
                <c:pt idx="174">
                  <c:v>13.0018997192</c:v>
                </c:pt>
                <c:pt idx="175">
                  <c:v>13.0314998627</c:v>
                </c:pt>
                <c:pt idx="176">
                  <c:v>12.8938999176</c:v>
                </c:pt>
                <c:pt idx="177">
                  <c:v>12.9329996109</c:v>
                </c:pt>
                <c:pt idx="178">
                  <c:v>13.0857000351</c:v>
                </c:pt>
                <c:pt idx="179">
                  <c:v>13.2154998779</c:v>
                </c:pt>
                <c:pt idx="180">
                  <c:v>13.2309999466</c:v>
                </c:pt>
                <c:pt idx="181">
                  <c:v>13.205499649</c:v>
                </c:pt>
                <c:pt idx="182">
                  <c:v>13.1408996582</c:v>
                </c:pt>
                <c:pt idx="183">
                  <c:v>13.1344995499</c:v>
                </c:pt>
                <c:pt idx="184">
                  <c:v>13.0514001846</c:v>
                </c:pt>
                <c:pt idx="185">
                  <c:v>13.0626001358</c:v>
                </c:pt>
                <c:pt idx="186">
                  <c:v>12.9945001602</c:v>
                </c:pt>
                <c:pt idx="187">
                  <c:v>13.1925001144</c:v>
                </c:pt>
                <c:pt idx="188">
                  <c:v>13.015999794</c:v>
                </c:pt>
                <c:pt idx="189">
                  <c:v>13.2695999146</c:v>
                </c:pt>
                <c:pt idx="190">
                  <c:v>13.2754001617</c:v>
                </c:pt>
                <c:pt idx="191">
                  <c:v>13.2617998123</c:v>
                </c:pt>
                <c:pt idx="192">
                  <c:v>13.1861000061</c:v>
                </c:pt>
                <c:pt idx="193">
                  <c:v>13.0936002731</c:v>
                </c:pt>
                <c:pt idx="194">
                  <c:v>13.171500206</c:v>
                </c:pt>
                <c:pt idx="195">
                  <c:v>13.1953001022</c:v>
                </c:pt>
                <c:pt idx="196">
                  <c:v>13.3392000198</c:v>
                </c:pt>
                <c:pt idx="197">
                  <c:v>13.4093999863</c:v>
                </c:pt>
                <c:pt idx="198">
                  <c:v>13.6107997894</c:v>
                </c:pt>
                <c:pt idx="199">
                  <c:v>13.7334003448</c:v>
                </c:pt>
                <c:pt idx="200">
                  <c:v>13.765999794</c:v>
                </c:pt>
                <c:pt idx="201">
                  <c:v>13.6923999786</c:v>
                </c:pt>
                <c:pt idx="202">
                  <c:v>13.7854003906</c:v>
                </c:pt>
                <c:pt idx="203">
                  <c:v>13.8163003922</c:v>
                </c:pt>
                <c:pt idx="204">
                  <c:v>13.7811002731</c:v>
                </c:pt>
                <c:pt idx="205">
                  <c:v>13.761300087</c:v>
                </c:pt>
                <c:pt idx="206">
                  <c:v>13.6519002914</c:v>
                </c:pt>
                <c:pt idx="207">
                  <c:v>13.6700000763</c:v>
                </c:pt>
                <c:pt idx="208">
                  <c:v>13.7931995392</c:v>
                </c:pt>
                <c:pt idx="209">
                  <c:v>13.8738002777</c:v>
                </c:pt>
                <c:pt idx="210">
                  <c:v>13.8246002197</c:v>
                </c:pt>
                <c:pt idx="211">
                  <c:v>13.8246002197</c:v>
                </c:pt>
                <c:pt idx="212">
                  <c:v>13.6521997452</c:v>
                </c:pt>
                <c:pt idx="213">
                  <c:v>13.5408000946</c:v>
                </c:pt>
                <c:pt idx="214">
                  <c:v>13.7072000504</c:v>
                </c:pt>
                <c:pt idx="215">
                  <c:v>13.6529998779</c:v>
                </c:pt>
                <c:pt idx="216">
                  <c:v>13.6639995575</c:v>
                </c:pt>
                <c:pt idx="217">
                  <c:v>13.579000473</c:v>
                </c:pt>
                <c:pt idx="218">
                  <c:v>13.557800293</c:v>
                </c:pt>
                <c:pt idx="219">
                  <c:v>13.5454998016</c:v>
                </c:pt>
                <c:pt idx="220">
                  <c:v>13.5961999893</c:v>
                </c:pt>
                <c:pt idx="221">
                  <c:v>13.488699913</c:v>
                </c:pt>
                <c:pt idx="222">
                  <c:v>13.4331998825</c:v>
                </c:pt>
                <c:pt idx="223">
                  <c:v>13.4596004486</c:v>
                </c:pt>
                <c:pt idx="224">
                  <c:v>13.3559999466</c:v>
                </c:pt>
                <c:pt idx="225">
                  <c:v>13.4017000198</c:v>
                </c:pt>
                <c:pt idx="226">
                  <c:v>13.3712997437</c:v>
                </c:pt>
                <c:pt idx="227">
                  <c:v>13.3807001114</c:v>
                </c:pt>
                <c:pt idx="228">
                  <c:v>13.2593002319</c:v>
                </c:pt>
                <c:pt idx="229">
                  <c:v>13.3242998123</c:v>
                </c:pt>
                <c:pt idx="230">
                  <c:v>13.3065004349</c:v>
                </c:pt>
                <c:pt idx="231">
                  <c:v>13.2763004303</c:v>
                </c:pt>
                <c:pt idx="232">
                  <c:v>13.2541999817</c:v>
                </c:pt>
                <c:pt idx="233">
                  <c:v>13.1291999817</c:v>
                </c:pt>
                <c:pt idx="234">
                  <c:v>13.0773000717</c:v>
                </c:pt>
                <c:pt idx="235">
                  <c:v>13.1625003815</c:v>
                </c:pt>
                <c:pt idx="236">
                  <c:v>13.0825004578</c:v>
                </c:pt>
                <c:pt idx="237">
                  <c:v>13.1963996887</c:v>
                </c:pt>
                <c:pt idx="238">
                  <c:v>13.3310003281</c:v>
                </c:pt>
                <c:pt idx="239">
                  <c:v>13.3736000061</c:v>
                </c:pt>
                <c:pt idx="240">
                  <c:v>13.3141002655</c:v>
                </c:pt>
                <c:pt idx="241">
                  <c:v>13.2259998322</c:v>
                </c:pt>
                <c:pt idx="242">
                  <c:v>13.1665000916</c:v>
                </c:pt>
                <c:pt idx="243">
                  <c:v>13.0803003311</c:v>
                </c:pt>
                <c:pt idx="244">
                  <c:v>13.2223997116</c:v>
                </c:pt>
                <c:pt idx="245">
                  <c:v>13.132399559</c:v>
                </c:pt>
                <c:pt idx="246">
                  <c:v>13.2392997742</c:v>
                </c:pt>
                <c:pt idx="247">
                  <c:v>13.2433004379</c:v>
                </c:pt>
                <c:pt idx="248">
                  <c:v>13.2871999741</c:v>
                </c:pt>
                <c:pt idx="249">
                  <c:v>13.293800354</c:v>
                </c:pt>
                <c:pt idx="250">
                  <c:v>13.2142000198</c:v>
                </c:pt>
                <c:pt idx="251">
                  <c:v>13.2980003357</c:v>
                </c:pt>
                <c:pt idx="252">
                  <c:v>13.3126001358</c:v>
                </c:pt>
                <c:pt idx="253">
                  <c:v>13.2077999115</c:v>
                </c:pt>
                <c:pt idx="254">
                  <c:v>13.0291004181</c:v>
                </c:pt>
                <c:pt idx="255">
                  <c:v>12.986000061</c:v>
                </c:pt>
                <c:pt idx="256">
                  <c:v>12.9027996063</c:v>
                </c:pt>
                <c:pt idx="257">
                  <c:v>12.8774995804</c:v>
                </c:pt>
                <c:pt idx="258">
                  <c:v>12.8994998932</c:v>
                </c:pt>
                <c:pt idx="259">
                  <c:v>12.8395004272</c:v>
                </c:pt>
                <c:pt idx="260">
                  <c:v>13.0602998734</c:v>
                </c:pt>
                <c:pt idx="261">
                  <c:v>13.046500206</c:v>
                </c:pt>
                <c:pt idx="262">
                  <c:v>12.9366998672</c:v>
                </c:pt>
                <c:pt idx="263">
                  <c:v>12.7419996262</c:v>
                </c:pt>
                <c:pt idx="264">
                  <c:v>12.747300148</c:v>
                </c:pt>
                <c:pt idx="265">
                  <c:v>12.7714996338</c:v>
                </c:pt>
                <c:pt idx="266">
                  <c:v>12.7652997971</c:v>
                </c:pt>
                <c:pt idx="267">
                  <c:v>12.7210998535</c:v>
                </c:pt>
                <c:pt idx="268">
                  <c:v>12.7039003372</c:v>
                </c:pt>
                <c:pt idx="269">
                  <c:v>12.751999855</c:v>
                </c:pt>
                <c:pt idx="270">
                  <c:v>12.6947002411</c:v>
                </c:pt>
                <c:pt idx="271">
                  <c:v>12.8190002441</c:v>
                </c:pt>
                <c:pt idx="272">
                  <c:v>12.848400116</c:v>
                </c:pt>
                <c:pt idx="273">
                  <c:v>12.917599678</c:v>
                </c:pt>
                <c:pt idx="274">
                  <c:v>12.8016996384</c:v>
                </c:pt>
                <c:pt idx="275">
                  <c:v>12.7503004074</c:v>
                </c:pt>
                <c:pt idx="276">
                  <c:v>12.7283000946</c:v>
                </c:pt>
                <c:pt idx="277">
                  <c:v>12.7432003021</c:v>
                </c:pt>
                <c:pt idx="278">
                  <c:v>12.7370996475</c:v>
                </c:pt>
                <c:pt idx="279">
                  <c:v>12.733300209</c:v>
                </c:pt>
                <c:pt idx="280">
                  <c:v>12.6838998795</c:v>
                </c:pt>
                <c:pt idx="281">
                  <c:v>12.5427999496</c:v>
                </c:pt>
                <c:pt idx="282">
                  <c:v>12.5369997025</c:v>
                </c:pt>
                <c:pt idx="283">
                  <c:v>12.5097999573</c:v>
                </c:pt>
                <c:pt idx="284">
                  <c:v>12.4535999298</c:v>
                </c:pt>
                <c:pt idx="285">
                  <c:v>12.3554000854</c:v>
                </c:pt>
                <c:pt idx="286">
                  <c:v>12.3580999374</c:v>
                </c:pt>
                <c:pt idx="287">
                  <c:v>12.2741003036</c:v>
                </c:pt>
                <c:pt idx="288">
                  <c:v>12.1343002319</c:v>
                </c:pt>
                <c:pt idx="289">
                  <c:v>12.1870002747</c:v>
                </c:pt>
                <c:pt idx="290">
                  <c:v>12.0662002563</c:v>
                </c:pt>
                <c:pt idx="291">
                  <c:v>12.0437002182</c:v>
                </c:pt>
                <c:pt idx="292">
                  <c:v>12.0131998062</c:v>
                </c:pt>
                <c:pt idx="293">
                  <c:v>12.0951004028</c:v>
                </c:pt>
                <c:pt idx="294">
                  <c:v>12.1611995697</c:v>
                </c:pt>
                <c:pt idx="295">
                  <c:v>12.1803998947</c:v>
                </c:pt>
                <c:pt idx="296">
                  <c:v>12.2384004593</c:v>
                </c:pt>
                <c:pt idx="297">
                  <c:v>12.7410001755</c:v>
                </c:pt>
                <c:pt idx="298">
                  <c:v>12.8821001053</c:v>
                </c:pt>
                <c:pt idx="299">
                  <c:v>13.3114995956</c:v>
                </c:pt>
                <c:pt idx="300">
                  <c:v>13.6204996109</c:v>
                </c:pt>
                <c:pt idx="301">
                  <c:v>14.6778001785</c:v>
                </c:pt>
                <c:pt idx="302">
                  <c:v>15.3133001328</c:v>
                </c:pt>
                <c:pt idx="303">
                  <c:v>14.3640003204</c:v>
                </c:pt>
                <c:pt idx="304">
                  <c:v>14.578499794</c:v>
                </c:pt>
                <c:pt idx="305">
                  <c:v>14.2538003922</c:v>
                </c:pt>
                <c:pt idx="306">
                  <c:v>14.5621995926</c:v>
                </c:pt>
                <c:pt idx="307">
                  <c:v>14.1753997803</c:v>
                </c:pt>
                <c:pt idx="308">
                  <c:v>14.1971998215</c:v>
                </c:pt>
                <c:pt idx="309">
                  <c:v>14.0516996384</c:v>
                </c:pt>
                <c:pt idx="310">
                  <c:v>14.4281997681</c:v>
                </c:pt>
                <c:pt idx="311">
                  <c:v>14.4270000458</c:v>
                </c:pt>
                <c:pt idx="312">
                  <c:v>14.3837003708</c:v>
                </c:pt>
                <c:pt idx="313">
                  <c:v>14.4446001053</c:v>
                </c:pt>
                <c:pt idx="314">
                  <c:v>14.3485002518</c:v>
                </c:pt>
                <c:pt idx="315">
                  <c:v>14.4033002853</c:v>
                </c:pt>
                <c:pt idx="316">
                  <c:v>14.4884996414</c:v>
                </c:pt>
                <c:pt idx="317">
                  <c:v>14.392999649</c:v>
                </c:pt>
                <c:pt idx="318">
                  <c:v>14.2646999359</c:v>
                </c:pt>
                <c:pt idx="319">
                  <c:v>14.0694999695</c:v>
                </c:pt>
                <c:pt idx="320">
                  <c:v>14.0677995682</c:v>
                </c:pt>
                <c:pt idx="321">
                  <c:v>14.2089996338</c:v>
                </c:pt>
                <c:pt idx="322">
                  <c:v>14.5233001709</c:v>
                </c:pt>
                <c:pt idx="323">
                  <c:v>14.4927997589</c:v>
                </c:pt>
                <c:pt idx="324">
                  <c:v>14.8541002274</c:v>
                </c:pt>
                <c:pt idx="325">
                  <c:v>14.763299942</c:v>
                </c:pt>
                <c:pt idx="326">
                  <c:v>14.8101997375</c:v>
                </c:pt>
                <c:pt idx="327">
                  <c:v>14.6035995483</c:v>
                </c:pt>
                <c:pt idx="328">
                  <c:v>14.6999998093</c:v>
                </c:pt>
                <c:pt idx="329">
                  <c:v>14.4729995728</c:v>
                </c:pt>
                <c:pt idx="330">
                  <c:v>14.288599968</c:v>
                </c:pt>
                <c:pt idx="331">
                  <c:v>14.2763996124</c:v>
                </c:pt>
                <c:pt idx="332">
                  <c:v>14.3528003693</c:v>
                </c:pt>
                <c:pt idx="333">
                  <c:v>14.4334001541</c:v>
                </c:pt>
                <c:pt idx="334">
                  <c:v>14.4413995743</c:v>
                </c:pt>
                <c:pt idx="335">
                  <c:v>14.029299736</c:v>
                </c:pt>
                <c:pt idx="336">
                  <c:v>14.0152997971</c:v>
                </c:pt>
                <c:pt idx="337">
                  <c:v>14.0160999298</c:v>
                </c:pt>
                <c:pt idx="338">
                  <c:v>14.2238998413</c:v>
                </c:pt>
                <c:pt idx="339">
                  <c:v>14.1612997055</c:v>
                </c:pt>
                <c:pt idx="340">
                  <c:v>14.2798995972</c:v>
                </c:pt>
                <c:pt idx="341">
                  <c:v>14.4141998291</c:v>
                </c:pt>
                <c:pt idx="342">
                  <c:v>14.4961996078</c:v>
                </c:pt>
                <c:pt idx="343">
                  <c:v>14.4643001556</c:v>
                </c:pt>
                <c:pt idx="344">
                  <c:v>14.4687995911</c:v>
                </c:pt>
                <c:pt idx="345">
                  <c:v>14.6150999069</c:v>
                </c:pt>
                <c:pt idx="346">
                  <c:v>14.6106996536</c:v>
                </c:pt>
                <c:pt idx="347">
                  <c:v>14.6930999756</c:v>
                </c:pt>
                <c:pt idx="348">
                  <c:v>14.7083997726</c:v>
                </c:pt>
                <c:pt idx="349">
                  <c:v>14.8361997604</c:v>
                </c:pt>
                <c:pt idx="350">
                  <c:v>14.5620002747</c:v>
                </c:pt>
                <c:pt idx="351">
                  <c:v>14.5712995529</c:v>
                </c:pt>
                <c:pt idx="352">
                  <c:v>14.4819002151</c:v>
                </c:pt>
                <c:pt idx="353">
                  <c:v>14.579000473</c:v>
                </c:pt>
                <c:pt idx="354">
                  <c:v>14.5242996216</c:v>
                </c:pt>
                <c:pt idx="355">
                  <c:v>14.5107002258</c:v>
                </c:pt>
                <c:pt idx="356">
                  <c:v>14.497300148</c:v>
                </c:pt>
                <c:pt idx="357">
                  <c:v>14.6817998886</c:v>
                </c:pt>
                <c:pt idx="358">
                  <c:v>14.7024002075</c:v>
                </c:pt>
                <c:pt idx="359">
                  <c:v>14.7023000717</c:v>
                </c:pt>
                <c:pt idx="360">
                  <c:v>14.7103996277</c:v>
                </c:pt>
                <c:pt idx="361">
                  <c:v>14.7648000717</c:v>
                </c:pt>
                <c:pt idx="362">
                  <c:v>14.5543003082</c:v>
                </c:pt>
                <c:pt idx="363">
                  <c:v>14.1646995544</c:v>
                </c:pt>
                <c:pt idx="364">
                  <c:v>13.9657001495</c:v>
                </c:pt>
                <c:pt idx="365">
                  <c:v>13.9305000305</c:v>
                </c:pt>
                <c:pt idx="366">
                  <c:v>14.0347003937</c:v>
                </c:pt>
                <c:pt idx="367">
                  <c:v>14.054400444</c:v>
                </c:pt>
                <c:pt idx="368">
                  <c:v>13.962100029</c:v>
                </c:pt>
                <c:pt idx="369">
                  <c:v>13.7781000137</c:v>
                </c:pt>
                <c:pt idx="370">
                  <c:v>13.7402000427</c:v>
                </c:pt>
                <c:pt idx="371">
                  <c:v>14.0593004227</c:v>
                </c:pt>
                <c:pt idx="372">
                  <c:v>13.9940004349</c:v>
                </c:pt>
                <c:pt idx="373">
                  <c:v>14.0424003601</c:v>
                </c:pt>
                <c:pt idx="374">
                  <c:v>14.0574998856</c:v>
                </c:pt>
                <c:pt idx="375">
                  <c:v>14.0440998077</c:v>
                </c:pt>
                <c:pt idx="376">
                  <c:v>14.0249004364</c:v>
                </c:pt>
                <c:pt idx="377">
                  <c:v>13.9041004181</c:v>
                </c:pt>
                <c:pt idx="378">
                  <c:v>13.9977998734</c:v>
                </c:pt>
                <c:pt idx="379">
                  <c:v>14.0673999786</c:v>
                </c:pt>
                <c:pt idx="380">
                  <c:v>14.0732002258</c:v>
                </c:pt>
                <c:pt idx="381">
                  <c:v>13.9652004242</c:v>
                </c:pt>
                <c:pt idx="382">
                  <c:v>14.1183004379</c:v>
                </c:pt>
                <c:pt idx="383">
                  <c:v>14.2378997803</c:v>
                </c:pt>
                <c:pt idx="384">
                  <c:v>14.3169002533</c:v>
                </c:pt>
                <c:pt idx="385">
                  <c:v>14.3190002441</c:v>
                </c:pt>
                <c:pt idx="386">
                  <c:v>14.4388999939</c:v>
                </c:pt>
                <c:pt idx="387">
                  <c:v>14.3853998184</c:v>
                </c:pt>
                <c:pt idx="388">
                  <c:v>14.4495000839</c:v>
                </c:pt>
                <c:pt idx="389">
                  <c:v>14.4829998016</c:v>
                </c:pt>
                <c:pt idx="390">
                  <c:v>14.3692998886</c:v>
                </c:pt>
                <c:pt idx="391">
                  <c:v>14.4666996002</c:v>
                </c:pt>
                <c:pt idx="392">
                  <c:v>14.4499998093</c:v>
                </c:pt>
                <c:pt idx="393">
                  <c:v>14.5708999634</c:v>
                </c:pt>
                <c:pt idx="394">
                  <c:v>14.5201997757</c:v>
                </c:pt>
                <c:pt idx="395">
                  <c:v>14.3877000809</c:v>
                </c:pt>
                <c:pt idx="396">
                  <c:v>14.519200325</c:v>
                </c:pt>
                <c:pt idx="397">
                  <c:v>14.5583000183</c:v>
                </c:pt>
                <c:pt idx="398">
                  <c:v>14.3331003189</c:v>
                </c:pt>
                <c:pt idx="399">
                  <c:v>14.3121995926</c:v>
                </c:pt>
                <c:pt idx="400">
                  <c:v>14.2793998718</c:v>
                </c:pt>
                <c:pt idx="401">
                  <c:v>14.3738002777</c:v>
                </c:pt>
                <c:pt idx="402">
                  <c:v>14.5131998062</c:v>
                </c:pt>
                <c:pt idx="403">
                  <c:v>14.4795999527</c:v>
                </c:pt>
                <c:pt idx="404">
                  <c:v>14.4331998825</c:v>
                </c:pt>
                <c:pt idx="405">
                  <c:v>14.4930000305</c:v>
                </c:pt>
                <c:pt idx="406">
                  <c:v>14.4513998032</c:v>
                </c:pt>
                <c:pt idx="407">
                  <c:v>14.4071998596</c:v>
                </c:pt>
                <c:pt idx="408">
                  <c:v>14.6765003204</c:v>
                </c:pt>
                <c:pt idx="409">
                  <c:v>14.7058000565</c:v>
                </c:pt>
                <c:pt idx="410">
                  <c:v>14.726099968</c:v>
                </c:pt>
                <c:pt idx="411">
                  <c:v>14.7236003876</c:v>
                </c:pt>
                <c:pt idx="412">
                  <c:v>14.61439991</c:v>
                </c:pt>
                <c:pt idx="413">
                  <c:v>14.4453001022</c:v>
                </c:pt>
                <c:pt idx="414">
                  <c:v>14.430100441</c:v>
                </c:pt>
                <c:pt idx="415">
                  <c:v>14.44810009</c:v>
                </c:pt>
                <c:pt idx="416">
                  <c:v>14.4158000946</c:v>
                </c:pt>
                <c:pt idx="417">
                  <c:v>14.4277000427</c:v>
                </c:pt>
                <c:pt idx="418">
                  <c:v>14.3013000488</c:v>
                </c:pt>
                <c:pt idx="419">
                  <c:v>14.2293996811</c:v>
                </c:pt>
                <c:pt idx="420">
                  <c:v>14.2550001144</c:v>
                </c:pt>
                <c:pt idx="421">
                  <c:v>14.2688999176</c:v>
                </c:pt>
                <c:pt idx="422">
                  <c:v>14.2440004349</c:v>
                </c:pt>
                <c:pt idx="423">
                  <c:v>13.2722997665</c:v>
                </c:pt>
                <c:pt idx="424">
                  <c:v>13.5018997192</c:v>
                </c:pt>
                <c:pt idx="425">
                  <c:v>13.6552000046</c:v>
                </c:pt>
                <c:pt idx="426">
                  <c:v>13.7869997025</c:v>
                </c:pt>
                <c:pt idx="427">
                  <c:v>13.8451004028</c:v>
                </c:pt>
                <c:pt idx="428">
                  <c:v>13.942899704</c:v>
                </c:pt>
                <c:pt idx="429">
                  <c:v>13.9821996689</c:v>
                </c:pt>
                <c:pt idx="430">
                  <c:v>14.0438995361</c:v>
                </c:pt>
                <c:pt idx="431">
                  <c:v>14.0586996078</c:v>
                </c:pt>
                <c:pt idx="432">
                  <c:v>14.0593996048</c:v>
                </c:pt>
                <c:pt idx="433">
                  <c:v>14.0820999146</c:v>
                </c:pt>
                <c:pt idx="434">
                  <c:v>14.1272001266</c:v>
                </c:pt>
                <c:pt idx="435">
                  <c:v>14.0867996216</c:v>
                </c:pt>
                <c:pt idx="436">
                  <c:v>14.0982999802</c:v>
                </c:pt>
                <c:pt idx="437">
                  <c:v>14.0943002701</c:v>
                </c:pt>
                <c:pt idx="438">
                  <c:v>14.1922998428</c:v>
                </c:pt>
                <c:pt idx="439">
                  <c:v>14.2285003662</c:v>
                </c:pt>
                <c:pt idx="440">
                  <c:v>14.2132997513</c:v>
                </c:pt>
                <c:pt idx="441">
                  <c:v>14.3515996933</c:v>
                </c:pt>
                <c:pt idx="442">
                  <c:v>14.4718999863</c:v>
                </c:pt>
                <c:pt idx="443">
                  <c:v>14.5003004074</c:v>
                </c:pt>
                <c:pt idx="444">
                  <c:v>14.4589996338</c:v>
                </c:pt>
                <c:pt idx="445">
                  <c:v>14.5380001068</c:v>
                </c:pt>
                <c:pt idx="446">
                  <c:v>14.5710000992</c:v>
                </c:pt>
                <c:pt idx="447">
                  <c:v>14.6990003586</c:v>
                </c:pt>
                <c:pt idx="448">
                  <c:v>14.6015996933</c:v>
                </c:pt>
                <c:pt idx="449">
                  <c:v>14.540599823</c:v>
                </c:pt>
                <c:pt idx="450">
                  <c:v>14.5406999588</c:v>
                </c:pt>
                <c:pt idx="451">
                  <c:v>14.601099968</c:v>
                </c:pt>
                <c:pt idx="452">
                  <c:v>14.6367998123</c:v>
                </c:pt>
                <c:pt idx="453">
                  <c:v>14.6101999283</c:v>
                </c:pt>
                <c:pt idx="454">
                  <c:v>14.4805002213</c:v>
                </c:pt>
                <c:pt idx="455">
                  <c:v>14.476099968</c:v>
                </c:pt>
                <c:pt idx="456">
                  <c:v>14.4569997787</c:v>
                </c:pt>
                <c:pt idx="457">
                  <c:v>14.4483995438</c:v>
                </c:pt>
                <c:pt idx="458">
                  <c:v>14.5361003876</c:v>
                </c:pt>
                <c:pt idx="459">
                  <c:v>14.4895000458</c:v>
                </c:pt>
                <c:pt idx="460">
                  <c:v>14.557299614</c:v>
                </c:pt>
                <c:pt idx="461">
                  <c:v>14.6086997986</c:v>
                </c:pt>
                <c:pt idx="462">
                  <c:v>14.6415996552</c:v>
                </c:pt>
                <c:pt idx="463">
                  <c:v>14.6423997879</c:v>
                </c:pt>
                <c:pt idx="464">
                  <c:v>14.6912002563</c:v>
                </c:pt>
                <c:pt idx="465">
                  <c:v>14.6314001083</c:v>
                </c:pt>
                <c:pt idx="466">
                  <c:v>14.7018003464</c:v>
                </c:pt>
                <c:pt idx="467">
                  <c:v>14.7069997787</c:v>
                </c:pt>
                <c:pt idx="468">
                  <c:v>14.616399765</c:v>
                </c:pt>
                <c:pt idx="469">
                  <c:v>14.6645002365</c:v>
                </c:pt>
                <c:pt idx="470">
                  <c:v>14.6570997238</c:v>
                </c:pt>
                <c:pt idx="471">
                  <c:v>14.6723003387</c:v>
                </c:pt>
                <c:pt idx="472">
                  <c:v>14.6331996918</c:v>
                </c:pt>
                <c:pt idx="473">
                  <c:v>14.6430997849</c:v>
                </c:pt>
                <c:pt idx="474">
                  <c:v>14.7637996674</c:v>
                </c:pt>
                <c:pt idx="475">
                  <c:v>14.9160995483</c:v>
                </c:pt>
                <c:pt idx="476">
                  <c:v>15.067700386</c:v>
                </c:pt>
                <c:pt idx="477">
                  <c:v>15.067199707</c:v>
                </c:pt>
                <c:pt idx="478">
                  <c:v>14.9343996048</c:v>
                </c:pt>
                <c:pt idx="479">
                  <c:v>15.0136003494</c:v>
                </c:pt>
                <c:pt idx="480">
                  <c:v>15.0893001556</c:v>
                </c:pt>
                <c:pt idx="481">
                  <c:v>15.079000473</c:v>
                </c:pt>
                <c:pt idx="482">
                  <c:v>15.093000412</c:v>
                </c:pt>
                <c:pt idx="483">
                  <c:v>15.1520996094</c:v>
                </c:pt>
                <c:pt idx="484">
                  <c:v>15.1478996277</c:v>
                </c:pt>
                <c:pt idx="485">
                  <c:v>15.2378997803</c:v>
                </c:pt>
                <c:pt idx="486">
                  <c:v>15.2329998016</c:v>
                </c:pt>
                <c:pt idx="487">
                  <c:v>15.3118000031</c:v>
                </c:pt>
                <c:pt idx="488">
                  <c:v>15.2974004745</c:v>
                </c:pt>
                <c:pt idx="489">
                  <c:v>15.3354997635</c:v>
                </c:pt>
                <c:pt idx="490">
                  <c:v>15.2882995605</c:v>
                </c:pt>
                <c:pt idx="491">
                  <c:v>15.2818002701</c:v>
                </c:pt>
                <c:pt idx="492">
                  <c:v>15.3219003677</c:v>
                </c:pt>
                <c:pt idx="493">
                  <c:v>15.3900995255</c:v>
                </c:pt>
                <c:pt idx="494">
                  <c:v>15.4750003815</c:v>
                </c:pt>
                <c:pt idx="495">
                  <c:v>15.5532999039</c:v>
                </c:pt>
                <c:pt idx="496">
                  <c:v>15.5635995865</c:v>
                </c:pt>
                <c:pt idx="497">
                  <c:v>15.6414003372</c:v>
                </c:pt>
                <c:pt idx="498">
                  <c:v>15.5836000443</c:v>
                </c:pt>
                <c:pt idx="499">
                  <c:v>15.5972995758</c:v>
                </c:pt>
                <c:pt idx="500">
                  <c:v>15.6317996979</c:v>
                </c:pt>
                <c:pt idx="501">
                  <c:v>15.6679000854</c:v>
                </c:pt>
                <c:pt idx="502">
                  <c:v>15.4791002274</c:v>
                </c:pt>
                <c:pt idx="503">
                  <c:v>15.4188995361</c:v>
                </c:pt>
                <c:pt idx="504">
                  <c:v>15.5206003189</c:v>
                </c:pt>
                <c:pt idx="505">
                  <c:v>15.668800354</c:v>
                </c:pt>
                <c:pt idx="506">
                  <c:v>15.7230997086</c:v>
                </c:pt>
                <c:pt idx="507">
                  <c:v>15.7242002487</c:v>
                </c:pt>
                <c:pt idx="508">
                  <c:v>15.6876001358</c:v>
                </c:pt>
                <c:pt idx="509">
                  <c:v>15.7047996521</c:v>
                </c:pt>
                <c:pt idx="510">
                  <c:v>15.7881002426</c:v>
                </c:pt>
                <c:pt idx="511">
                  <c:v>15.8362998962</c:v>
                </c:pt>
                <c:pt idx="512">
                  <c:v>15.7771997452</c:v>
                </c:pt>
                <c:pt idx="513">
                  <c:v>15.8767995834</c:v>
                </c:pt>
                <c:pt idx="514">
                  <c:v>15.9839000702</c:v>
                </c:pt>
                <c:pt idx="515">
                  <c:v>15.9729003906</c:v>
                </c:pt>
                <c:pt idx="516">
                  <c:v>16.126499176</c:v>
                </c:pt>
                <c:pt idx="517">
                  <c:v>16.1606998444</c:v>
                </c:pt>
                <c:pt idx="518">
                  <c:v>16.4088001251</c:v>
                </c:pt>
                <c:pt idx="519">
                  <c:v>16.6315994263</c:v>
                </c:pt>
                <c:pt idx="520">
                  <c:v>16.5736999512</c:v>
                </c:pt>
                <c:pt idx="521">
                  <c:v>16.2882003784</c:v>
                </c:pt>
                <c:pt idx="522">
                  <c:v>16.5659008026</c:v>
                </c:pt>
                <c:pt idx="523">
                  <c:v>16.561000824</c:v>
                </c:pt>
                <c:pt idx="524">
                  <c:v>16.5914001465</c:v>
                </c:pt>
                <c:pt idx="525">
                  <c:v>16.5636005402</c:v>
                </c:pt>
                <c:pt idx="526">
                  <c:v>16.3812999725</c:v>
                </c:pt>
                <c:pt idx="527">
                  <c:v>16.1968002319</c:v>
                </c:pt>
                <c:pt idx="528">
                  <c:v>16.3428001404</c:v>
                </c:pt>
                <c:pt idx="529">
                  <c:v>16.397600174</c:v>
                </c:pt>
                <c:pt idx="530">
                  <c:v>16.310300827</c:v>
                </c:pt>
                <c:pt idx="531">
                  <c:v>16.3432006836</c:v>
                </c:pt>
                <c:pt idx="532">
                  <c:v>16.5855998993</c:v>
                </c:pt>
                <c:pt idx="533">
                  <c:v>16.5834007263</c:v>
                </c:pt>
                <c:pt idx="534">
                  <c:v>16.5415000916</c:v>
                </c:pt>
                <c:pt idx="535">
                  <c:v>16.5400009155</c:v>
                </c:pt>
                <c:pt idx="536">
                  <c:v>16.6053009033</c:v>
                </c:pt>
                <c:pt idx="537">
                  <c:v>16.4008998871</c:v>
                </c:pt>
                <c:pt idx="538">
                  <c:v>16.3658008575</c:v>
                </c:pt>
                <c:pt idx="539">
                  <c:v>16.3827991486</c:v>
                </c:pt>
                <c:pt idx="540">
                  <c:v>16.3819007874</c:v>
                </c:pt>
                <c:pt idx="541">
                  <c:v>16.5090999603</c:v>
                </c:pt>
                <c:pt idx="542">
                  <c:v>16.507900238</c:v>
                </c:pt>
                <c:pt idx="543">
                  <c:v>16.410900116</c:v>
                </c:pt>
                <c:pt idx="544">
                  <c:v>16.5417003632</c:v>
                </c:pt>
                <c:pt idx="545">
                  <c:v>16.623500824</c:v>
                </c:pt>
                <c:pt idx="546">
                  <c:v>16.8332004547</c:v>
                </c:pt>
                <c:pt idx="547">
                  <c:v>16.6891002655</c:v>
                </c:pt>
                <c:pt idx="548">
                  <c:v>16.6686992645</c:v>
                </c:pt>
                <c:pt idx="549">
                  <c:v>16.5925998688</c:v>
                </c:pt>
                <c:pt idx="550">
                  <c:v>16.7754001617</c:v>
                </c:pt>
                <c:pt idx="551">
                  <c:v>16.8176002502</c:v>
                </c:pt>
                <c:pt idx="552">
                  <c:v>16.5128993988</c:v>
                </c:pt>
                <c:pt idx="553">
                  <c:v>16.5921993256</c:v>
                </c:pt>
                <c:pt idx="554">
                  <c:v>16.7921009064</c:v>
                </c:pt>
                <c:pt idx="555">
                  <c:v>16.8057994843</c:v>
                </c:pt>
                <c:pt idx="556">
                  <c:v>16.8486995697</c:v>
                </c:pt>
                <c:pt idx="557">
                  <c:v>16.9473991394</c:v>
                </c:pt>
                <c:pt idx="558">
                  <c:v>17.0898990631</c:v>
                </c:pt>
                <c:pt idx="559">
                  <c:v>17.0048999786</c:v>
                </c:pt>
                <c:pt idx="560">
                  <c:v>16.960100174</c:v>
                </c:pt>
                <c:pt idx="561">
                  <c:v>16.8136997223</c:v>
                </c:pt>
                <c:pt idx="562">
                  <c:v>16.4543991089</c:v>
                </c:pt>
                <c:pt idx="563">
                  <c:v>16.5557994843</c:v>
                </c:pt>
                <c:pt idx="564">
                  <c:v>16.5151996613</c:v>
                </c:pt>
                <c:pt idx="565">
                  <c:v>16.5338001251</c:v>
                </c:pt>
                <c:pt idx="566">
                  <c:v>16.6909999847</c:v>
                </c:pt>
                <c:pt idx="567">
                  <c:v>16.6466999054</c:v>
                </c:pt>
                <c:pt idx="568">
                  <c:v>16.7397994995</c:v>
                </c:pt>
                <c:pt idx="569">
                  <c:v>16.6760005951</c:v>
                </c:pt>
                <c:pt idx="570">
                  <c:v>16.6951999664</c:v>
                </c:pt>
                <c:pt idx="571">
                  <c:v>16.7931995392</c:v>
                </c:pt>
                <c:pt idx="572">
                  <c:v>16.64220047</c:v>
                </c:pt>
                <c:pt idx="573">
                  <c:v>16.5629997253</c:v>
                </c:pt>
                <c:pt idx="574">
                  <c:v>16.4452991486</c:v>
                </c:pt>
                <c:pt idx="575">
                  <c:v>16.4983005524</c:v>
                </c:pt>
                <c:pt idx="576">
                  <c:v>16.4647006989</c:v>
                </c:pt>
                <c:pt idx="577">
                  <c:v>16.1002006531</c:v>
                </c:pt>
                <c:pt idx="578">
                  <c:v>16.0879001617</c:v>
                </c:pt>
                <c:pt idx="579">
                  <c:v>16.2236003876</c:v>
                </c:pt>
                <c:pt idx="580">
                  <c:v>16.1926002502</c:v>
                </c:pt>
                <c:pt idx="581">
                  <c:v>16.235200882</c:v>
                </c:pt>
                <c:pt idx="582">
                  <c:v>16.2703990936</c:v>
                </c:pt>
                <c:pt idx="583">
                  <c:v>16.3745002747</c:v>
                </c:pt>
                <c:pt idx="584">
                  <c:v>16.3145999908</c:v>
                </c:pt>
                <c:pt idx="585">
                  <c:v>16.2236003876</c:v>
                </c:pt>
                <c:pt idx="586">
                  <c:v>16.2220001221</c:v>
                </c:pt>
                <c:pt idx="587">
                  <c:v>16.3269004822</c:v>
                </c:pt>
                <c:pt idx="588">
                  <c:v>16.4015007019</c:v>
                </c:pt>
                <c:pt idx="589">
                  <c:v>16.3400001526</c:v>
                </c:pt>
                <c:pt idx="590">
                  <c:v>16.2924995422</c:v>
                </c:pt>
                <c:pt idx="591">
                  <c:v>16.1769008636</c:v>
                </c:pt>
                <c:pt idx="592">
                  <c:v>16.2397994995</c:v>
                </c:pt>
                <c:pt idx="593">
                  <c:v>16.1557006836</c:v>
                </c:pt>
                <c:pt idx="594">
                  <c:v>15.9858999252</c:v>
                </c:pt>
                <c:pt idx="595">
                  <c:v>16.1695995331</c:v>
                </c:pt>
                <c:pt idx="596">
                  <c:v>16.2178993225</c:v>
                </c:pt>
                <c:pt idx="597">
                  <c:v>16.2612991333</c:v>
                </c:pt>
                <c:pt idx="598">
                  <c:v>16.3633003235</c:v>
                </c:pt>
                <c:pt idx="599">
                  <c:v>16.3824005127</c:v>
                </c:pt>
                <c:pt idx="600">
                  <c:v>16.4580993652</c:v>
                </c:pt>
                <c:pt idx="601">
                  <c:v>16.5207996368</c:v>
                </c:pt>
                <c:pt idx="602">
                  <c:v>16.5340995789</c:v>
                </c:pt>
                <c:pt idx="603">
                  <c:v>16.5578994751</c:v>
                </c:pt>
                <c:pt idx="604">
                  <c:v>16.5652999878</c:v>
                </c:pt>
                <c:pt idx="605">
                  <c:v>16.5904006958</c:v>
                </c:pt>
                <c:pt idx="606">
                  <c:v>16.8040008545</c:v>
                </c:pt>
                <c:pt idx="607">
                  <c:v>17.0400009155</c:v>
                </c:pt>
                <c:pt idx="608">
                  <c:v>17.0244007111</c:v>
                </c:pt>
                <c:pt idx="609">
                  <c:v>17.0002994537</c:v>
                </c:pt>
                <c:pt idx="610">
                  <c:v>17.1354007721</c:v>
                </c:pt>
                <c:pt idx="611">
                  <c:v>17.2887992859</c:v>
                </c:pt>
                <c:pt idx="612">
                  <c:v>17.2180995941</c:v>
                </c:pt>
                <c:pt idx="613">
                  <c:v>17.1387996674</c:v>
                </c:pt>
                <c:pt idx="614">
                  <c:v>17.0764007568</c:v>
                </c:pt>
                <c:pt idx="615">
                  <c:v>17.015499115</c:v>
                </c:pt>
                <c:pt idx="616">
                  <c:v>17.0492992401</c:v>
                </c:pt>
                <c:pt idx="617">
                  <c:v>17.0541000366</c:v>
                </c:pt>
                <c:pt idx="618">
                  <c:v>17.0571994781</c:v>
                </c:pt>
                <c:pt idx="619">
                  <c:v>17.0737991333</c:v>
                </c:pt>
                <c:pt idx="620">
                  <c:v>17.0976009369</c:v>
                </c:pt>
                <c:pt idx="621">
                  <c:v>17.1149997711</c:v>
                </c:pt>
                <c:pt idx="622">
                  <c:v>17.1502990723</c:v>
                </c:pt>
                <c:pt idx="623">
                  <c:v>17.2336997986</c:v>
                </c:pt>
                <c:pt idx="624">
                  <c:v>17.2828006744</c:v>
                </c:pt>
                <c:pt idx="625">
                  <c:v>17.1140995026</c:v>
                </c:pt>
                <c:pt idx="626">
                  <c:v>16.6903991699</c:v>
                </c:pt>
                <c:pt idx="627">
                  <c:v>16.8656997681</c:v>
                </c:pt>
                <c:pt idx="628">
                  <c:v>17.026599884</c:v>
                </c:pt>
                <c:pt idx="629">
                  <c:v>16.924200058</c:v>
                </c:pt>
                <c:pt idx="630">
                  <c:v>16.8899993896</c:v>
                </c:pt>
                <c:pt idx="631">
                  <c:v>17.1063995361</c:v>
                </c:pt>
                <c:pt idx="632">
                  <c:v>17.1429004669</c:v>
                </c:pt>
                <c:pt idx="633">
                  <c:v>17.1613998413</c:v>
                </c:pt>
                <c:pt idx="634">
                  <c:v>17.1548995972</c:v>
                </c:pt>
                <c:pt idx="635">
                  <c:v>16.932100296</c:v>
                </c:pt>
                <c:pt idx="636">
                  <c:v>17.1028003693</c:v>
                </c:pt>
                <c:pt idx="637">
                  <c:v>17.1870994568</c:v>
                </c:pt>
                <c:pt idx="638">
                  <c:v>17.158700943</c:v>
                </c:pt>
                <c:pt idx="639">
                  <c:v>17.2003993988</c:v>
                </c:pt>
                <c:pt idx="640">
                  <c:v>17.3241004944</c:v>
                </c:pt>
                <c:pt idx="641">
                  <c:v>17.1664009094</c:v>
                </c:pt>
                <c:pt idx="642">
                  <c:v>16.9923000336</c:v>
                </c:pt>
                <c:pt idx="643">
                  <c:v>17.0834007263</c:v>
                </c:pt>
                <c:pt idx="644">
                  <c:v>17.1247005463</c:v>
                </c:pt>
                <c:pt idx="645">
                  <c:v>17.049200058</c:v>
                </c:pt>
                <c:pt idx="646">
                  <c:v>17.1182003021</c:v>
                </c:pt>
                <c:pt idx="647">
                  <c:v>17.1798000336</c:v>
                </c:pt>
                <c:pt idx="648">
                  <c:v>17.1798992157</c:v>
                </c:pt>
                <c:pt idx="649">
                  <c:v>17.0503005981</c:v>
                </c:pt>
                <c:pt idx="650">
                  <c:v>17.0060005188</c:v>
                </c:pt>
                <c:pt idx="651">
                  <c:v>16.8812999725</c:v>
                </c:pt>
                <c:pt idx="652">
                  <c:v>16.933599472</c:v>
                </c:pt>
                <c:pt idx="653">
                  <c:v>16.7626991272</c:v>
                </c:pt>
                <c:pt idx="654">
                  <c:v>16.5902996063</c:v>
                </c:pt>
                <c:pt idx="655">
                  <c:v>16.0037002563</c:v>
                </c:pt>
                <c:pt idx="656">
                  <c:v>16.2730007172</c:v>
                </c:pt>
                <c:pt idx="657">
                  <c:v>16.4601993561</c:v>
                </c:pt>
                <c:pt idx="658">
                  <c:v>16.344499588</c:v>
                </c:pt>
                <c:pt idx="659">
                  <c:v>16.5182991028</c:v>
                </c:pt>
                <c:pt idx="660">
                  <c:v>16.564699173</c:v>
                </c:pt>
                <c:pt idx="661">
                  <c:v>16.5519008636</c:v>
                </c:pt>
                <c:pt idx="662">
                  <c:v>16.755399704</c:v>
                </c:pt>
                <c:pt idx="663">
                  <c:v>16.6399002075</c:v>
                </c:pt>
                <c:pt idx="664">
                  <c:v>16.4789009094</c:v>
                </c:pt>
                <c:pt idx="665">
                  <c:v>16.5282993317</c:v>
                </c:pt>
                <c:pt idx="666">
                  <c:v>16.9099998474</c:v>
                </c:pt>
                <c:pt idx="667">
                  <c:v>16.8069992065</c:v>
                </c:pt>
                <c:pt idx="668">
                  <c:v>16.8703994751</c:v>
                </c:pt>
                <c:pt idx="669">
                  <c:v>16.8731994629</c:v>
                </c:pt>
                <c:pt idx="670">
                  <c:v>17.0161991119</c:v>
                </c:pt>
                <c:pt idx="671">
                  <c:v>17.0230998993</c:v>
                </c:pt>
                <c:pt idx="672">
                  <c:v>17.1130008698</c:v>
                </c:pt>
                <c:pt idx="673">
                  <c:v>17.1189002991</c:v>
                </c:pt>
                <c:pt idx="674">
                  <c:v>17.2698993683</c:v>
                </c:pt>
                <c:pt idx="675">
                  <c:v>17.313999176</c:v>
                </c:pt>
                <c:pt idx="676">
                  <c:v>17.331199646</c:v>
                </c:pt>
                <c:pt idx="677">
                  <c:v>17.2798995972</c:v>
                </c:pt>
                <c:pt idx="678">
                  <c:v>17.2339992523</c:v>
                </c:pt>
                <c:pt idx="679">
                  <c:v>17.3255004883</c:v>
                </c:pt>
                <c:pt idx="680">
                  <c:v>17.3939990997</c:v>
                </c:pt>
                <c:pt idx="681">
                  <c:v>17.473400116</c:v>
                </c:pt>
                <c:pt idx="682">
                  <c:v>17.5594997406</c:v>
                </c:pt>
                <c:pt idx="683">
                  <c:v>17.7203006744</c:v>
                </c:pt>
                <c:pt idx="684">
                  <c:v>17.7672996521</c:v>
                </c:pt>
                <c:pt idx="685">
                  <c:v>17.7586994171</c:v>
                </c:pt>
                <c:pt idx="686">
                  <c:v>17.8920001984</c:v>
                </c:pt>
                <c:pt idx="687">
                  <c:v>17.8542003632</c:v>
                </c:pt>
                <c:pt idx="688">
                  <c:v>17.9444999695</c:v>
                </c:pt>
                <c:pt idx="689">
                  <c:v>17.7045993805</c:v>
                </c:pt>
                <c:pt idx="690">
                  <c:v>17.5447998047</c:v>
                </c:pt>
                <c:pt idx="691">
                  <c:v>17.5301990509</c:v>
                </c:pt>
                <c:pt idx="692">
                  <c:v>17.6868000031</c:v>
                </c:pt>
                <c:pt idx="693">
                  <c:v>17.67029953</c:v>
                </c:pt>
                <c:pt idx="694">
                  <c:v>17.3360004425</c:v>
                </c:pt>
                <c:pt idx="695">
                  <c:v>17.4645004272</c:v>
                </c:pt>
                <c:pt idx="696">
                  <c:v>17.6445007324</c:v>
                </c:pt>
                <c:pt idx="697">
                  <c:v>17.6333007812</c:v>
                </c:pt>
                <c:pt idx="698">
                  <c:v>17.4165000916</c:v>
                </c:pt>
                <c:pt idx="699">
                  <c:v>17.4398994446</c:v>
                </c:pt>
                <c:pt idx="700">
                  <c:v>17.3302001953</c:v>
                </c:pt>
                <c:pt idx="701">
                  <c:v>17.2924995422</c:v>
                </c:pt>
                <c:pt idx="702">
                  <c:v>17.3733997345</c:v>
                </c:pt>
                <c:pt idx="703">
                  <c:v>17.4123001099</c:v>
                </c:pt>
                <c:pt idx="704">
                  <c:v>17.3015995026</c:v>
                </c:pt>
                <c:pt idx="705">
                  <c:v>17.1660003662</c:v>
                </c:pt>
                <c:pt idx="706">
                  <c:v>16.9260997772</c:v>
                </c:pt>
                <c:pt idx="707">
                  <c:v>17.1033000946</c:v>
                </c:pt>
                <c:pt idx="708">
                  <c:v>17.0499992371</c:v>
                </c:pt>
                <c:pt idx="709">
                  <c:v>17.0328998566</c:v>
                </c:pt>
                <c:pt idx="710">
                  <c:v>17.2110996246</c:v>
                </c:pt>
                <c:pt idx="711">
                  <c:v>17.241399765</c:v>
                </c:pt>
                <c:pt idx="712">
                  <c:v>17.1840991974</c:v>
                </c:pt>
                <c:pt idx="713">
                  <c:v>17.2457008362</c:v>
                </c:pt>
                <c:pt idx="714">
                  <c:v>17.1417999268</c:v>
                </c:pt>
                <c:pt idx="715">
                  <c:v>17.4435997009</c:v>
                </c:pt>
                <c:pt idx="716">
                  <c:v>17.2283000946</c:v>
                </c:pt>
                <c:pt idx="717">
                  <c:v>17.2313995361</c:v>
                </c:pt>
                <c:pt idx="718">
                  <c:v>17.263299942</c:v>
                </c:pt>
                <c:pt idx="719">
                  <c:v>16.8841991425</c:v>
                </c:pt>
                <c:pt idx="720">
                  <c:v>17.0879001617</c:v>
                </c:pt>
                <c:pt idx="721">
                  <c:v>17.1315002441</c:v>
                </c:pt>
                <c:pt idx="722">
                  <c:v>17.198299408</c:v>
                </c:pt>
                <c:pt idx="723">
                  <c:v>16.8787994385</c:v>
                </c:pt>
                <c:pt idx="724">
                  <c:v>16.9409999847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80.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23.2539997101,23.097700119,23.213300705,23.3840007782,23.1707992554,23.529499054,23.4769001007,23.3293991089,23.2572002411,23.1837005615,22.9778995514,22.9787998199,22.8458995819,23.4489994049,23.2490005493,23.1711006165,23.5573005676,23.766500473,23.6746006012,23.5853004456,23.7087001801,23.837600708,23.6226997375,23.5478000641,23.4377994537,23.4633998871,22.9720993042,22.8820991516,22.7684001923,22.5816993713,22.7080993652,22.3276004791,22.054599762,22.2227993011,21.8265991211,22.0104007721,21.7350997925,22.061000824,22.4109992981,22.5303993225,22.7991008759,22.9188995361,23.2448997498,23.0914993286,23.0389003754,22.6368999481,22.5531005859,22.7730007172,22.7588005066,22.529499054,22.4176006317,22.3164997101,22.4332008362,22.2919006348,22.1697998047,21.9599990845,22.3582000732,22.2413005829,22.0997009277,22.1816997528,22.1888008118,22.1790008545,22.0447998047,22.0993003845,22.3015995026,22.0802993774,21.795999527,21.8306999207,21.5792007446,21.2161006927,21.0319004059,20.6919002533,20.8365001678,20.8855991364,21.057100296,21.647600174,22.253900528,21.9596004486,21.903799057,21.7031993866,21.9377994537,22.3798999786,22.3314990997,22.3134002686,22.2693996429,22.1522006989,22.1683006287,22.2078990936,22.3700008392,22.1107006073,22.1487007141,22.2355995178,22.1944007874,21.8950004578,22.0674991608,21.8691005707,21.7378997803,21.846200943,21.642999649,21.6121006012,21.571100235,21.4433002472,21.0433006287,21.1728992462,21.1322002411,21.1956005096,21.1364994049,21.123500824,20.8006000519,20.6751995087,20.6047992706,20.3887004852,20.388999939,20.1245002747,20.3327999115,20.2670993805,20.3453006744,20.1424007416,20.2138996124,20.7418003082,20.9018993378,20.6438999176,20.5114994049,20.2663002014,20.0680007935,19.7017993927,19.7569999695,19.6530990601,19.9186992645,19.8176002502,19.7479000092,19.8078994751,19.3101005554,19.4708995819,19.349199295,18.6769008636,18.9176998138,19.1387004852,19.5396995544,19.3584003448,18.9915008545,18.5156002045,18.1916999817,18.2173995972,17.8230991364,17.6243991852,18.698299408,19.2017002106,19.4246006012,19.5804004669,19.5939006805,19.7658004761,19.9202003479,19.9797000885,19.9480991364,20.3572998047,20.0548992157,20.5918006897,20.7630996704,20.7677001953,20.7469997406,20.6996994019,20.4426002502,20.6457004547,21.0918998718,21.1760997772,21.1215000153,21.0335006714,21.199300766,21.5023994446,21.3614006042,21.4101009369,21.3705005646,21.1161003113,20.8267993927,20.8971004486,20.3705997467,20.7266998291,21.1940994263,21.5751991272,21.4748001099,21.353099823,21.0403003693,21.1383991241,20.8384990692,20.8439006805,20.6644992828,20.9619007111,20.4032001495,20.8997001648,20.89220047,20.6912002563,20.3780994415,20.2245998383,20.3631000519,20.4570999146,21.1765003204,22.2998008728,22.5093002319,22.9706001282,22.9719009399,22.676399231,23.0020008087,22.8875999451,22.7721996307,22.7670993805,22.554599762,22.594499588,22.8409996033,22.9449996948,22.7810001373,22.787399292,22.4356994629,22.1814994812,22.3630008698,22.1184997559,22.1958007812,22.1144008636,22.0699996948,22.0835990906,22.3166007996,22.1494007111,22.0097999573,21.8512992859,21.8570995331,21.8738994598,21.7450008392,21.8132991791,21.7621994019,21.823299408,21.6007003784,21.2716999054,21.251499176,20.9344997406,20.8015995026,21.0872993469,20.7660007477,20.7681999207,20.900100708,20.7129993439,20.585899353,20.383600235,20.4253005981,20.1310005188,20.4479999542,20.3941001892,20.7903003693,20.7716999054,20.6571006775,20.7980003357,20.7257003784,20.8465003967,20.8992996216,20.8075008392,20.1959991455,19.9605998993,19.9473991394,20.1965007782,19.9832000732,19.8439998627,20.4743995667,20.2691001892,20.0069007874,19.5629997253,19.7119007111,19.6961994171,19.6966991425,19.5739994049,19.528799057,19.5827999115,19.3642997742,19.4983005524,19.4472007751,19.4874992371,19.2056007385,19.153799057,19.0256004333,19.0312004089,19.1238994598,18.9076004028,18.8621006012,19.1576004028,19.7702999115,19.8300991058,20.0361995697,19.9416999817,20.0044002533,19.7227993011,19.5575008392,19.564699173,19.6147003174,19.4902000427,19.3176002502,19.39220047,19.6152000427,19.5806007385,19.5902004242,20.4265995026,20.6739997864,21.5828990936,22.9797000885,25.3920993805,27.5564002991,25.2761993408,25.1713008881,24.1956005096,24.8094005585,24.1608009338,23.9232997894,23.7332000732,24.7796993256,24.9342002869,25.1453990936,25.0361995697,24.6558990479,25.0662002563,25.4027004242,25.3278007507,25.1588001251,25.810300827,25.5361995697,26.0361995697,26.8208999634,26.7148990631,27.4097003937,27.2138996124,27.6751995087,27.507900238,27.5909996033,26.8582000732,26.1847000122,25.7674999237,26.197599411,26.3822002411,26.3512001038,25.4281997681,25.4074001312,25.2318992615,25.7772006989,25.4715995789,25.8757991791,26.2271003723,26.1473999023,25.8799991608,25.914100647,26.2989997864,26.1718006134,26.3661003113,26.4594993591,26.7385997772,26.1420993805,25.2343997955,25.1658000946,25.2821998596,25.4076004028,25.386800766,25.1599006653,25.4899997711,25.3369007111,25.4521999359,25.4340991974,25.4447994232,24.8708992004,24.0951004028,23.6765003204,23.6394996643,23.8677997589,23.752199173,23.7961006165,23.3801002502,23.3826999664,24.2385997772,23.9995994568,24.0699996948,24.2140007019,24.4284000397,24.5083007812,24.4671001434,24.3712005615,24.6277999878,24.3255004883,24.3334999084,24.8827991486,25.3127002716,25.448600769,25.2817001343,25.6357002258,25.4743003845,25.7576007843,25.8234004974,25.4375991821,25.7863006592,25.8341007233,26.1439990997,26.1891994476,25.8610992432,26.0680999756,26.0321998596,25.357000351,25.4729003906,25.5112991333,25.581199646,26.0083999634,25.8843002319,25.8320007324,25.9055995941,25.8693008423,25.6497993469,26.2476997375,26.1646003723,26.2773990631,26.2198009491,25.7289009094,25.2817993164,25.1462001801,24.9197998047,24.9174003601,25.0468997955,24.8698997498,24.7996006012,25.6770000458,25.6828994751,25.5265007019,23.1443996429,23.3794002533,23.5960998535,24.1016998291,24.2467002869,24.3885993958,24.2080993652,24.0037994385,23.9755001068,23.9479999542,24.3740997314,24.3439998627,24.5105991364,24.410900116,24.7835006714,24.4927997589,24.5317001343,24.3952999115,24.8036994934,24.8801002502,25.1151008606,24.9654998779,25.3992004395,25.3565998077,25.5344009399,25.1676006317,25.1481990814,25.1438999176,25.3640003204,25.4818992615,25.2980003357,25.1219997406,24.9775009155,24.827999115,24.7509002686,25.0347995758,24.8213996887,24.8850002289,25.0727005005,25.1958007812,25.1655006409,25.2903003693,25.0911998749,26.3334007263,26.2593002319,25.9855003357,26.0785007477,26.0349006653,26.095199585,25.7651996613,25.6562995911,25.7408008575,26.1534996033,26.5853996277,26.408000946,26.4622993469,26.6471004486,26.6762008667,26.5340003967,26.816400528,26.7665996552,26.6130008698,26.9423999786,26.9314994812,27.0503997803,27.2042999268,27.1453990936,27.2409000397,27.1888999939,27.5414009094,27.6781005859,27.9409008026,28.2175006866,28.1058006287,28.4395008087,28.3215999603,28.425699234,27.6261997223,27.414100647,26.7630004883,26.7171993256,26.8008003235,26.9580993652,27.1236991882,27.0855998993,27.0270004272,27.3857002258,27.5062007904,27.8903999329,27.6599006653,28.0478992462,28.488199234,28.4692993164,28.7404994965,28.6487007141,29.3143005371,29.9775009155,29.8850002289,29.3190994263,29.934299469,30.2332992554,30.4480991364,29.8605995178,29.5536003113,28.8064002991,29.8127002716,30.0240001678,29.6856994629,29.7562999725,30.6373004913,30.5184993744,30.7089996338,30.8045005798,31.1585998535,30.8136997223,30.7989006042,30.9750995636,30.8500995636,31.3623008728,31.5307006836,31.0562992096,31.6520996094,31.7880001068,32.2713012695,31.5132007599,31.214799881,30.5347003937,31.0058002472,30.9193000793,30.0156993866,30.2183990479,30.5433006287,30.466299057,30.5359992981,31.0333995819,31.2562999725,30.9622993469,31.3952999115,30.8202991486,30.830499649,30.8778991699,30.3694000244,30.4591007233,30.9605998993,30.8726005554,30.9876995087,30.710899353,30.5888996124,31.1096992493,30.5555000305,30.4780006409,30.1870994568,30.1693992615,29.9302997589,28.9804992676,29.0918998718,29.4652996063,29.6951007843,29.6247997284,29.8677005768,30.2150993347,30.0158004761,29.7929000854,29.8812007904,30.1823005676,30.5494003296,30.3834991455,30.4676990509,30.1191997528,30.3567008972,30.3637008667,29.9535007477,30.6093997955,30.2472991943,30.4496994019,30.8442993164,30.9218006134,31.1604995728,31.2721996307,31.4431991577,31.2982006073,31.4204006195,31.2409992218,31.9011993408,32.367401123,32.3690986633,32.211101532,32.5820999146,33.1041984558,32.7509994507,32.9103012085,33.0084991455,32.9412002563,32.9939994812,32.7332000732,32.8835983276,33.0512008667,33.3095016479,33.043800354,33.0304985046,33.074798584,32.9986000061,32.7246017456,31.8673992157,32.5350990295,32.695098877,32.2790985107,32.1966018677,32.8042984009,32.8321990967,32.7752990723,33.0172996521,32.6111984253,33.0410003662,33.5392990112,33.6114997864,33.6542015076,33.4833984375,32.520198822,32.2795982361,32.6073989868,32.810798645,32.6012001038,32.8446998596,33.1239013672,32.965801239,32.7154998779,32.7821006775,32.3093986511,32.5556983948,31.9169998169,31.8020000458,30.7122993469,31.1779003143,31.7611999512,31.3208007812,31.785900116,31.9332008362,31.6012992859,33.2974014282,32.8208007812,32.4748001099,32.5805015564,33.8482017517,33.6996994019,34.3706016541,34.7426986694,35.0686988831,34.5957984924,34.9235992432,34.8109016418,34.9683990479,34.9790992737,35.8869018555,35.4938011169,34.9355010986,34.9135017395,34.6528015137,35.6161003113,35.2683982849,36.7262992859,37.0441017151,36.8616981506,37.5068016052,37.3068008423,37.8723983765,37.0932006836,36.677898407,36.5672988892,36.6717987061,36.5915985107,35.9019012451,36.6531982422,37.2020988464,37.2070999146,36.8672981262,37.0937004089,36.5709991455,36.0820999146,36.5793991089,36.7756996155,36.6265983582,35.8777008057,34.7911987305,35.7285003662,35.0717010498,34.8781013489,35.242099762,37.0755996704,37.3585014343,37.7588005066,37.9976005554,38.7812004089,37.6234016418,38.0377006531,38.6343002319,37.3855018616,37.4294013977,38.199798584,38.1615982056,36.8604011536,37.1804008484}</c:f>
              <c:numCache>
                <c:formatCode>General</c:formatCode>
                <c:ptCount val="725"/>
                <c:pt idx="0">
                  <c:v>23.2539997101</c:v>
                </c:pt>
                <c:pt idx="1">
                  <c:v>23.097700119</c:v>
                </c:pt>
                <c:pt idx="2">
                  <c:v>23.213300705</c:v>
                </c:pt>
                <c:pt idx="3">
                  <c:v>23.3840007782</c:v>
                </c:pt>
                <c:pt idx="4">
                  <c:v>23.1707992554</c:v>
                </c:pt>
                <c:pt idx="5">
                  <c:v>23.529499054</c:v>
                </c:pt>
                <c:pt idx="6">
                  <c:v>23.4769001007</c:v>
                </c:pt>
                <c:pt idx="7">
                  <c:v>23.3293991089</c:v>
                </c:pt>
                <c:pt idx="8">
                  <c:v>23.2572002411</c:v>
                </c:pt>
                <c:pt idx="9">
                  <c:v>23.1837005615</c:v>
                </c:pt>
                <c:pt idx="10">
                  <c:v>22.9778995514</c:v>
                </c:pt>
                <c:pt idx="11">
                  <c:v>22.9787998199</c:v>
                </c:pt>
                <c:pt idx="12">
                  <c:v>22.8458995819</c:v>
                </c:pt>
                <c:pt idx="13">
                  <c:v>23.4489994049</c:v>
                </c:pt>
                <c:pt idx="14">
                  <c:v>23.2490005493</c:v>
                </c:pt>
                <c:pt idx="15">
                  <c:v>23.1711006165</c:v>
                </c:pt>
                <c:pt idx="16">
                  <c:v>23.5573005676</c:v>
                </c:pt>
                <c:pt idx="17">
                  <c:v>23.766500473</c:v>
                </c:pt>
                <c:pt idx="18">
                  <c:v>23.6746006012</c:v>
                </c:pt>
                <c:pt idx="19">
                  <c:v>23.5853004456</c:v>
                </c:pt>
                <c:pt idx="20">
                  <c:v>23.7087001801</c:v>
                </c:pt>
                <c:pt idx="21">
                  <c:v>23.837600708</c:v>
                </c:pt>
                <c:pt idx="22">
                  <c:v>23.6226997375</c:v>
                </c:pt>
                <c:pt idx="23">
                  <c:v>23.5478000641</c:v>
                </c:pt>
                <c:pt idx="24">
                  <c:v>23.4377994537</c:v>
                </c:pt>
                <c:pt idx="25">
                  <c:v>23.4633998871</c:v>
                </c:pt>
                <c:pt idx="26">
                  <c:v>22.9720993042</c:v>
                </c:pt>
                <c:pt idx="27">
                  <c:v>22.8820991516</c:v>
                </c:pt>
                <c:pt idx="28">
                  <c:v>22.7684001923</c:v>
                </c:pt>
                <c:pt idx="29">
                  <c:v>22.5816993713</c:v>
                </c:pt>
                <c:pt idx="30">
                  <c:v>22.7080993652</c:v>
                </c:pt>
                <c:pt idx="31">
                  <c:v>22.3276004791</c:v>
                </c:pt>
                <c:pt idx="32">
                  <c:v>22.054599762</c:v>
                </c:pt>
                <c:pt idx="33">
                  <c:v>22.2227993011</c:v>
                </c:pt>
                <c:pt idx="34">
                  <c:v>21.8265991211</c:v>
                </c:pt>
                <c:pt idx="35">
                  <c:v>22.0104007721</c:v>
                </c:pt>
                <c:pt idx="36">
                  <c:v>21.7350997925</c:v>
                </c:pt>
                <c:pt idx="37">
                  <c:v>22.061000824</c:v>
                </c:pt>
                <c:pt idx="38">
                  <c:v>22.4109992981</c:v>
                </c:pt>
                <c:pt idx="39">
                  <c:v>22.5303993225</c:v>
                </c:pt>
                <c:pt idx="40">
                  <c:v>22.7991008759</c:v>
                </c:pt>
                <c:pt idx="41">
                  <c:v>22.9188995361</c:v>
                </c:pt>
                <c:pt idx="42">
                  <c:v>23.2448997498</c:v>
                </c:pt>
                <c:pt idx="43">
                  <c:v>23.0914993286</c:v>
                </c:pt>
                <c:pt idx="44">
                  <c:v>23.0389003754</c:v>
                </c:pt>
                <c:pt idx="45">
                  <c:v>22.6368999481</c:v>
                </c:pt>
                <c:pt idx="46">
                  <c:v>22.5531005859</c:v>
                </c:pt>
                <c:pt idx="47">
                  <c:v>22.7730007172</c:v>
                </c:pt>
                <c:pt idx="48">
                  <c:v>22.7588005066</c:v>
                </c:pt>
                <c:pt idx="49">
                  <c:v>22.529499054</c:v>
                </c:pt>
                <c:pt idx="50">
                  <c:v>22.4176006317</c:v>
                </c:pt>
                <c:pt idx="51">
                  <c:v>22.3164997101</c:v>
                </c:pt>
                <c:pt idx="52">
                  <c:v>22.4332008362</c:v>
                </c:pt>
                <c:pt idx="53">
                  <c:v>22.2919006348</c:v>
                </c:pt>
                <c:pt idx="54">
                  <c:v>22.1697998047</c:v>
                </c:pt>
                <c:pt idx="55">
                  <c:v>21.9599990845</c:v>
                </c:pt>
                <c:pt idx="56">
                  <c:v>22.3582000732</c:v>
                </c:pt>
                <c:pt idx="57">
                  <c:v>22.2413005829</c:v>
                </c:pt>
                <c:pt idx="58">
                  <c:v>22.0997009277</c:v>
                </c:pt>
                <c:pt idx="59">
                  <c:v>22.1816997528</c:v>
                </c:pt>
                <c:pt idx="60">
                  <c:v>22.1888008118</c:v>
                </c:pt>
                <c:pt idx="61">
                  <c:v>22.1790008545</c:v>
                </c:pt>
                <c:pt idx="62">
                  <c:v>22.0447998047</c:v>
                </c:pt>
                <c:pt idx="63">
                  <c:v>22.0993003845</c:v>
                </c:pt>
                <c:pt idx="64">
                  <c:v>22.3015995026</c:v>
                </c:pt>
                <c:pt idx="65">
                  <c:v>22.0802993774</c:v>
                </c:pt>
                <c:pt idx="66">
                  <c:v>21.795999527</c:v>
                </c:pt>
                <c:pt idx="67">
                  <c:v>21.8306999207</c:v>
                </c:pt>
                <c:pt idx="68">
                  <c:v>21.5792007446</c:v>
                </c:pt>
                <c:pt idx="69">
                  <c:v>21.2161006927</c:v>
                </c:pt>
                <c:pt idx="70">
                  <c:v>21.0319004059</c:v>
                </c:pt>
                <c:pt idx="71">
                  <c:v>20.6919002533</c:v>
                </c:pt>
                <c:pt idx="72">
                  <c:v>20.8365001678</c:v>
                </c:pt>
                <c:pt idx="73">
                  <c:v>20.8855991364</c:v>
                </c:pt>
                <c:pt idx="74">
                  <c:v>21.057100296</c:v>
                </c:pt>
                <c:pt idx="75">
                  <c:v>21.647600174</c:v>
                </c:pt>
                <c:pt idx="76">
                  <c:v>22.253900528</c:v>
                </c:pt>
                <c:pt idx="77">
                  <c:v>21.9596004486</c:v>
                </c:pt>
                <c:pt idx="78">
                  <c:v>21.903799057</c:v>
                </c:pt>
                <c:pt idx="79">
                  <c:v>21.7031993866</c:v>
                </c:pt>
                <c:pt idx="80">
                  <c:v>21.9377994537</c:v>
                </c:pt>
                <c:pt idx="81">
                  <c:v>22.3798999786</c:v>
                </c:pt>
                <c:pt idx="82">
                  <c:v>22.3314990997</c:v>
                </c:pt>
                <c:pt idx="83">
                  <c:v>22.3134002686</c:v>
                </c:pt>
                <c:pt idx="84">
                  <c:v>22.2693996429</c:v>
                </c:pt>
                <c:pt idx="85">
                  <c:v>22.1522006989</c:v>
                </c:pt>
                <c:pt idx="86">
                  <c:v>22.1683006287</c:v>
                </c:pt>
                <c:pt idx="87">
                  <c:v>22.2078990936</c:v>
                </c:pt>
                <c:pt idx="88">
                  <c:v>22.3700008392</c:v>
                </c:pt>
                <c:pt idx="89">
                  <c:v>22.1107006073</c:v>
                </c:pt>
                <c:pt idx="90">
                  <c:v>22.1487007141</c:v>
                </c:pt>
                <c:pt idx="91">
                  <c:v>22.2355995178</c:v>
                </c:pt>
                <c:pt idx="92">
                  <c:v>22.1944007874</c:v>
                </c:pt>
                <c:pt idx="93">
                  <c:v>21.8950004578</c:v>
                </c:pt>
                <c:pt idx="94">
                  <c:v>22.0674991608</c:v>
                </c:pt>
                <c:pt idx="95">
                  <c:v>21.8691005707</c:v>
                </c:pt>
                <c:pt idx="96">
                  <c:v>21.7378997803</c:v>
                </c:pt>
                <c:pt idx="97">
                  <c:v>21.846200943</c:v>
                </c:pt>
                <c:pt idx="98">
                  <c:v>21.642999649</c:v>
                </c:pt>
                <c:pt idx="99">
                  <c:v>21.6121006012</c:v>
                </c:pt>
                <c:pt idx="100">
                  <c:v>21.571100235</c:v>
                </c:pt>
                <c:pt idx="101">
                  <c:v>21.4433002472</c:v>
                </c:pt>
                <c:pt idx="102">
                  <c:v>21.0433006287</c:v>
                </c:pt>
                <c:pt idx="103">
                  <c:v>21.1728992462</c:v>
                </c:pt>
                <c:pt idx="104">
                  <c:v>21.1322002411</c:v>
                </c:pt>
                <c:pt idx="105">
                  <c:v>21.1956005096</c:v>
                </c:pt>
                <c:pt idx="106">
                  <c:v>21.1364994049</c:v>
                </c:pt>
                <c:pt idx="107">
                  <c:v>21.123500824</c:v>
                </c:pt>
                <c:pt idx="108">
                  <c:v>20.8006000519</c:v>
                </c:pt>
                <c:pt idx="109">
                  <c:v>20.6751995087</c:v>
                </c:pt>
                <c:pt idx="110">
                  <c:v>20.6047992706</c:v>
                </c:pt>
                <c:pt idx="111">
                  <c:v>20.3887004852</c:v>
                </c:pt>
                <c:pt idx="112">
                  <c:v>20.388999939</c:v>
                </c:pt>
                <c:pt idx="113">
                  <c:v>20.1245002747</c:v>
                </c:pt>
                <c:pt idx="114">
                  <c:v>20.3327999115</c:v>
                </c:pt>
                <c:pt idx="115">
                  <c:v>20.2670993805</c:v>
                </c:pt>
                <c:pt idx="116">
                  <c:v>20.3453006744</c:v>
                </c:pt>
                <c:pt idx="117">
                  <c:v>20.1424007416</c:v>
                </c:pt>
                <c:pt idx="118">
                  <c:v>20.2138996124</c:v>
                </c:pt>
                <c:pt idx="119">
                  <c:v>20.7418003082</c:v>
                </c:pt>
                <c:pt idx="120">
                  <c:v>20.9018993378</c:v>
                </c:pt>
                <c:pt idx="121">
                  <c:v>20.6438999176</c:v>
                </c:pt>
                <c:pt idx="122">
                  <c:v>20.5114994049</c:v>
                </c:pt>
                <c:pt idx="123">
                  <c:v>20.2663002014</c:v>
                </c:pt>
                <c:pt idx="124">
                  <c:v>20.0680007935</c:v>
                </c:pt>
                <c:pt idx="125">
                  <c:v>19.7017993927</c:v>
                </c:pt>
                <c:pt idx="126">
                  <c:v>19.7569999695</c:v>
                </c:pt>
                <c:pt idx="127">
                  <c:v>19.6530990601</c:v>
                </c:pt>
                <c:pt idx="128">
                  <c:v>19.9186992645</c:v>
                </c:pt>
                <c:pt idx="129">
                  <c:v>19.8176002502</c:v>
                </c:pt>
                <c:pt idx="130">
                  <c:v>19.7479000092</c:v>
                </c:pt>
                <c:pt idx="131">
                  <c:v>19.8078994751</c:v>
                </c:pt>
                <c:pt idx="132">
                  <c:v>19.3101005554</c:v>
                </c:pt>
                <c:pt idx="133">
                  <c:v>19.4708995819</c:v>
                </c:pt>
                <c:pt idx="134">
                  <c:v>19.349199295</c:v>
                </c:pt>
                <c:pt idx="135">
                  <c:v>18.6769008636</c:v>
                </c:pt>
                <c:pt idx="136">
                  <c:v>18.9176998138</c:v>
                </c:pt>
                <c:pt idx="137">
                  <c:v>19.1387004852</c:v>
                </c:pt>
                <c:pt idx="138">
                  <c:v>19.5396995544</c:v>
                </c:pt>
                <c:pt idx="139">
                  <c:v>19.3584003448</c:v>
                </c:pt>
                <c:pt idx="140">
                  <c:v>18.9915008545</c:v>
                </c:pt>
                <c:pt idx="141">
                  <c:v>18.5156002045</c:v>
                </c:pt>
                <c:pt idx="142">
                  <c:v>18.1916999817</c:v>
                </c:pt>
                <c:pt idx="143">
                  <c:v>18.2173995972</c:v>
                </c:pt>
                <c:pt idx="144">
                  <c:v>17.8230991364</c:v>
                </c:pt>
                <c:pt idx="145">
                  <c:v>17.6243991852</c:v>
                </c:pt>
                <c:pt idx="146">
                  <c:v>18.698299408</c:v>
                </c:pt>
                <c:pt idx="147">
                  <c:v>19.2017002106</c:v>
                </c:pt>
                <c:pt idx="148">
                  <c:v>19.4246006012</c:v>
                </c:pt>
                <c:pt idx="149">
                  <c:v>19.5804004669</c:v>
                </c:pt>
                <c:pt idx="150">
                  <c:v>19.5939006805</c:v>
                </c:pt>
                <c:pt idx="151">
                  <c:v>19.7658004761</c:v>
                </c:pt>
                <c:pt idx="152">
                  <c:v>19.9202003479</c:v>
                </c:pt>
                <c:pt idx="153">
                  <c:v>19.9797000885</c:v>
                </c:pt>
                <c:pt idx="154">
                  <c:v>19.9480991364</c:v>
                </c:pt>
                <c:pt idx="155">
                  <c:v>20.3572998047</c:v>
                </c:pt>
                <c:pt idx="156">
                  <c:v>20.0548992157</c:v>
                </c:pt>
                <c:pt idx="157">
                  <c:v>20.5918006897</c:v>
                </c:pt>
                <c:pt idx="158">
                  <c:v>20.7630996704</c:v>
                </c:pt>
                <c:pt idx="159">
                  <c:v>20.7677001953</c:v>
                </c:pt>
                <c:pt idx="160">
                  <c:v>20.7469997406</c:v>
                </c:pt>
                <c:pt idx="161">
                  <c:v>20.6996994019</c:v>
                </c:pt>
                <c:pt idx="162">
                  <c:v>20.4426002502</c:v>
                </c:pt>
                <c:pt idx="163">
                  <c:v>20.6457004547</c:v>
                </c:pt>
                <c:pt idx="164">
                  <c:v>21.0918998718</c:v>
                </c:pt>
                <c:pt idx="165">
                  <c:v>21.1760997772</c:v>
                </c:pt>
                <c:pt idx="166">
                  <c:v>21.1215000153</c:v>
                </c:pt>
                <c:pt idx="167">
                  <c:v>21.0335006714</c:v>
                </c:pt>
                <c:pt idx="168">
                  <c:v>21.199300766</c:v>
                </c:pt>
                <c:pt idx="169">
                  <c:v>21.5023994446</c:v>
                </c:pt>
                <c:pt idx="170">
                  <c:v>21.3614006042</c:v>
                </c:pt>
                <c:pt idx="171">
                  <c:v>21.4101009369</c:v>
                </c:pt>
                <c:pt idx="172">
                  <c:v>21.3705005646</c:v>
                </c:pt>
                <c:pt idx="173">
                  <c:v>21.1161003113</c:v>
                </c:pt>
                <c:pt idx="174">
                  <c:v>20.8267993927</c:v>
                </c:pt>
                <c:pt idx="175">
                  <c:v>20.8971004486</c:v>
                </c:pt>
                <c:pt idx="176">
                  <c:v>20.3705997467</c:v>
                </c:pt>
                <c:pt idx="177">
                  <c:v>20.7266998291</c:v>
                </c:pt>
                <c:pt idx="178">
                  <c:v>21.1940994263</c:v>
                </c:pt>
                <c:pt idx="179">
                  <c:v>21.5751991272</c:v>
                </c:pt>
                <c:pt idx="180">
                  <c:v>21.4748001099</c:v>
                </c:pt>
                <c:pt idx="181">
                  <c:v>21.353099823</c:v>
                </c:pt>
                <c:pt idx="182">
                  <c:v>21.0403003693</c:v>
                </c:pt>
                <c:pt idx="183">
                  <c:v>21.1383991241</c:v>
                </c:pt>
                <c:pt idx="184">
                  <c:v>20.8384990692</c:v>
                </c:pt>
                <c:pt idx="185">
                  <c:v>20.8439006805</c:v>
                </c:pt>
                <c:pt idx="186">
                  <c:v>20.6644992828</c:v>
                </c:pt>
                <c:pt idx="187">
                  <c:v>20.9619007111</c:v>
                </c:pt>
                <c:pt idx="188">
                  <c:v>20.4032001495</c:v>
                </c:pt>
                <c:pt idx="189">
                  <c:v>20.8997001648</c:v>
                </c:pt>
                <c:pt idx="190">
                  <c:v>20.89220047</c:v>
                </c:pt>
                <c:pt idx="191">
                  <c:v>20.6912002563</c:v>
                </c:pt>
                <c:pt idx="192">
                  <c:v>20.3780994415</c:v>
                </c:pt>
                <c:pt idx="193">
                  <c:v>20.2245998383</c:v>
                </c:pt>
                <c:pt idx="194">
                  <c:v>20.3631000519</c:v>
                </c:pt>
                <c:pt idx="195">
                  <c:v>20.4570999146</c:v>
                </c:pt>
                <c:pt idx="196">
                  <c:v>21.1765003204</c:v>
                </c:pt>
                <c:pt idx="197">
                  <c:v>22.2998008728</c:v>
                </c:pt>
                <c:pt idx="198">
                  <c:v>22.5093002319</c:v>
                </c:pt>
                <c:pt idx="199">
                  <c:v>22.9706001282</c:v>
                </c:pt>
                <c:pt idx="200">
                  <c:v>22.9719009399</c:v>
                </c:pt>
                <c:pt idx="201">
                  <c:v>22.676399231</c:v>
                </c:pt>
                <c:pt idx="202">
                  <c:v>23.0020008087</c:v>
                </c:pt>
                <c:pt idx="203">
                  <c:v>22.8875999451</c:v>
                </c:pt>
                <c:pt idx="204">
                  <c:v>22.7721996307</c:v>
                </c:pt>
                <c:pt idx="205">
                  <c:v>22.7670993805</c:v>
                </c:pt>
                <c:pt idx="206">
                  <c:v>22.554599762</c:v>
                </c:pt>
                <c:pt idx="207">
                  <c:v>22.594499588</c:v>
                </c:pt>
                <c:pt idx="208">
                  <c:v>22.8409996033</c:v>
                </c:pt>
                <c:pt idx="209">
                  <c:v>22.9449996948</c:v>
                </c:pt>
                <c:pt idx="210">
                  <c:v>22.7810001373</c:v>
                </c:pt>
                <c:pt idx="211">
                  <c:v>22.787399292</c:v>
                </c:pt>
                <c:pt idx="212">
                  <c:v>22.4356994629</c:v>
                </c:pt>
                <c:pt idx="213">
                  <c:v>22.1814994812</c:v>
                </c:pt>
                <c:pt idx="214">
                  <c:v>22.3630008698</c:v>
                </c:pt>
                <c:pt idx="215">
                  <c:v>22.1184997559</c:v>
                </c:pt>
                <c:pt idx="216">
                  <c:v>22.1958007812</c:v>
                </c:pt>
                <c:pt idx="217">
                  <c:v>22.1144008636</c:v>
                </c:pt>
                <c:pt idx="218">
                  <c:v>22.0699996948</c:v>
                </c:pt>
                <c:pt idx="219">
                  <c:v>22.0835990906</c:v>
                </c:pt>
                <c:pt idx="220">
                  <c:v>22.3166007996</c:v>
                </c:pt>
                <c:pt idx="221">
                  <c:v>22.1494007111</c:v>
                </c:pt>
                <c:pt idx="222">
                  <c:v>22.0097999573</c:v>
                </c:pt>
                <c:pt idx="223">
                  <c:v>21.8512992859</c:v>
                </c:pt>
                <c:pt idx="224">
                  <c:v>21.8570995331</c:v>
                </c:pt>
                <c:pt idx="225">
                  <c:v>21.8738994598</c:v>
                </c:pt>
                <c:pt idx="226">
                  <c:v>21.7450008392</c:v>
                </c:pt>
                <c:pt idx="227">
                  <c:v>21.8132991791</c:v>
                </c:pt>
                <c:pt idx="228">
                  <c:v>21.7621994019</c:v>
                </c:pt>
                <c:pt idx="229">
                  <c:v>21.823299408</c:v>
                </c:pt>
                <c:pt idx="230">
                  <c:v>21.6007003784</c:v>
                </c:pt>
                <c:pt idx="231">
                  <c:v>21.2716999054</c:v>
                </c:pt>
                <c:pt idx="232">
                  <c:v>21.251499176</c:v>
                </c:pt>
                <c:pt idx="233">
                  <c:v>20.9344997406</c:v>
                </c:pt>
                <c:pt idx="234">
                  <c:v>20.8015995026</c:v>
                </c:pt>
                <c:pt idx="235">
                  <c:v>21.0872993469</c:v>
                </c:pt>
                <c:pt idx="236">
                  <c:v>20.7660007477</c:v>
                </c:pt>
                <c:pt idx="237">
                  <c:v>20.7681999207</c:v>
                </c:pt>
                <c:pt idx="238">
                  <c:v>20.900100708</c:v>
                </c:pt>
                <c:pt idx="239">
                  <c:v>20.7129993439</c:v>
                </c:pt>
                <c:pt idx="240">
                  <c:v>20.585899353</c:v>
                </c:pt>
                <c:pt idx="241">
                  <c:v>20.383600235</c:v>
                </c:pt>
                <c:pt idx="242">
                  <c:v>20.4253005981</c:v>
                </c:pt>
                <c:pt idx="243">
                  <c:v>20.1310005188</c:v>
                </c:pt>
                <c:pt idx="244">
                  <c:v>20.4479999542</c:v>
                </c:pt>
                <c:pt idx="245">
                  <c:v>20.3941001892</c:v>
                </c:pt>
                <c:pt idx="246">
                  <c:v>20.7903003693</c:v>
                </c:pt>
                <c:pt idx="247">
                  <c:v>20.7716999054</c:v>
                </c:pt>
                <c:pt idx="248">
                  <c:v>20.6571006775</c:v>
                </c:pt>
                <c:pt idx="249">
                  <c:v>20.7980003357</c:v>
                </c:pt>
                <c:pt idx="250">
                  <c:v>20.7257003784</c:v>
                </c:pt>
                <c:pt idx="251">
                  <c:v>20.8465003967</c:v>
                </c:pt>
                <c:pt idx="252">
                  <c:v>20.8992996216</c:v>
                </c:pt>
                <c:pt idx="253">
                  <c:v>20.8075008392</c:v>
                </c:pt>
                <c:pt idx="254">
                  <c:v>20.1959991455</c:v>
                </c:pt>
                <c:pt idx="255">
                  <c:v>19.9605998993</c:v>
                </c:pt>
                <c:pt idx="256">
                  <c:v>19.9473991394</c:v>
                </c:pt>
                <c:pt idx="257">
                  <c:v>20.1965007782</c:v>
                </c:pt>
                <c:pt idx="258">
                  <c:v>19.9832000732</c:v>
                </c:pt>
                <c:pt idx="259">
                  <c:v>19.8439998627</c:v>
                </c:pt>
                <c:pt idx="260">
                  <c:v>20.4743995667</c:v>
                </c:pt>
                <c:pt idx="261">
                  <c:v>20.2691001892</c:v>
                </c:pt>
                <c:pt idx="262">
                  <c:v>20.0069007874</c:v>
                </c:pt>
                <c:pt idx="263">
                  <c:v>19.5629997253</c:v>
                </c:pt>
                <c:pt idx="264">
                  <c:v>19.7119007111</c:v>
                </c:pt>
                <c:pt idx="265">
                  <c:v>19.6961994171</c:v>
                </c:pt>
                <c:pt idx="266">
                  <c:v>19.6966991425</c:v>
                </c:pt>
                <c:pt idx="267">
                  <c:v>19.5739994049</c:v>
                </c:pt>
                <c:pt idx="268">
                  <c:v>19.528799057</c:v>
                </c:pt>
                <c:pt idx="269">
                  <c:v>19.5827999115</c:v>
                </c:pt>
                <c:pt idx="270">
                  <c:v>19.3642997742</c:v>
                </c:pt>
                <c:pt idx="271">
                  <c:v>19.4983005524</c:v>
                </c:pt>
                <c:pt idx="272">
                  <c:v>19.4472007751</c:v>
                </c:pt>
                <c:pt idx="273">
                  <c:v>19.4874992371</c:v>
                </c:pt>
                <c:pt idx="274">
                  <c:v>19.2056007385</c:v>
                </c:pt>
                <c:pt idx="275">
                  <c:v>19.153799057</c:v>
                </c:pt>
                <c:pt idx="276">
                  <c:v>19.0256004333</c:v>
                </c:pt>
                <c:pt idx="277">
                  <c:v>19.0312004089</c:v>
                </c:pt>
                <c:pt idx="278">
                  <c:v>19.1238994598</c:v>
                </c:pt>
                <c:pt idx="279">
                  <c:v>18.9076004028</c:v>
                </c:pt>
                <c:pt idx="280">
                  <c:v>18.8621006012</c:v>
                </c:pt>
                <c:pt idx="281">
                  <c:v>19.1576004028</c:v>
                </c:pt>
                <c:pt idx="282">
                  <c:v>19.7702999115</c:v>
                </c:pt>
                <c:pt idx="283">
                  <c:v>19.8300991058</c:v>
                </c:pt>
                <c:pt idx="284">
                  <c:v>20.0361995697</c:v>
                </c:pt>
                <c:pt idx="285">
                  <c:v>19.9416999817</c:v>
                </c:pt>
                <c:pt idx="286">
                  <c:v>20.0044002533</c:v>
                </c:pt>
                <c:pt idx="287">
                  <c:v>19.7227993011</c:v>
                </c:pt>
                <c:pt idx="288">
                  <c:v>19.5575008392</c:v>
                </c:pt>
                <c:pt idx="289">
                  <c:v>19.564699173</c:v>
                </c:pt>
                <c:pt idx="290">
                  <c:v>19.6147003174</c:v>
                </c:pt>
                <c:pt idx="291">
                  <c:v>19.4902000427</c:v>
                </c:pt>
                <c:pt idx="292">
                  <c:v>19.3176002502</c:v>
                </c:pt>
                <c:pt idx="293">
                  <c:v>19.39220047</c:v>
                </c:pt>
                <c:pt idx="294">
                  <c:v>19.6152000427</c:v>
                </c:pt>
                <c:pt idx="295">
                  <c:v>19.5806007385</c:v>
                </c:pt>
                <c:pt idx="296">
                  <c:v>19.5902004242</c:v>
                </c:pt>
                <c:pt idx="297">
                  <c:v>20.4265995026</c:v>
                </c:pt>
                <c:pt idx="298">
                  <c:v>20.6739997864</c:v>
                </c:pt>
                <c:pt idx="299">
                  <c:v>21.5828990936</c:v>
                </c:pt>
                <c:pt idx="300">
                  <c:v>22.9797000885</c:v>
                </c:pt>
                <c:pt idx="301">
                  <c:v>25.3920993805</c:v>
                </c:pt>
                <c:pt idx="302">
                  <c:v>27.5564002991</c:v>
                </c:pt>
                <c:pt idx="303">
                  <c:v>25.2761993408</c:v>
                </c:pt>
                <c:pt idx="304">
                  <c:v>25.1713008881</c:v>
                </c:pt>
                <c:pt idx="305">
                  <c:v>24.1956005096</c:v>
                </c:pt>
                <c:pt idx="306">
                  <c:v>24.8094005585</c:v>
                </c:pt>
                <c:pt idx="307">
                  <c:v>24.1608009338</c:v>
                </c:pt>
                <c:pt idx="308">
                  <c:v>23.9232997894</c:v>
                </c:pt>
                <c:pt idx="309">
                  <c:v>23.7332000732</c:v>
                </c:pt>
                <c:pt idx="310">
                  <c:v>24.7796993256</c:v>
                </c:pt>
                <c:pt idx="311">
                  <c:v>24.9342002869</c:v>
                </c:pt>
                <c:pt idx="312">
                  <c:v>25.1453990936</c:v>
                </c:pt>
                <c:pt idx="313">
                  <c:v>25.0361995697</c:v>
                </c:pt>
                <c:pt idx="314">
                  <c:v>24.6558990479</c:v>
                </c:pt>
                <c:pt idx="315">
                  <c:v>25.0662002563</c:v>
                </c:pt>
                <c:pt idx="316">
                  <c:v>25.4027004242</c:v>
                </c:pt>
                <c:pt idx="317">
                  <c:v>25.3278007507</c:v>
                </c:pt>
                <c:pt idx="318">
                  <c:v>25.1588001251</c:v>
                </c:pt>
                <c:pt idx="319">
                  <c:v>25.810300827</c:v>
                </c:pt>
                <c:pt idx="320">
                  <c:v>25.5361995697</c:v>
                </c:pt>
                <c:pt idx="321">
                  <c:v>26.0361995697</c:v>
                </c:pt>
                <c:pt idx="322">
                  <c:v>26.8208999634</c:v>
                </c:pt>
                <c:pt idx="323">
                  <c:v>26.7148990631</c:v>
                </c:pt>
                <c:pt idx="324">
                  <c:v>27.4097003937</c:v>
                </c:pt>
                <c:pt idx="325">
                  <c:v>27.2138996124</c:v>
                </c:pt>
                <c:pt idx="326">
                  <c:v>27.6751995087</c:v>
                </c:pt>
                <c:pt idx="327">
                  <c:v>27.507900238</c:v>
                </c:pt>
                <c:pt idx="328">
                  <c:v>27.5909996033</c:v>
                </c:pt>
                <c:pt idx="329">
                  <c:v>26.8582000732</c:v>
                </c:pt>
                <c:pt idx="330">
                  <c:v>26.1847000122</c:v>
                </c:pt>
                <c:pt idx="331">
                  <c:v>25.7674999237</c:v>
                </c:pt>
                <c:pt idx="332">
                  <c:v>26.197599411</c:v>
                </c:pt>
                <c:pt idx="333">
                  <c:v>26.3822002411</c:v>
                </c:pt>
                <c:pt idx="334">
                  <c:v>26.3512001038</c:v>
                </c:pt>
                <c:pt idx="335">
                  <c:v>25.4281997681</c:v>
                </c:pt>
                <c:pt idx="336">
                  <c:v>25.4074001312</c:v>
                </c:pt>
                <c:pt idx="337">
                  <c:v>25.2318992615</c:v>
                </c:pt>
                <c:pt idx="338">
                  <c:v>25.7772006989</c:v>
                </c:pt>
                <c:pt idx="339">
                  <c:v>25.4715995789</c:v>
                </c:pt>
                <c:pt idx="340">
                  <c:v>25.8757991791</c:v>
                </c:pt>
                <c:pt idx="341">
                  <c:v>26.2271003723</c:v>
                </c:pt>
                <c:pt idx="342">
                  <c:v>26.1473999023</c:v>
                </c:pt>
                <c:pt idx="343">
                  <c:v>25.8799991608</c:v>
                </c:pt>
                <c:pt idx="344">
                  <c:v>25.914100647</c:v>
                </c:pt>
                <c:pt idx="345">
                  <c:v>26.2989997864</c:v>
                </c:pt>
                <c:pt idx="346">
                  <c:v>26.1718006134</c:v>
                </c:pt>
                <c:pt idx="347">
                  <c:v>26.3661003113</c:v>
                </c:pt>
                <c:pt idx="348">
                  <c:v>26.4594993591</c:v>
                </c:pt>
                <c:pt idx="349">
                  <c:v>26.7385997772</c:v>
                </c:pt>
                <c:pt idx="350">
                  <c:v>26.1420993805</c:v>
                </c:pt>
                <c:pt idx="351">
                  <c:v>25.2343997955</c:v>
                </c:pt>
                <c:pt idx="352">
                  <c:v>25.1658000946</c:v>
                </c:pt>
                <c:pt idx="353">
                  <c:v>25.2821998596</c:v>
                </c:pt>
                <c:pt idx="354">
                  <c:v>25.4076004028</c:v>
                </c:pt>
                <c:pt idx="355">
                  <c:v>25.386800766</c:v>
                </c:pt>
                <c:pt idx="356">
                  <c:v>25.1599006653</c:v>
                </c:pt>
                <c:pt idx="357">
                  <c:v>25.4899997711</c:v>
                </c:pt>
                <c:pt idx="358">
                  <c:v>25.3369007111</c:v>
                </c:pt>
                <c:pt idx="359">
                  <c:v>25.4521999359</c:v>
                </c:pt>
                <c:pt idx="360">
                  <c:v>25.4340991974</c:v>
                </c:pt>
                <c:pt idx="361">
                  <c:v>25.4447994232</c:v>
                </c:pt>
                <c:pt idx="362">
                  <c:v>24.8708992004</c:v>
                </c:pt>
                <c:pt idx="363">
                  <c:v>24.0951004028</c:v>
                </c:pt>
                <c:pt idx="364">
                  <c:v>23.6765003204</c:v>
                </c:pt>
                <c:pt idx="365">
                  <c:v>23.6394996643</c:v>
                </c:pt>
                <c:pt idx="366">
                  <c:v>23.8677997589</c:v>
                </c:pt>
                <c:pt idx="367">
                  <c:v>23.752199173</c:v>
                </c:pt>
                <c:pt idx="368">
                  <c:v>23.7961006165</c:v>
                </c:pt>
                <c:pt idx="369">
                  <c:v>23.3801002502</c:v>
                </c:pt>
                <c:pt idx="370">
                  <c:v>23.3826999664</c:v>
                </c:pt>
                <c:pt idx="371">
                  <c:v>24.2385997772</c:v>
                </c:pt>
                <c:pt idx="372">
                  <c:v>23.9995994568</c:v>
                </c:pt>
                <c:pt idx="373">
                  <c:v>24.0699996948</c:v>
                </c:pt>
                <c:pt idx="374">
                  <c:v>24.2140007019</c:v>
                </c:pt>
                <c:pt idx="375">
                  <c:v>24.4284000397</c:v>
                </c:pt>
                <c:pt idx="376">
                  <c:v>24.5083007812</c:v>
                </c:pt>
                <c:pt idx="377">
                  <c:v>24.4671001434</c:v>
                </c:pt>
                <c:pt idx="378">
                  <c:v>24.3712005615</c:v>
                </c:pt>
                <c:pt idx="379">
                  <c:v>24.6277999878</c:v>
                </c:pt>
                <c:pt idx="380">
                  <c:v>24.3255004883</c:v>
                </c:pt>
                <c:pt idx="381">
                  <c:v>24.3334999084</c:v>
                </c:pt>
                <c:pt idx="382">
                  <c:v>24.8827991486</c:v>
                </c:pt>
                <c:pt idx="383">
                  <c:v>25.3127002716</c:v>
                </c:pt>
                <c:pt idx="384">
                  <c:v>25.448600769</c:v>
                </c:pt>
                <c:pt idx="385">
                  <c:v>25.2817001343</c:v>
                </c:pt>
                <c:pt idx="386">
                  <c:v>25.6357002258</c:v>
                </c:pt>
                <c:pt idx="387">
                  <c:v>25.4743003845</c:v>
                </c:pt>
                <c:pt idx="388">
                  <c:v>25.7576007843</c:v>
                </c:pt>
                <c:pt idx="389">
                  <c:v>25.8234004974</c:v>
                </c:pt>
                <c:pt idx="390">
                  <c:v>25.4375991821</c:v>
                </c:pt>
                <c:pt idx="391">
                  <c:v>25.7863006592</c:v>
                </c:pt>
                <c:pt idx="392">
                  <c:v>25.8341007233</c:v>
                </c:pt>
                <c:pt idx="393">
                  <c:v>26.1439990997</c:v>
                </c:pt>
                <c:pt idx="394">
                  <c:v>26.1891994476</c:v>
                </c:pt>
                <c:pt idx="395">
                  <c:v>25.8610992432</c:v>
                </c:pt>
                <c:pt idx="396">
                  <c:v>26.0680999756</c:v>
                </c:pt>
                <c:pt idx="397">
                  <c:v>26.0321998596</c:v>
                </c:pt>
                <c:pt idx="398">
                  <c:v>25.357000351</c:v>
                </c:pt>
                <c:pt idx="399">
                  <c:v>25.4729003906</c:v>
                </c:pt>
                <c:pt idx="400">
                  <c:v>25.5112991333</c:v>
                </c:pt>
                <c:pt idx="401">
                  <c:v>25.581199646</c:v>
                </c:pt>
                <c:pt idx="402">
                  <c:v>26.0083999634</c:v>
                </c:pt>
                <c:pt idx="403">
                  <c:v>25.8843002319</c:v>
                </c:pt>
                <c:pt idx="404">
                  <c:v>25.8320007324</c:v>
                </c:pt>
                <c:pt idx="405">
                  <c:v>25.9055995941</c:v>
                </c:pt>
                <c:pt idx="406">
                  <c:v>25.8693008423</c:v>
                </c:pt>
                <c:pt idx="407">
                  <c:v>25.6497993469</c:v>
                </c:pt>
                <c:pt idx="408">
                  <c:v>26.2476997375</c:v>
                </c:pt>
                <c:pt idx="409">
                  <c:v>26.1646003723</c:v>
                </c:pt>
                <c:pt idx="410">
                  <c:v>26.2773990631</c:v>
                </c:pt>
                <c:pt idx="411">
                  <c:v>26.2198009491</c:v>
                </c:pt>
                <c:pt idx="412">
                  <c:v>25.7289009094</c:v>
                </c:pt>
                <c:pt idx="413">
                  <c:v>25.2817993164</c:v>
                </c:pt>
                <c:pt idx="414">
                  <c:v>25.1462001801</c:v>
                </c:pt>
                <c:pt idx="415">
                  <c:v>24.9197998047</c:v>
                </c:pt>
                <c:pt idx="416">
                  <c:v>24.9174003601</c:v>
                </c:pt>
                <c:pt idx="417">
                  <c:v>25.0468997955</c:v>
                </c:pt>
                <c:pt idx="418">
                  <c:v>24.8698997498</c:v>
                </c:pt>
                <c:pt idx="419">
                  <c:v>24.7996006012</c:v>
                </c:pt>
                <c:pt idx="420">
                  <c:v>25.6770000458</c:v>
                </c:pt>
                <c:pt idx="421">
                  <c:v>25.6828994751</c:v>
                </c:pt>
                <c:pt idx="422">
                  <c:v>25.5265007019</c:v>
                </c:pt>
                <c:pt idx="423">
                  <c:v>23.1443996429</c:v>
                </c:pt>
                <c:pt idx="424">
                  <c:v>23.3794002533</c:v>
                </c:pt>
                <c:pt idx="425">
                  <c:v>23.5960998535</c:v>
                </c:pt>
                <c:pt idx="426">
                  <c:v>24.1016998291</c:v>
                </c:pt>
                <c:pt idx="427">
                  <c:v>24.2467002869</c:v>
                </c:pt>
                <c:pt idx="428">
                  <c:v>24.3885993958</c:v>
                </c:pt>
                <c:pt idx="429">
                  <c:v>24.2080993652</c:v>
                </c:pt>
                <c:pt idx="430">
                  <c:v>24.0037994385</c:v>
                </c:pt>
                <c:pt idx="431">
                  <c:v>23.9755001068</c:v>
                </c:pt>
                <c:pt idx="432">
                  <c:v>23.9479999542</c:v>
                </c:pt>
                <c:pt idx="433">
                  <c:v>24.3740997314</c:v>
                </c:pt>
                <c:pt idx="434">
                  <c:v>24.3439998627</c:v>
                </c:pt>
                <c:pt idx="435">
                  <c:v>24.5105991364</c:v>
                </c:pt>
                <c:pt idx="436">
                  <c:v>24.410900116</c:v>
                </c:pt>
                <c:pt idx="437">
                  <c:v>24.7835006714</c:v>
                </c:pt>
                <c:pt idx="438">
                  <c:v>24.4927997589</c:v>
                </c:pt>
                <c:pt idx="439">
                  <c:v>24.5317001343</c:v>
                </c:pt>
                <c:pt idx="440">
                  <c:v>24.3952999115</c:v>
                </c:pt>
                <c:pt idx="441">
                  <c:v>24.8036994934</c:v>
                </c:pt>
                <c:pt idx="442">
                  <c:v>24.8801002502</c:v>
                </c:pt>
                <c:pt idx="443">
                  <c:v>25.1151008606</c:v>
                </c:pt>
                <c:pt idx="444">
                  <c:v>24.9654998779</c:v>
                </c:pt>
                <c:pt idx="445">
                  <c:v>25.3992004395</c:v>
                </c:pt>
                <c:pt idx="446">
                  <c:v>25.3565998077</c:v>
                </c:pt>
                <c:pt idx="447">
                  <c:v>25.5344009399</c:v>
                </c:pt>
                <c:pt idx="448">
                  <c:v>25.1676006317</c:v>
                </c:pt>
                <c:pt idx="449">
                  <c:v>25.1481990814</c:v>
                </c:pt>
                <c:pt idx="450">
                  <c:v>25.1438999176</c:v>
                </c:pt>
                <c:pt idx="451">
                  <c:v>25.3640003204</c:v>
                </c:pt>
                <c:pt idx="452">
                  <c:v>25.4818992615</c:v>
                </c:pt>
                <c:pt idx="453">
                  <c:v>25.2980003357</c:v>
                </c:pt>
                <c:pt idx="454">
                  <c:v>25.1219997406</c:v>
                </c:pt>
                <c:pt idx="455">
                  <c:v>24.9775009155</c:v>
                </c:pt>
                <c:pt idx="456">
                  <c:v>24.827999115</c:v>
                </c:pt>
                <c:pt idx="457">
                  <c:v>24.7509002686</c:v>
                </c:pt>
                <c:pt idx="458">
                  <c:v>25.0347995758</c:v>
                </c:pt>
                <c:pt idx="459">
                  <c:v>24.8213996887</c:v>
                </c:pt>
                <c:pt idx="460">
                  <c:v>24.8850002289</c:v>
                </c:pt>
                <c:pt idx="461">
                  <c:v>25.0727005005</c:v>
                </c:pt>
                <c:pt idx="462">
                  <c:v>25.1958007812</c:v>
                </c:pt>
                <c:pt idx="463">
                  <c:v>25.1655006409</c:v>
                </c:pt>
                <c:pt idx="464">
                  <c:v>25.2903003693</c:v>
                </c:pt>
                <c:pt idx="465">
                  <c:v>25.0911998749</c:v>
                </c:pt>
                <c:pt idx="466">
                  <c:v>26.3334007263</c:v>
                </c:pt>
                <c:pt idx="467">
                  <c:v>26.2593002319</c:v>
                </c:pt>
                <c:pt idx="468">
                  <c:v>25.9855003357</c:v>
                </c:pt>
                <c:pt idx="469">
                  <c:v>26.0785007477</c:v>
                </c:pt>
                <c:pt idx="470">
                  <c:v>26.0349006653</c:v>
                </c:pt>
                <c:pt idx="471">
                  <c:v>26.095199585</c:v>
                </c:pt>
                <c:pt idx="472">
                  <c:v>25.7651996613</c:v>
                </c:pt>
                <c:pt idx="473">
                  <c:v>25.6562995911</c:v>
                </c:pt>
                <c:pt idx="474">
                  <c:v>25.7408008575</c:v>
                </c:pt>
                <c:pt idx="475">
                  <c:v>26.1534996033</c:v>
                </c:pt>
                <c:pt idx="476">
                  <c:v>26.5853996277</c:v>
                </c:pt>
                <c:pt idx="477">
                  <c:v>26.408000946</c:v>
                </c:pt>
                <c:pt idx="478">
                  <c:v>26.4622993469</c:v>
                </c:pt>
                <c:pt idx="479">
                  <c:v>26.6471004486</c:v>
                </c:pt>
                <c:pt idx="480">
                  <c:v>26.6762008667</c:v>
                </c:pt>
                <c:pt idx="481">
                  <c:v>26.5340003967</c:v>
                </c:pt>
                <c:pt idx="482">
                  <c:v>26.816400528</c:v>
                </c:pt>
                <c:pt idx="483">
                  <c:v>26.7665996552</c:v>
                </c:pt>
                <c:pt idx="484">
                  <c:v>26.6130008698</c:v>
                </c:pt>
                <c:pt idx="485">
                  <c:v>26.9423999786</c:v>
                </c:pt>
                <c:pt idx="486">
                  <c:v>26.9314994812</c:v>
                </c:pt>
                <c:pt idx="487">
                  <c:v>27.0503997803</c:v>
                </c:pt>
                <c:pt idx="488">
                  <c:v>27.2042999268</c:v>
                </c:pt>
                <c:pt idx="489">
                  <c:v>27.1453990936</c:v>
                </c:pt>
                <c:pt idx="490">
                  <c:v>27.2409000397</c:v>
                </c:pt>
                <c:pt idx="491">
                  <c:v>27.1888999939</c:v>
                </c:pt>
                <c:pt idx="492">
                  <c:v>27.5414009094</c:v>
                </c:pt>
                <c:pt idx="493">
                  <c:v>27.6781005859</c:v>
                </c:pt>
                <c:pt idx="494">
                  <c:v>27.9409008026</c:v>
                </c:pt>
                <c:pt idx="495">
                  <c:v>28.2175006866</c:v>
                </c:pt>
                <c:pt idx="496">
                  <c:v>28.1058006287</c:v>
                </c:pt>
                <c:pt idx="497">
                  <c:v>28.4395008087</c:v>
                </c:pt>
                <c:pt idx="498">
                  <c:v>28.3215999603</c:v>
                </c:pt>
                <c:pt idx="499">
                  <c:v>28.425699234</c:v>
                </c:pt>
                <c:pt idx="500">
                  <c:v>27.6261997223</c:v>
                </c:pt>
                <c:pt idx="501">
                  <c:v>27.414100647</c:v>
                </c:pt>
                <c:pt idx="502">
                  <c:v>26.7630004883</c:v>
                </c:pt>
                <c:pt idx="503">
                  <c:v>26.7171993256</c:v>
                </c:pt>
                <c:pt idx="504">
                  <c:v>26.8008003235</c:v>
                </c:pt>
                <c:pt idx="505">
                  <c:v>26.9580993652</c:v>
                </c:pt>
                <c:pt idx="506">
                  <c:v>27.1236991882</c:v>
                </c:pt>
                <c:pt idx="507">
                  <c:v>27.0855998993</c:v>
                </c:pt>
                <c:pt idx="508">
                  <c:v>27.0270004272</c:v>
                </c:pt>
                <c:pt idx="509">
                  <c:v>27.3857002258</c:v>
                </c:pt>
                <c:pt idx="510">
                  <c:v>27.5062007904</c:v>
                </c:pt>
                <c:pt idx="511">
                  <c:v>27.8903999329</c:v>
                </c:pt>
                <c:pt idx="512">
                  <c:v>27.6599006653</c:v>
                </c:pt>
                <c:pt idx="513">
                  <c:v>28.0478992462</c:v>
                </c:pt>
                <c:pt idx="514">
                  <c:v>28.488199234</c:v>
                </c:pt>
                <c:pt idx="515">
                  <c:v>28.4692993164</c:v>
                </c:pt>
                <c:pt idx="516">
                  <c:v>28.7404994965</c:v>
                </c:pt>
                <c:pt idx="517">
                  <c:v>28.6487007141</c:v>
                </c:pt>
                <c:pt idx="518">
                  <c:v>29.3143005371</c:v>
                </c:pt>
                <c:pt idx="519">
                  <c:v>29.9775009155</c:v>
                </c:pt>
                <c:pt idx="520">
                  <c:v>29.8850002289</c:v>
                </c:pt>
                <c:pt idx="521">
                  <c:v>29.3190994263</c:v>
                </c:pt>
                <c:pt idx="522">
                  <c:v>29.934299469</c:v>
                </c:pt>
                <c:pt idx="523">
                  <c:v>30.2332992554</c:v>
                </c:pt>
                <c:pt idx="524">
                  <c:v>30.4480991364</c:v>
                </c:pt>
                <c:pt idx="525">
                  <c:v>29.8605995178</c:v>
                </c:pt>
                <c:pt idx="526">
                  <c:v>29.5536003113</c:v>
                </c:pt>
                <c:pt idx="527">
                  <c:v>28.8064002991</c:v>
                </c:pt>
                <c:pt idx="528">
                  <c:v>29.8127002716</c:v>
                </c:pt>
                <c:pt idx="529">
                  <c:v>30.0240001678</c:v>
                </c:pt>
                <c:pt idx="530">
                  <c:v>29.6856994629</c:v>
                </c:pt>
                <c:pt idx="531">
                  <c:v>29.7562999725</c:v>
                </c:pt>
                <c:pt idx="532">
                  <c:v>30.6373004913</c:v>
                </c:pt>
                <c:pt idx="533">
                  <c:v>30.5184993744</c:v>
                </c:pt>
                <c:pt idx="534">
                  <c:v>30.7089996338</c:v>
                </c:pt>
                <c:pt idx="535">
                  <c:v>30.8045005798</c:v>
                </c:pt>
                <c:pt idx="536">
                  <c:v>31.1585998535</c:v>
                </c:pt>
                <c:pt idx="537">
                  <c:v>30.8136997223</c:v>
                </c:pt>
                <c:pt idx="538">
                  <c:v>30.7989006042</c:v>
                </c:pt>
                <c:pt idx="539">
                  <c:v>30.9750995636</c:v>
                </c:pt>
                <c:pt idx="540">
                  <c:v>30.8500995636</c:v>
                </c:pt>
                <c:pt idx="541">
                  <c:v>31.3623008728</c:v>
                </c:pt>
                <c:pt idx="542">
                  <c:v>31.5307006836</c:v>
                </c:pt>
                <c:pt idx="543">
                  <c:v>31.0562992096</c:v>
                </c:pt>
                <c:pt idx="544">
                  <c:v>31.6520996094</c:v>
                </c:pt>
                <c:pt idx="545">
                  <c:v>31.7880001068</c:v>
                </c:pt>
                <c:pt idx="546">
                  <c:v>32.2713012695</c:v>
                </c:pt>
                <c:pt idx="547">
                  <c:v>31.5132007599</c:v>
                </c:pt>
                <c:pt idx="548">
                  <c:v>31.214799881</c:v>
                </c:pt>
                <c:pt idx="549">
                  <c:v>30.5347003937</c:v>
                </c:pt>
                <c:pt idx="550">
                  <c:v>31.0058002472</c:v>
                </c:pt>
                <c:pt idx="551">
                  <c:v>30.9193000793</c:v>
                </c:pt>
                <c:pt idx="552">
                  <c:v>30.0156993866</c:v>
                </c:pt>
                <c:pt idx="553">
                  <c:v>30.2183990479</c:v>
                </c:pt>
                <c:pt idx="554">
                  <c:v>30.5433006287</c:v>
                </c:pt>
                <c:pt idx="555">
                  <c:v>30.466299057</c:v>
                </c:pt>
                <c:pt idx="556">
                  <c:v>30.5359992981</c:v>
                </c:pt>
                <c:pt idx="557">
                  <c:v>31.0333995819</c:v>
                </c:pt>
                <c:pt idx="558">
                  <c:v>31.2562999725</c:v>
                </c:pt>
                <c:pt idx="559">
                  <c:v>30.9622993469</c:v>
                </c:pt>
                <c:pt idx="560">
                  <c:v>31.3952999115</c:v>
                </c:pt>
                <c:pt idx="561">
                  <c:v>30.8202991486</c:v>
                </c:pt>
                <c:pt idx="562">
                  <c:v>30.830499649</c:v>
                </c:pt>
                <c:pt idx="563">
                  <c:v>30.8778991699</c:v>
                </c:pt>
                <c:pt idx="564">
                  <c:v>30.3694000244</c:v>
                </c:pt>
                <c:pt idx="565">
                  <c:v>30.4591007233</c:v>
                </c:pt>
                <c:pt idx="566">
                  <c:v>30.9605998993</c:v>
                </c:pt>
                <c:pt idx="567">
                  <c:v>30.8726005554</c:v>
                </c:pt>
                <c:pt idx="568">
                  <c:v>30.9876995087</c:v>
                </c:pt>
                <c:pt idx="569">
                  <c:v>30.710899353</c:v>
                </c:pt>
                <c:pt idx="570">
                  <c:v>30.5888996124</c:v>
                </c:pt>
                <c:pt idx="571">
                  <c:v>31.1096992493</c:v>
                </c:pt>
                <c:pt idx="572">
                  <c:v>30.5555000305</c:v>
                </c:pt>
                <c:pt idx="573">
                  <c:v>30.4780006409</c:v>
                </c:pt>
                <c:pt idx="574">
                  <c:v>30.1870994568</c:v>
                </c:pt>
                <c:pt idx="575">
                  <c:v>30.1693992615</c:v>
                </c:pt>
                <c:pt idx="576">
                  <c:v>29.9302997589</c:v>
                </c:pt>
                <c:pt idx="577">
                  <c:v>28.9804992676</c:v>
                </c:pt>
                <c:pt idx="578">
                  <c:v>29.0918998718</c:v>
                </c:pt>
                <c:pt idx="579">
                  <c:v>29.4652996063</c:v>
                </c:pt>
                <c:pt idx="580">
                  <c:v>29.6951007843</c:v>
                </c:pt>
                <c:pt idx="581">
                  <c:v>29.6247997284</c:v>
                </c:pt>
                <c:pt idx="582">
                  <c:v>29.8677005768</c:v>
                </c:pt>
                <c:pt idx="583">
                  <c:v>30.2150993347</c:v>
                </c:pt>
                <c:pt idx="584">
                  <c:v>30.0158004761</c:v>
                </c:pt>
                <c:pt idx="585">
                  <c:v>29.7929000854</c:v>
                </c:pt>
                <c:pt idx="586">
                  <c:v>29.8812007904</c:v>
                </c:pt>
                <c:pt idx="587">
                  <c:v>30.1823005676</c:v>
                </c:pt>
                <c:pt idx="588">
                  <c:v>30.5494003296</c:v>
                </c:pt>
                <c:pt idx="589">
                  <c:v>30.3834991455</c:v>
                </c:pt>
                <c:pt idx="590">
                  <c:v>30.4676990509</c:v>
                </c:pt>
                <c:pt idx="591">
                  <c:v>30.1191997528</c:v>
                </c:pt>
                <c:pt idx="592">
                  <c:v>30.3567008972</c:v>
                </c:pt>
                <c:pt idx="593">
                  <c:v>30.3637008667</c:v>
                </c:pt>
                <c:pt idx="594">
                  <c:v>29.9535007477</c:v>
                </c:pt>
                <c:pt idx="595">
                  <c:v>30.6093997955</c:v>
                </c:pt>
                <c:pt idx="596">
                  <c:v>30.2472991943</c:v>
                </c:pt>
                <c:pt idx="597">
                  <c:v>30.4496994019</c:v>
                </c:pt>
                <c:pt idx="598">
                  <c:v>30.8442993164</c:v>
                </c:pt>
                <c:pt idx="599">
                  <c:v>30.9218006134</c:v>
                </c:pt>
                <c:pt idx="600">
                  <c:v>31.1604995728</c:v>
                </c:pt>
                <c:pt idx="601">
                  <c:v>31.2721996307</c:v>
                </c:pt>
                <c:pt idx="602">
                  <c:v>31.4431991577</c:v>
                </c:pt>
                <c:pt idx="603">
                  <c:v>31.2982006073</c:v>
                </c:pt>
                <c:pt idx="604">
                  <c:v>31.4204006195</c:v>
                </c:pt>
                <c:pt idx="605">
                  <c:v>31.2409992218</c:v>
                </c:pt>
                <c:pt idx="606">
                  <c:v>31.9011993408</c:v>
                </c:pt>
                <c:pt idx="607">
                  <c:v>32.367401123</c:v>
                </c:pt>
                <c:pt idx="608">
                  <c:v>32.3690986633</c:v>
                </c:pt>
                <c:pt idx="609">
                  <c:v>32.211101532</c:v>
                </c:pt>
                <c:pt idx="610">
                  <c:v>32.5820999146</c:v>
                </c:pt>
                <c:pt idx="611">
                  <c:v>33.1041984558</c:v>
                </c:pt>
                <c:pt idx="612">
                  <c:v>32.7509994507</c:v>
                </c:pt>
                <c:pt idx="613">
                  <c:v>32.9103012085</c:v>
                </c:pt>
                <c:pt idx="614">
                  <c:v>33.0084991455</c:v>
                </c:pt>
                <c:pt idx="615">
                  <c:v>32.9412002563</c:v>
                </c:pt>
                <c:pt idx="616">
                  <c:v>32.9939994812</c:v>
                </c:pt>
                <c:pt idx="617">
                  <c:v>32.7332000732</c:v>
                </c:pt>
                <c:pt idx="618">
                  <c:v>32.8835983276</c:v>
                </c:pt>
                <c:pt idx="619">
                  <c:v>33.0512008667</c:v>
                </c:pt>
                <c:pt idx="620">
                  <c:v>33.3095016479</c:v>
                </c:pt>
                <c:pt idx="621">
                  <c:v>33.043800354</c:v>
                </c:pt>
                <c:pt idx="622">
                  <c:v>33.0304985046</c:v>
                </c:pt>
                <c:pt idx="623">
                  <c:v>33.074798584</c:v>
                </c:pt>
                <c:pt idx="624">
                  <c:v>32.9986000061</c:v>
                </c:pt>
                <c:pt idx="625">
                  <c:v>32.7246017456</c:v>
                </c:pt>
                <c:pt idx="626">
                  <c:v>31.8673992157</c:v>
                </c:pt>
                <c:pt idx="627">
                  <c:v>32.5350990295</c:v>
                </c:pt>
                <c:pt idx="628">
                  <c:v>32.695098877</c:v>
                </c:pt>
                <c:pt idx="629">
                  <c:v>32.2790985107</c:v>
                </c:pt>
                <c:pt idx="630">
                  <c:v>32.1966018677</c:v>
                </c:pt>
                <c:pt idx="631">
                  <c:v>32.8042984009</c:v>
                </c:pt>
                <c:pt idx="632">
                  <c:v>32.8321990967</c:v>
                </c:pt>
                <c:pt idx="633">
                  <c:v>32.7752990723</c:v>
                </c:pt>
                <c:pt idx="634">
                  <c:v>33.0172996521</c:v>
                </c:pt>
                <c:pt idx="635">
                  <c:v>32.6111984253</c:v>
                </c:pt>
                <c:pt idx="636">
                  <c:v>33.0410003662</c:v>
                </c:pt>
                <c:pt idx="637">
                  <c:v>33.5392990112</c:v>
                </c:pt>
                <c:pt idx="638">
                  <c:v>33.6114997864</c:v>
                </c:pt>
                <c:pt idx="639">
                  <c:v>33.6542015076</c:v>
                </c:pt>
                <c:pt idx="640">
                  <c:v>33.4833984375</c:v>
                </c:pt>
                <c:pt idx="641">
                  <c:v>32.520198822</c:v>
                </c:pt>
                <c:pt idx="642">
                  <c:v>32.2795982361</c:v>
                </c:pt>
                <c:pt idx="643">
                  <c:v>32.6073989868</c:v>
                </c:pt>
                <c:pt idx="644">
                  <c:v>32.810798645</c:v>
                </c:pt>
                <c:pt idx="645">
                  <c:v>32.6012001038</c:v>
                </c:pt>
                <c:pt idx="646">
                  <c:v>32.8446998596</c:v>
                </c:pt>
                <c:pt idx="647">
                  <c:v>33.1239013672</c:v>
                </c:pt>
                <c:pt idx="648">
                  <c:v>32.965801239</c:v>
                </c:pt>
                <c:pt idx="649">
                  <c:v>32.7154998779</c:v>
                </c:pt>
                <c:pt idx="650">
                  <c:v>32.7821006775</c:v>
                </c:pt>
                <c:pt idx="651">
                  <c:v>32.3093986511</c:v>
                </c:pt>
                <c:pt idx="652">
                  <c:v>32.5556983948</c:v>
                </c:pt>
                <c:pt idx="653">
                  <c:v>31.9169998169</c:v>
                </c:pt>
                <c:pt idx="654">
                  <c:v>31.8020000458</c:v>
                </c:pt>
                <c:pt idx="655">
                  <c:v>30.7122993469</c:v>
                </c:pt>
                <c:pt idx="656">
                  <c:v>31.1779003143</c:v>
                </c:pt>
                <c:pt idx="657">
                  <c:v>31.7611999512</c:v>
                </c:pt>
                <c:pt idx="658">
                  <c:v>31.3208007812</c:v>
                </c:pt>
                <c:pt idx="659">
                  <c:v>31.785900116</c:v>
                </c:pt>
                <c:pt idx="660">
                  <c:v>31.9332008362</c:v>
                </c:pt>
                <c:pt idx="661">
                  <c:v>31.6012992859</c:v>
                </c:pt>
                <c:pt idx="662">
                  <c:v>33.2974014282</c:v>
                </c:pt>
                <c:pt idx="663">
                  <c:v>32.8208007812</c:v>
                </c:pt>
                <c:pt idx="664">
                  <c:v>32.4748001099</c:v>
                </c:pt>
                <c:pt idx="665">
                  <c:v>32.5805015564</c:v>
                </c:pt>
                <c:pt idx="666">
                  <c:v>33.8482017517</c:v>
                </c:pt>
                <c:pt idx="667">
                  <c:v>33.6996994019</c:v>
                </c:pt>
                <c:pt idx="668">
                  <c:v>34.3706016541</c:v>
                </c:pt>
                <c:pt idx="669">
                  <c:v>34.7426986694</c:v>
                </c:pt>
                <c:pt idx="670">
                  <c:v>35.0686988831</c:v>
                </c:pt>
                <c:pt idx="671">
                  <c:v>34.5957984924</c:v>
                </c:pt>
                <c:pt idx="672">
                  <c:v>34.9235992432</c:v>
                </c:pt>
                <c:pt idx="673">
                  <c:v>34.8109016418</c:v>
                </c:pt>
                <c:pt idx="674">
                  <c:v>34.9683990479</c:v>
                </c:pt>
                <c:pt idx="675">
                  <c:v>34.9790992737</c:v>
                </c:pt>
                <c:pt idx="676">
                  <c:v>35.8869018555</c:v>
                </c:pt>
                <c:pt idx="677">
                  <c:v>35.4938011169</c:v>
                </c:pt>
                <c:pt idx="678">
                  <c:v>34.9355010986</c:v>
                </c:pt>
                <c:pt idx="679">
                  <c:v>34.9135017395</c:v>
                </c:pt>
                <c:pt idx="680">
                  <c:v>34.6528015137</c:v>
                </c:pt>
                <c:pt idx="681">
                  <c:v>35.6161003113</c:v>
                </c:pt>
                <c:pt idx="682">
                  <c:v>35.2683982849</c:v>
                </c:pt>
                <c:pt idx="683">
                  <c:v>36.7262992859</c:v>
                </c:pt>
                <c:pt idx="684">
                  <c:v>37.0441017151</c:v>
                </c:pt>
                <c:pt idx="685">
                  <c:v>36.8616981506</c:v>
                </c:pt>
                <c:pt idx="686">
                  <c:v>37.5068016052</c:v>
                </c:pt>
                <c:pt idx="687">
                  <c:v>37.3068008423</c:v>
                </c:pt>
                <c:pt idx="688">
                  <c:v>37.8723983765</c:v>
                </c:pt>
                <c:pt idx="689">
                  <c:v>37.0932006836</c:v>
                </c:pt>
                <c:pt idx="690">
                  <c:v>36.677898407</c:v>
                </c:pt>
                <c:pt idx="691">
                  <c:v>36.5672988892</c:v>
                </c:pt>
                <c:pt idx="692">
                  <c:v>36.6717987061</c:v>
                </c:pt>
                <c:pt idx="693">
                  <c:v>36.5915985107</c:v>
                </c:pt>
                <c:pt idx="694">
                  <c:v>35.9019012451</c:v>
                </c:pt>
                <c:pt idx="695">
                  <c:v>36.6531982422</c:v>
                </c:pt>
                <c:pt idx="696">
                  <c:v>37.2020988464</c:v>
                </c:pt>
                <c:pt idx="697">
                  <c:v>37.2070999146</c:v>
                </c:pt>
                <c:pt idx="698">
                  <c:v>36.8672981262</c:v>
                </c:pt>
                <c:pt idx="699">
                  <c:v>37.0937004089</c:v>
                </c:pt>
                <c:pt idx="700">
                  <c:v>36.5709991455</c:v>
                </c:pt>
                <c:pt idx="701">
                  <c:v>36.0820999146</c:v>
                </c:pt>
                <c:pt idx="702">
                  <c:v>36.5793991089</c:v>
                </c:pt>
                <c:pt idx="703">
                  <c:v>36.7756996155</c:v>
                </c:pt>
                <c:pt idx="704">
                  <c:v>36.6265983582</c:v>
                </c:pt>
                <c:pt idx="705">
                  <c:v>35.8777008057</c:v>
                </c:pt>
                <c:pt idx="706">
                  <c:v>34.7911987305</c:v>
                </c:pt>
                <c:pt idx="707">
                  <c:v>35.7285003662</c:v>
                </c:pt>
                <c:pt idx="708">
                  <c:v>35.0717010498</c:v>
                </c:pt>
                <c:pt idx="709">
                  <c:v>34.8781013489</c:v>
                </c:pt>
                <c:pt idx="710">
                  <c:v>35.242099762</c:v>
                </c:pt>
                <c:pt idx="711">
                  <c:v>37.0755996704</c:v>
                </c:pt>
                <c:pt idx="712">
                  <c:v>37.3585014343</c:v>
                </c:pt>
                <c:pt idx="713">
                  <c:v>37.7588005066</c:v>
                </c:pt>
                <c:pt idx="714">
                  <c:v>37.9976005554</c:v>
                </c:pt>
                <c:pt idx="715">
                  <c:v>38.7812004089</c:v>
                </c:pt>
                <c:pt idx="716">
                  <c:v>37.6234016418</c:v>
                </c:pt>
                <c:pt idx="717">
                  <c:v>38.0377006531</c:v>
                </c:pt>
                <c:pt idx="718">
                  <c:v>38.6343002319</c:v>
                </c:pt>
                <c:pt idx="719">
                  <c:v>37.3855018616</c:v>
                </c:pt>
                <c:pt idx="720">
                  <c:v>37.4294013977</c:v>
                </c:pt>
                <c:pt idx="721">
                  <c:v>38.199798584</c:v>
                </c:pt>
                <c:pt idx="722">
                  <c:v>38.1615982056</c:v>
                </c:pt>
                <c:pt idx="723">
                  <c:v>36.8604011536</c:v>
                </c:pt>
                <c:pt idx="724">
                  <c:v>37.1804008484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81.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11.6929998398,11.6471996307,11.6827001572,11.7504997253,11.6660995483,11.8437995911,11.8492002487,11.7150001526,11.6590003967,11.6595001221,11.5768003464,11.570400238,11.5380001068,11.8395004272,11.7732000351,11.7817001343,12.0466003418,12.0958003998,12.0733995438,11.9379997253,12.0198001862,12.0927000046,12.0089998245,11.9883003235,11.9484996796,11.9889001846,11.7325000763,11.6561002731,11.6709003448,11.5756998062,11.5934000015,11.4912996292,11.3512001038,11.4890003204,11.3509998322,11.3929004669,11.3604001999,11.5805997849,11.6254997253,11.6958999634,11.6529998779,11.7084999084,11.8871002197,11.7941999435,11.779800415,11.6586999893,11.6142997742,11.6870002747,11.6693000793,11.6319999695,11.6641998291,11.5886001587,11.6157999039,11.6346998215,11.5985002518,11.507399559,11.6812000275,11.6159000397,11.5461997986,11.5412998199,11.521900177,11.5146999359,11.4267997742,11.4512996674,11.5850000381,11.5179004669,11.4472999573,11.5150003433,11.4517002106,11.2030000687,11.1127996445,11.0033998489,11.0080003738,10.9687995911,11.0593996048,11.136300087,11.1021003723,11.136300087,11.1541996002,11.1282997131,11.1842002869,11.2493000031,11.2232999802,11.192899704,11.2252998352,11.1631002426,11.1513996124,11.1621999741,11.2285003662,11.1498003006,11.1219997406,11.1450004578,11.1605997086,11.0789003372,11.122300148,11.0705003738,10.9883003235,10.9952001572,10.9145002365,10.9697999954,10.9477996826,10.8927001953,10.7103996277,10.6858997345,10.6759996414,10.707400322,10.7648000717,10.8076000214,10.6527996063,10.6071996689,10.5631999969,10.557800293,10.5776996613,10.4830999374,10.5466995239,10.5838003159,10.6240997314,10.5867996216,10.6461000443,10.8043003082,10.8547000885,10.7658996582,10.7807998657,10.733300209,10.6826000214,10.5719003677,10.5801000595,10.5124998093,10.5120000839,10.5016002655,10.5208997726,10.5810003281,10.3833999634,10.4906997681,10.4688997269,10.3352003098,10.3605003357,10.545800209,10.8136997223,10.8528995514,10.8169002533,10.651599884,10.6059999466,10.5631999969,10.5031995773,10.6124000549,10.8724002838,10.9244003296,10.9530000687,11.1588001251,11.1997003555,11.3213996887,11.4399003983,11.4392995834,11.269200325,11.3801002502,11.2742996216,11.4357004166,11.4764995575,11.5256004333,11.6277999878,11.568400383,11.5453996658,11.6272001266,11.6835002899,11.5954999924,11.5101995468,11.5129003525,11.5279998779,11.6189002991,11.5474996567,11.608499527,11.5937004089,11.5488004684,11.5279998779,11.5832004547,11.4909000397,11.5128002167,11.6589002609,11.7749996185,11.782500267,11.751999855,11.7063999176,11.6716995239,11.6080999374,11.5956001282,11.5160999298,11.787899971,11.7004995346,11.856300354,11.8561000824,11.8305997849,11.7383003235,11.6524000168,11.6886997223,11.7189998627,11.8422002792,11.9441003799,12.0680999756,12.1570997238,12.1822004318,12.1218004227,12.182299614,12.2080001831,12.2004995346,12.1640996933,12.0728998184,12.1124000549,12.2152004242,12.2775001526,12.2462997437,12.2573003769,12.1361999512,12.0270996094,12.1653995514,12.1147003174,12.133600235,12.0574998856,12.0167999268,12.0641002655,12.1187000275,12.0565004349,12.068400383,12.0412998199,11.9223003387,11.9426002502,11.9144001007,11.9441995621,11.8401002884,11.8824996948,11.8810997009,11.8559999466,11.8271999359,11.7917003632,11.7510004044,11.7939996719,11.7582998276,11.8431997299,11.9387998581,11.9876003265,11.9453001022,11.9187002182,11.8224000931,11.7866001129,11.8950996399,11.8332996368,11.9041004181,11.919500351,11.9968996048,12.0276002884,11.9799995422,12.064499855,12.0846004486,11.9624004364,11.805100441,11.7786998749,11.6868000031,11.6398000717,11.6373996735,11.5490999222,11.7009000778,11.6667995453,11.5713996887,11.4107999802,11.3770999908,11.3894996643,11.3858995438,11.3642997742,11.3541002274,11.3964996338,11.3528003693,11.4666996002,11.51720047,11.5888996124,11.5127000809,11.4715003967,11.4826002121,11.5068998337,11.4903001785,11.4968996048,11.4296998978,11.2721996307,11.263999939,11.2590999603,11.1986999512,11.1001996994,11.0846004486,11.0204000473,10.8832998276,10.9320001602,10.8235998154,10.7979001999,10.7809000015,10.8654003143,10.9041996002,10.9414997101,11.0047998428,11.4728002548,11.6176996231,12.0122003555,12.3261995316,13.2601003647,13.8699998856,12.9729003906,13.2011995316,12.9238004684,13.1862001419,12.8142004013,12.7853002548,12.6464996338,12.9989995956,12.9631004333,12.9225997925,12.9478998184,12.8261995316,12.8648996353,12.8784999847,12.8073997498,12.6338996887,12.390999794,12.4444999695,12.5631999969,12.8269996643,12.7523002625,13.1042003632,12.9757003784,12.9792003632,12.8268003464,12.9271001816,12.7665996552,12.6125001907,12.6243000031,12.6548995972,12.6759996414,12.6787996292,12.337100029,12.3029003143,12.3156995773,12.4996004105,12.4065999985,12.4998998642,12.5763998032,12.6424999237,12.6381998062,12.5992002487,12.7389001846,12.7440004349,12.8241996765,12.7798995972,12.9097995758,12.6559000015,12.7217998505,12.7411003113,12.8154001236,12.7882995605,12.730799675,12.8228998184,12.9919996262,13.049200058,13.0197000504,13.0052995682,13.0866003036,12.929400444,12.5611000061,12.434800148,12.4074001312,12.475399971,12.4877996445,12.4076004028,12.2568998337,12.2103004456,12.4651002884,12.3985996246,12.4335002899,12.4383001328,12.4341001511,12.4137001038,12.2966003418,12.382399559,12.4282999039,12.4423999786,12.318400383,12.4359998703,12.5502996445,12.5819997787,12.581700325,12.6841001511,12.6554002762,12.7430000305,12.7622003555,12.6999998093,12.7416000366,12.7030000687,12.8030004501,12.7566003799,12.6114997864,12.6946001053,12.7363004684,12.5543003082,12.535900116,12.4462003708,12.5357999802,12.651599884,12.6217002869,12.5548000336,12.6012001038,12.5570001602,12.5424003601,12.8185997009,12.8162002563,12.8269996643,12.8486003876,12.7013998032,12.5448999405,12.5521001816,12.5461997986,12.5018997192,12.5327997208,12.4347000122,12.3761997223,12.4336996078,12.4376001358,12.4221000671,11.670800209,11.9029998779,11.9692001343,12.0675001144,12.0907001495,12.1405000687,12.1717996597,12.2559995651,12.2538995743,12.263299942,12.2489004135,12.2931003571,12.268699646,12.290599823,12.2608995438,12.320400238,12.3046998978,12.2087001801,12.2957000732,12.4081001282,12.4450998306,12.4390001297,12.5362997055,12.5712995529,12.7193002701,12.6352996826,12.5611000061,12.5256996155,12.5909004211,12.6491003036,12.6485996246,12.5467996597,12.4877004623,12.4516000748,12.442899704,12.4884996414,12.4616003036,12.5010995865,12.5353002548,12.5643997192,12.5614004135,12.5712003708,12.5275001526,12.8037996292,12.7797002792,12.719499588,12.7786998749,12.7818002701,12.8156003952,12.7975997925,12.8261995316,12.9014997482,13.0250997543,13.1709003448,13.1642999649,13.0223999023,13.0658998489,13.1154003143,13.1225004196,13.1583003998,13.2299995422,13.1865997314,13.2629003525,13.266699791,13.3386001587,13.3088998795,13.3252000809,13.3163003922,13.2861995697,13.3168001175,13.3872003555,13.4485998154,13.5284004211,13.5424995422,13.5888004303,13.5068998337,13.5171003342,13.3535995483,13.392999649,13.1864995956,13.1154003143,13.1662998199,13.2933998108,13.3172998428,13.3337001801,13.3051996231,13.2980003357,13.3866996765,13.4224004745,13.4224996567,13.456199646,13.5399999619,13.5347003937,13.6688995361,13.7271995544,13.9697999954,14.1813001633,14.113699913,13.8596000671,14.0934000015,14.151599884,14.1368999481,14.1414003372,14.0109996796,13.853099823,13.9751996994,13.986000061,13.902299881,13.9430999756,14.180100441,14.1308002472,14.1326999664,14.0896997452,14.1590995789,13.9616003036,13.9609003067,13.9723997116,14.013299942,14.0963001251,14.1333999634,14.0418996811,14.1851997375,14.2225999832,14.4153003693,14.245300293,14.189499855,14.1444997787,14.3058004379,14.4041004181,14.1536998749,14.2164001465,14.3729000092,14.3983001709,14.4575996399,14.5550003052,14.692199707,14.6222000122,14.6152000427,14.4942998886,14.1146001816,14.2038002014,14.171500206,14.1770000458,14.3295001984,14.2847995758,14.3641004562,14.2722997665,14.3119001389,14.4074001312,14.2372999191,14.1352996826,14.0559997559,14.1603002548,14.1386995316,13.8715000153,13.8076000214,13.9184999466,13.9204998016,13.9465999603,13.9408998489,14.0524997711,14.0177001953,13.9351997375,13.9561004639,14.018699646,14.0805997849,14.0336999893,13.9724998474,13.8800001144,13.9089002609,13.8929004669,13.7673997879,13.9591999054,13.9586000443,13.9670000076,14.0539999008,14.0942001343,14.1148004532,14.1337995529,14.1461000443,14.1572999954,14.1850996017,14.1724004745,14.3331003189,14.5183000565,14.4391002655,14.3492002487,14.407500267,14.4837999344,14.4555997849,14.347700119,14.3163003922,14.2235002518,14.2172002792,14.2216997147,14.1767997742,14.1667003632,14.0794000626,14.1451997757,14.1372995377,14.1970996857,14.3128004074,14.1752004623,13.9057998657,13.9736003876,14.1321001053,14.0847997665,14.0408000946,14.1986999512,14.2298002243,14.2290000916,14.2037000656,14.0101995468,14.1521997452,14.201499939,14.1501998901,14.1260995865,14.2791004181,14.2791996002,14.11439991,14.1838998795,14.1906003952,14.1520004272,14.1546001434,14.2607002258,14.2607002258,14.2083997726,14.1993999481,14.1605997086,14.1822004318,14.0904998779,14.0240001678,13.6115999222,13.7405004501,13.8647003174,13.7880001068,13.9127998352,13.9575004578,13.8915996552,14.1183996201,14.04529953,13.9116001129,13.9043998718,14.185500145,14.1048002243,14.2194004059,14.2615003586,14.3758001328,14.3575000763,14.4310998917,14.4034004211,14.5233001709,14.5768995285,14.6094999313,14.6038999557,14.545800209,14.5416002274,14.6106004715,14.709400177,14.6354999542,14.7866001129,14.7677001953,14.7058000565,14.8549003601,14.826499939,14.898900032,14.7255001068,14.6059999466,14.5537996292,14.6338996887,14.5741996765,14.3954000473,14.4856996536,14.6388998032,14.704199791,14.5729999542,14.5641002655,14.5590000153,14.5167999268,14.6600999832,14.6774997711,14.543800354,14.3873996735,14.2327003479,14.3653001785,14.2967996597,14.2515001297,14.4180002213,14.7889003754,14.6875,14.7313995361,14.6375999451,14.9286003113,14.649600029,14.6210002899,14.7136001587,14.3392000198,14.4888000488,14.5066003799,14.5138998032,14.2372999191,14.3227996826}</c:f>
              <c:numCache>
                <c:formatCode>General</c:formatCode>
                <c:ptCount val="725"/>
                <c:pt idx="0">
                  <c:v>11.6929998398</c:v>
                </c:pt>
                <c:pt idx="1">
                  <c:v>11.6471996307</c:v>
                </c:pt>
                <c:pt idx="2">
                  <c:v>11.6827001572</c:v>
                </c:pt>
                <c:pt idx="3">
                  <c:v>11.7504997253</c:v>
                </c:pt>
                <c:pt idx="4">
                  <c:v>11.6660995483</c:v>
                </c:pt>
                <c:pt idx="5">
                  <c:v>11.8437995911</c:v>
                </c:pt>
                <c:pt idx="6">
                  <c:v>11.8492002487</c:v>
                </c:pt>
                <c:pt idx="7">
                  <c:v>11.7150001526</c:v>
                </c:pt>
                <c:pt idx="8">
                  <c:v>11.6590003967</c:v>
                </c:pt>
                <c:pt idx="9">
                  <c:v>11.6595001221</c:v>
                </c:pt>
                <c:pt idx="10">
                  <c:v>11.5768003464</c:v>
                </c:pt>
                <c:pt idx="11">
                  <c:v>11.570400238</c:v>
                </c:pt>
                <c:pt idx="12">
                  <c:v>11.5380001068</c:v>
                </c:pt>
                <c:pt idx="13">
                  <c:v>11.8395004272</c:v>
                </c:pt>
                <c:pt idx="14">
                  <c:v>11.7732000351</c:v>
                </c:pt>
                <c:pt idx="15">
                  <c:v>11.7817001343</c:v>
                </c:pt>
                <c:pt idx="16">
                  <c:v>12.0466003418</c:v>
                </c:pt>
                <c:pt idx="17">
                  <c:v>12.0958003998</c:v>
                </c:pt>
                <c:pt idx="18">
                  <c:v>12.0733995438</c:v>
                </c:pt>
                <c:pt idx="19">
                  <c:v>11.9379997253</c:v>
                </c:pt>
                <c:pt idx="20">
                  <c:v>12.0198001862</c:v>
                </c:pt>
                <c:pt idx="21">
                  <c:v>12.0927000046</c:v>
                </c:pt>
                <c:pt idx="22">
                  <c:v>12.0089998245</c:v>
                </c:pt>
                <c:pt idx="23">
                  <c:v>11.9883003235</c:v>
                </c:pt>
                <c:pt idx="24">
                  <c:v>11.9484996796</c:v>
                </c:pt>
                <c:pt idx="25">
                  <c:v>11.9889001846</c:v>
                </c:pt>
                <c:pt idx="26">
                  <c:v>11.7325000763</c:v>
                </c:pt>
                <c:pt idx="27">
                  <c:v>11.6561002731</c:v>
                </c:pt>
                <c:pt idx="28">
                  <c:v>11.6709003448</c:v>
                </c:pt>
                <c:pt idx="29">
                  <c:v>11.5756998062</c:v>
                </c:pt>
                <c:pt idx="30">
                  <c:v>11.5934000015</c:v>
                </c:pt>
                <c:pt idx="31">
                  <c:v>11.4912996292</c:v>
                </c:pt>
                <c:pt idx="32">
                  <c:v>11.3512001038</c:v>
                </c:pt>
                <c:pt idx="33">
                  <c:v>11.4890003204</c:v>
                </c:pt>
                <c:pt idx="34">
                  <c:v>11.3509998322</c:v>
                </c:pt>
                <c:pt idx="35">
                  <c:v>11.3929004669</c:v>
                </c:pt>
                <c:pt idx="36">
                  <c:v>11.3604001999</c:v>
                </c:pt>
                <c:pt idx="37">
                  <c:v>11.5805997849</c:v>
                </c:pt>
                <c:pt idx="38">
                  <c:v>11.6254997253</c:v>
                </c:pt>
                <c:pt idx="39">
                  <c:v>11.6958999634</c:v>
                </c:pt>
                <c:pt idx="40">
                  <c:v>11.6529998779</c:v>
                </c:pt>
                <c:pt idx="41">
                  <c:v>11.7084999084</c:v>
                </c:pt>
                <c:pt idx="42">
                  <c:v>11.8871002197</c:v>
                </c:pt>
                <c:pt idx="43">
                  <c:v>11.7941999435</c:v>
                </c:pt>
                <c:pt idx="44">
                  <c:v>11.779800415</c:v>
                </c:pt>
                <c:pt idx="45">
                  <c:v>11.6586999893</c:v>
                </c:pt>
                <c:pt idx="46">
                  <c:v>11.6142997742</c:v>
                </c:pt>
                <c:pt idx="47">
                  <c:v>11.6870002747</c:v>
                </c:pt>
                <c:pt idx="48">
                  <c:v>11.6693000793</c:v>
                </c:pt>
                <c:pt idx="49">
                  <c:v>11.6319999695</c:v>
                </c:pt>
                <c:pt idx="50">
                  <c:v>11.6641998291</c:v>
                </c:pt>
                <c:pt idx="51">
                  <c:v>11.5886001587</c:v>
                </c:pt>
                <c:pt idx="52">
                  <c:v>11.6157999039</c:v>
                </c:pt>
                <c:pt idx="53">
                  <c:v>11.6346998215</c:v>
                </c:pt>
                <c:pt idx="54">
                  <c:v>11.5985002518</c:v>
                </c:pt>
                <c:pt idx="55">
                  <c:v>11.507399559</c:v>
                </c:pt>
                <c:pt idx="56">
                  <c:v>11.6812000275</c:v>
                </c:pt>
                <c:pt idx="57">
                  <c:v>11.6159000397</c:v>
                </c:pt>
                <c:pt idx="58">
                  <c:v>11.5461997986</c:v>
                </c:pt>
                <c:pt idx="59">
                  <c:v>11.5412998199</c:v>
                </c:pt>
                <c:pt idx="60">
                  <c:v>11.521900177</c:v>
                </c:pt>
                <c:pt idx="61">
                  <c:v>11.5146999359</c:v>
                </c:pt>
                <c:pt idx="62">
                  <c:v>11.4267997742</c:v>
                </c:pt>
                <c:pt idx="63">
                  <c:v>11.4512996674</c:v>
                </c:pt>
                <c:pt idx="64">
                  <c:v>11.5850000381</c:v>
                </c:pt>
                <c:pt idx="65">
                  <c:v>11.5179004669</c:v>
                </c:pt>
                <c:pt idx="66">
                  <c:v>11.4472999573</c:v>
                </c:pt>
                <c:pt idx="67">
                  <c:v>11.5150003433</c:v>
                </c:pt>
                <c:pt idx="68">
                  <c:v>11.4517002106</c:v>
                </c:pt>
                <c:pt idx="69">
                  <c:v>11.2030000687</c:v>
                </c:pt>
                <c:pt idx="70">
                  <c:v>11.1127996445</c:v>
                </c:pt>
                <c:pt idx="71">
                  <c:v>11.0033998489</c:v>
                </c:pt>
                <c:pt idx="72">
                  <c:v>11.0080003738</c:v>
                </c:pt>
                <c:pt idx="73">
                  <c:v>10.9687995911</c:v>
                </c:pt>
                <c:pt idx="74">
                  <c:v>11.0593996048</c:v>
                </c:pt>
                <c:pt idx="75">
                  <c:v>11.136300087</c:v>
                </c:pt>
                <c:pt idx="76">
                  <c:v>11.1021003723</c:v>
                </c:pt>
                <c:pt idx="77">
                  <c:v>11.136300087</c:v>
                </c:pt>
                <c:pt idx="78">
                  <c:v>11.1541996002</c:v>
                </c:pt>
                <c:pt idx="79">
                  <c:v>11.1282997131</c:v>
                </c:pt>
                <c:pt idx="80">
                  <c:v>11.1842002869</c:v>
                </c:pt>
                <c:pt idx="81">
                  <c:v>11.2493000031</c:v>
                </c:pt>
                <c:pt idx="82">
                  <c:v>11.2232999802</c:v>
                </c:pt>
                <c:pt idx="83">
                  <c:v>11.192899704</c:v>
                </c:pt>
                <c:pt idx="84">
                  <c:v>11.2252998352</c:v>
                </c:pt>
                <c:pt idx="85">
                  <c:v>11.1631002426</c:v>
                </c:pt>
                <c:pt idx="86">
                  <c:v>11.1513996124</c:v>
                </c:pt>
                <c:pt idx="87">
                  <c:v>11.1621999741</c:v>
                </c:pt>
                <c:pt idx="88">
                  <c:v>11.2285003662</c:v>
                </c:pt>
                <c:pt idx="89">
                  <c:v>11.1498003006</c:v>
                </c:pt>
                <c:pt idx="90">
                  <c:v>11.1219997406</c:v>
                </c:pt>
                <c:pt idx="91">
                  <c:v>11.1450004578</c:v>
                </c:pt>
                <c:pt idx="92">
                  <c:v>11.1605997086</c:v>
                </c:pt>
                <c:pt idx="93">
                  <c:v>11.0789003372</c:v>
                </c:pt>
                <c:pt idx="94">
                  <c:v>11.122300148</c:v>
                </c:pt>
                <c:pt idx="95">
                  <c:v>11.0705003738</c:v>
                </c:pt>
                <c:pt idx="96">
                  <c:v>10.9883003235</c:v>
                </c:pt>
                <c:pt idx="97">
                  <c:v>10.9952001572</c:v>
                </c:pt>
                <c:pt idx="98">
                  <c:v>10.9145002365</c:v>
                </c:pt>
                <c:pt idx="99">
                  <c:v>10.9697999954</c:v>
                </c:pt>
                <c:pt idx="100">
                  <c:v>10.9477996826</c:v>
                </c:pt>
                <c:pt idx="101">
                  <c:v>10.8927001953</c:v>
                </c:pt>
                <c:pt idx="102">
                  <c:v>10.7103996277</c:v>
                </c:pt>
                <c:pt idx="103">
                  <c:v>10.6858997345</c:v>
                </c:pt>
                <c:pt idx="104">
                  <c:v>10.6759996414</c:v>
                </c:pt>
                <c:pt idx="105">
                  <c:v>10.707400322</c:v>
                </c:pt>
                <c:pt idx="106">
                  <c:v>10.7648000717</c:v>
                </c:pt>
                <c:pt idx="107">
                  <c:v>10.8076000214</c:v>
                </c:pt>
                <c:pt idx="108">
                  <c:v>10.6527996063</c:v>
                </c:pt>
                <c:pt idx="109">
                  <c:v>10.6071996689</c:v>
                </c:pt>
                <c:pt idx="110">
                  <c:v>10.5631999969</c:v>
                </c:pt>
                <c:pt idx="111">
                  <c:v>10.557800293</c:v>
                </c:pt>
                <c:pt idx="112">
                  <c:v>10.5776996613</c:v>
                </c:pt>
                <c:pt idx="113">
                  <c:v>10.4830999374</c:v>
                </c:pt>
                <c:pt idx="114">
                  <c:v>10.5466995239</c:v>
                </c:pt>
                <c:pt idx="115">
                  <c:v>10.5838003159</c:v>
                </c:pt>
                <c:pt idx="116">
                  <c:v>10.6240997314</c:v>
                </c:pt>
                <c:pt idx="117">
                  <c:v>10.5867996216</c:v>
                </c:pt>
                <c:pt idx="118">
                  <c:v>10.6461000443</c:v>
                </c:pt>
                <c:pt idx="119">
                  <c:v>10.8043003082</c:v>
                </c:pt>
                <c:pt idx="120">
                  <c:v>10.8547000885</c:v>
                </c:pt>
                <c:pt idx="121">
                  <c:v>10.7658996582</c:v>
                </c:pt>
                <c:pt idx="122">
                  <c:v>10.7807998657</c:v>
                </c:pt>
                <c:pt idx="123">
                  <c:v>10.733300209</c:v>
                </c:pt>
                <c:pt idx="124">
                  <c:v>10.6826000214</c:v>
                </c:pt>
                <c:pt idx="125">
                  <c:v>10.5719003677</c:v>
                </c:pt>
                <c:pt idx="126">
                  <c:v>10.5801000595</c:v>
                </c:pt>
                <c:pt idx="127">
                  <c:v>10.5124998093</c:v>
                </c:pt>
                <c:pt idx="128">
                  <c:v>10.5120000839</c:v>
                </c:pt>
                <c:pt idx="129">
                  <c:v>10.5016002655</c:v>
                </c:pt>
                <c:pt idx="130">
                  <c:v>10.5208997726</c:v>
                </c:pt>
                <c:pt idx="131">
                  <c:v>10.5810003281</c:v>
                </c:pt>
                <c:pt idx="132">
                  <c:v>10.3833999634</c:v>
                </c:pt>
                <c:pt idx="133">
                  <c:v>10.4906997681</c:v>
                </c:pt>
                <c:pt idx="134">
                  <c:v>10.4688997269</c:v>
                </c:pt>
                <c:pt idx="135">
                  <c:v>10.3352003098</c:v>
                </c:pt>
                <c:pt idx="136">
                  <c:v>10.3605003357</c:v>
                </c:pt>
                <c:pt idx="137">
                  <c:v>10.545800209</c:v>
                </c:pt>
                <c:pt idx="138">
                  <c:v>10.8136997223</c:v>
                </c:pt>
                <c:pt idx="139">
                  <c:v>10.8528995514</c:v>
                </c:pt>
                <c:pt idx="140">
                  <c:v>10.8169002533</c:v>
                </c:pt>
                <c:pt idx="141">
                  <c:v>10.651599884</c:v>
                </c:pt>
                <c:pt idx="142">
                  <c:v>10.6059999466</c:v>
                </c:pt>
                <c:pt idx="143">
                  <c:v>10.5631999969</c:v>
                </c:pt>
                <c:pt idx="144">
                  <c:v>10.5031995773</c:v>
                </c:pt>
                <c:pt idx="145">
                  <c:v>10.6124000549</c:v>
                </c:pt>
                <c:pt idx="146">
                  <c:v>10.8724002838</c:v>
                </c:pt>
                <c:pt idx="147">
                  <c:v>10.9244003296</c:v>
                </c:pt>
                <c:pt idx="148">
                  <c:v>10.9530000687</c:v>
                </c:pt>
                <c:pt idx="149">
                  <c:v>11.1588001251</c:v>
                </c:pt>
                <c:pt idx="150">
                  <c:v>11.1997003555</c:v>
                </c:pt>
                <c:pt idx="151">
                  <c:v>11.3213996887</c:v>
                </c:pt>
                <c:pt idx="152">
                  <c:v>11.4399003983</c:v>
                </c:pt>
                <c:pt idx="153">
                  <c:v>11.4392995834</c:v>
                </c:pt>
                <c:pt idx="154">
                  <c:v>11.269200325</c:v>
                </c:pt>
                <c:pt idx="155">
                  <c:v>11.3801002502</c:v>
                </c:pt>
                <c:pt idx="156">
                  <c:v>11.2742996216</c:v>
                </c:pt>
                <c:pt idx="157">
                  <c:v>11.4357004166</c:v>
                </c:pt>
                <c:pt idx="158">
                  <c:v>11.4764995575</c:v>
                </c:pt>
                <c:pt idx="159">
                  <c:v>11.5256004333</c:v>
                </c:pt>
                <c:pt idx="160">
                  <c:v>11.6277999878</c:v>
                </c:pt>
                <c:pt idx="161">
                  <c:v>11.568400383</c:v>
                </c:pt>
                <c:pt idx="162">
                  <c:v>11.5453996658</c:v>
                </c:pt>
                <c:pt idx="163">
                  <c:v>11.6272001266</c:v>
                </c:pt>
                <c:pt idx="164">
                  <c:v>11.6835002899</c:v>
                </c:pt>
                <c:pt idx="165">
                  <c:v>11.5954999924</c:v>
                </c:pt>
                <c:pt idx="166">
                  <c:v>11.5101995468</c:v>
                </c:pt>
                <c:pt idx="167">
                  <c:v>11.5129003525</c:v>
                </c:pt>
                <c:pt idx="168">
                  <c:v>11.5279998779</c:v>
                </c:pt>
                <c:pt idx="169">
                  <c:v>11.6189002991</c:v>
                </c:pt>
                <c:pt idx="170">
                  <c:v>11.5474996567</c:v>
                </c:pt>
                <c:pt idx="171">
                  <c:v>11.608499527</c:v>
                </c:pt>
                <c:pt idx="172">
                  <c:v>11.5937004089</c:v>
                </c:pt>
                <c:pt idx="173">
                  <c:v>11.5488004684</c:v>
                </c:pt>
                <c:pt idx="174">
                  <c:v>11.5279998779</c:v>
                </c:pt>
                <c:pt idx="175">
                  <c:v>11.5832004547</c:v>
                </c:pt>
                <c:pt idx="176">
                  <c:v>11.4909000397</c:v>
                </c:pt>
                <c:pt idx="177">
                  <c:v>11.5128002167</c:v>
                </c:pt>
                <c:pt idx="178">
                  <c:v>11.6589002609</c:v>
                </c:pt>
                <c:pt idx="179">
                  <c:v>11.7749996185</c:v>
                </c:pt>
                <c:pt idx="180">
                  <c:v>11.782500267</c:v>
                </c:pt>
                <c:pt idx="181">
                  <c:v>11.751999855</c:v>
                </c:pt>
                <c:pt idx="182">
                  <c:v>11.7063999176</c:v>
                </c:pt>
                <c:pt idx="183">
                  <c:v>11.6716995239</c:v>
                </c:pt>
                <c:pt idx="184">
                  <c:v>11.6080999374</c:v>
                </c:pt>
                <c:pt idx="185">
                  <c:v>11.5956001282</c:v>
                </c:pt>
                <c:pt idx="186">
                  <c:v>11.5160999298</c:v>
                </c:pt>
                <c:pt idx="187">
                  <c:v>11.787899971</c:v>
                </c:pt>
                <c:pt idx="188">
                  <c:v>11.7004995346</c:v>
                </c:pt>
                <c:pt idx="189">
                  <c:v>11.856300354</c:v>
                </c:pt>
                <c:pt idx="190">
                  <c:v>11.8561000824</c:v>
                </c:pt>
                <c:pt idx="191">
                  <c:v>11.8305997849</c:v>
                </c:pt>
                <c:pt idx="192">
                  <c:v>11.7383003235</c:v>
                </c:pt>
                <c:pt idx="193">
                  <c:v>11.6524000168</c:v>
                </c:pt>
                <c:pt idx="194">
                  <c:v>11.6886997223</c:v>
                </c:pt>
                <c:pt idx="195">
                  <c:v>11.7189998627</c:v>
                </c:pt>
                <c:pt idx="196">
                  <c:v>11.8422002792</c:v>
                </c:pt>
                <c:pt idx="197">
                  <c:v>11.9441003799</c:v>
                </c:pt>
                <c:pt idx="198">
                  <c:v>12.0680999756</c:v>
                </c:pt>
                <c:pt idx="199">
                  <c:v>12.1570997238</c:v>
                </c:pt>
                <c:pt idx="200">
                  <c:v>12.1822004318</c:v>
                </c:pt>
                <c:pt idx="201">
                  <c:v>12.1218004227</c:v>
                </c:pt>
                <c:pt idx="202">
                  <c:v>12.182299614</c:v>
                </c:pt>
                <c:pt idx="203">
                  <c:v>12.2080001831</c:v>
                </c:pt>
                <c:pt idx="204">
                  <c:v>12.2004995346</c:v>
                </c:pt>
                <c:pt idx="205">
                  <c:v>12.1640996933</c:v>
                </c:pt>
                <c:pt idx="206">
                  <c:v>12.0728998184</c:v>
                </c:pt>
                <c:pt idx="207">
                  <c:v>12.1124000549</c:v>
                </c:pt>
                <c:pt idx="208">
                  <c:v>12.2152004242</c:v>
                </c:pt>
                <c:pt idx="209">
                  <c:v>12.2775001526</c:v>
                </c:pt>
                <c:pt idx="210">
                  <c:v>12.2462997437</c:v>
                </c:pt>
                <c:pt idx="211">
                  <c:v>12.2573003769</c:v>
                </c:pt>
                <c:pt idx="212">
                  <c:v>12.1361999512</c:v>
                </c:pt>
                <c:pt idx="213">
                  <c:v>12.0270996094</c:v>
                </c:pt>
                <c:pt idx="214">
                  <c:v>12.1653995514</c:v>
                </c:pt>
                <c:pt idx="215">
                  <c:v>12.1147003174</c:v>
                </c:pt>
                <c:pt idx="216">
                  <c:v>12.133600235</c:v>
                </c:pt>
                <c:pt idx="217">
                  <c:v>12.0574998856</c:v>
                </c:pt>
                <c:pt idx="218">
                  <c:v>12.0167999268</c:v>
                </c:pt>
                <c:pt idx="219">
                  <c:v>12.0641002655</c:v>
                </c:pt>
                <c:pt idx="220">
                  <c:v>12.1187000275</c:v>
                </c:pt>
                <c:pt idx="221">
                  <c:v>12.0565004349</c:v>
                </c:pt>
                <c:pt idx="222">
                  <c:v>12.068400383</c:v>
                </c:pt>
                <c:pt idx="223">
                  <c:v>12.0412998199</c:v>
                </c:pt>
                <c:pt idx="224">
                  <c:v>11.9223003387</c:v>
                </c:pt>
                <c:pt idx="225">
                  <c:v>11.9426002502</c:v>
                </c:pt>
                <c:pt idx="226">
                  <c:v>11.9144001007</c:v>
                </c:pt>
                <c:pt idx="227">
                  <c:v>11.9441995621</c:v>
                </c:pt>
                <c:pt idx="228">
                  <c:v>11.8401002884</c:v>
                </c:pt>
                <c:pt idx="229">
                  <c:v>11.8824996948</c:v>
                </c:pt>
                <c:pt idx="230">
                  <c:v>11.8810997009</c:v>
                </c:pt>
                <c:pt idx="231">
                  <c:v>11.8559999466</c:v>
                </c:pt>
                <c:pt idx="232">
                  <c:v>11.8271999359</c:v>
                </c:pt>
                <c:pt idx="233">
                  <c:v>11.7917003632</c:v>
                </c:pt>
                <c:pt idx="234">
                  <c:v>11.7510004044</c:v>
                </c:pt>
                <c:pt idx="235">
                  <c:v>11.7939996719</c:v>
                </c:pt>
                <c:pt idx="236">
                  <c:v>11.7582998276</c:v>
                </c:pt>
                <c:pt idx="237">
                  <c:v>11.8431997299</c:v>
                </c:pt>
                <c:pt idx="238">
                  <c:v>11.9387998581</c:v>
                </c:pt>
                <c:pt idx="239">
                  <c:v>11.9876003265</c:v>
                </c:pt>
                <c:pt idx="240">
                  <c:v>11.9453001022</c:v>
                </c:pt>
                <c:pt idx="241">
                  <c:v>11.9187002182</c:v>
                </c:pt>
                <c:pt idx="242">
                  <c:v>11.8224000931</c:v>
                </c:pt>
                <c:pt idx="243">
                  <c:v>11.7866001129</c:v>
                </c:pt>
                <c:pt idx="244">
                  <c:v>11.8950996399</c:v>
                </c:pt>
                <c:pt idx="245">
                  <c:v>11.8332996368</c:v>
                </c:pt>
                <c:pt idx="246">
                  <c:v>11.9041004181</c:v>
                </c:pt>
                <c:pt idx="247">
                  <c:v>11.919500351</c:v>
                </c:pt>
                <c:pt idx="248">
                  <c:v>11.9968996048</c:v>
                </c:pt>
                <c:pt idx="249">
                  <c:v>12.0276002884</c:v>
                </c:pt>
                <c:pt idx="250">
                  <c:v>11.9799995422</c:v>
                </c:pt>
                <c:pt idx="251">
                  <c:v>12.064499855</c:v>
                </c:pt>
                <c:pt idx="252">
                  <c:v>12.0846004486</c:v>
                </c:pt>
                <c:pt idx="253">
                  <c:v>11.9624004364</c:v>
                </c:pt>
                <c:pt idx="254">
                  <c:v>11.805100441</c:v>
                </c:pt>
                <c:pt idx="255">
                  <c:v>11.7786998749</c:v>
                </c:pt>
                <c:pt idx="256">
                  <c:v>11.6868000031</c:v>
                </c:pt>
                <c:pt idx="257">
                  <c:v>11.6398000717</c:v>
                </c:pt>
                <c:pt idx="258">
                  <c:v>11.6373996735</c:v>
                </c:pt>
                <c:pt idx="259">
                  <c:v>11.5490999222</c:v>
                </c:pt>
                <c:pt idx="260">
                  <c:v>11.7009000778</c:v>
                </c:pt>
                <c:pt idx="261">
                  <c:v>11.6667995453</c:v>
                </c:pt>
                <c:pt idx="262">
                  <c:v>11.5713996887</c:v>
                </c:pt>
                <c:pt idx="263">
                  <c:v>11.4107999802</c:v>
                </c:pt>
                <c:pt idx="264">
                  <c:v>11.3770999908</c:v>
                </c:pt>
                <c:pt idx="265">
                  <c:v>11.3894996643</c:v>
                </c:pt>
                <c:pt idx="266">
                  <c:v>11.3858995438</c:v>
                </c:pt>
                <c:pt idx="267">
                  <c:v>11.3642997742</c:v>
                </c:pt>
                <c:pt idx="268">
                  <c:v>11.3541002274</c:v>
                </c:pt>
                <c:pt idx="269">
                  <c:v>11.3964996338</c:v>
                </c:pt>
                <c:pt idx="270">
                  <c:v>11.3528003693</c:v>
                </c:pt>
                <c:pt idx="271">
                  <c:v>11.4666996002</c:v>
                </c:pt>
                <c:pt idx="272">
                  <c:v>11.51720047</c:v>
                </c:pt>
                <c:pt idx="273">
                  <c:v>11.5888996124</c:v>
                </c:pt>
                <c:pt idx="274">
                  <c:v>11.5127000809</c:v>
                </c:pt>
                <c:pt idx="275">
                  <c:v>11.4715003967</c:v>
                </c:pt>
                <c:pt idx="276">
                  <c:v>11.4826002121</c:v>
                </c:pt>
                <c:pt idx="277">
                  <c:v>11.5068998337</c:v>
                </c:pt>
                <c:pt idx="278">
                  <c:v>11.4903001785</c:v>
                </c:pt>
                <c:pt idx="279">
                  <c:v>11.4968996048</c:v>
                </c:pt>
                <c:pt idx="280">
                  <c:v>11.4296998978</c:v>
                </c:pt>
                <c:pt idx="281">
                  <c:v>11.2721996307</c:v>
                </c:pt>
                <c:pt idx="282">
                  <c:v>11.263999939</c:v>
                </c:pt>
                <c:pt idx="283">
                  <c:v>11.2590999603</c:v>
                </c:pt>
                <c:pt idx="284">
                  <c:v>11.1986999512</c:v>
                </c:pt>
                <c:pt idx="285">
                  <c:v>11.1001996994</c:v>
                </c:pt>
                <c:pt idx="286">
                  <c:v>11.0846004486</c:v>
                </c:pt>
                <c:pt idx="287">
                  <c:v>11.0204000473</c:v>
                </c:pt>
                <c:pt idx="288">
                  <c:v>10.8832998276</c:v>
                </c:pt>
                <c:pt idx="289">
                  <c:v>10.9320001602</c:v>
                </c:pt>
                <c:pt idx="290">
                  <c:v>10.8235998154</c:v>
                </c:pt>
                <c:pt idx="291">
                  <c:v>10.7979001999</c:v>
                </c:pt>
                <c:pt idx="292">
                  <c:v>10.7809000015</c:v>
                </c:pt>
                <c:pt idx="293">
                  <c:v>10.8654003143</c:v>
                </c:pt>
                <c:pt idx="294">
                  <c:v>10.9041996002</c:v>
                </c:pt>
                <c:pt idx="295">
                  <c:v>10.9414997101</c:v>
                </c:pt>
                <c:pt idx="296">
                  <c:v>11.0047998428</c:v>
                </c:pt>
                <c:pt idx="297">
                  <c:v>11.4728002548</c:v>
                </c:pt>
                <c:pt idx="298">
                  <c:v>11.6176996231</c:v>
                </c:pt>
                <c:pt idx="299">
                  <c:v>12.0122003555</c:v>
                </c:pt>
                <c:pt idx="300">
                  <c:v>12.3261995316</c:v>
                </c:pt>
                <c:pt idx="301">
                  <c:v>13.2601003647</c:v>
                </c:pt>
                <c:pt idx="302">
                  <c:v>13.8699998856</c:v>
                </c:pt>
                <c:pt idx="303">
                  <c:v>12.9729003906</c:v>
                </c:pt>
                <c:pt idx="304">
                  <c:v>13.2011995316</c:v>
                </c:pt>
                <c:pt idx="305">
                  <c:v>12.9238004684</c:v>
                </c:pt>
                <c:pt idx="306">
                  <c:v>13.1862001419</c:v>
                </c:pt>
                <c:pt idx="307">
                  <c:v>12.8142004013</c:v>
                </c:pt>
                <c:pt idx="308">
                  <c:v>12.7853002548</c:v>
                </c:pt>
                <c:pt idx="309">
                  <c:v>12.6464996338</c:v>
                </c:pt>
                <c:pt idx="310">
                  <c:v>12.9989995956</c:v>
                </c:pt>
                <c:pt idx="311">
                  <c:v>12.9631004333</c:v>
                </c:pt>
                <c:pt idx="312">
                  <c:v>12.9225997925</c:v>
                </c:pt>
                <c:pt idx="313">
                  <c:v>12.9478998184</c:v>
                </c:pt>
                <c:pt idx="314">
                  <c:v>12.8261995316</c:v>
                </c:pt>
                <c:pt idx="315">
                  <c:v>12.8648996353</c:v>
                </c:pt>
                <c:pt idx="316">
                  <c:v>12.8784999847</c:v>
                </c:pt>
                <c:pt idx="317">
                  <c:v>12.8073997498</c:v>
                </c:pt>
                <c:pt idx="318">
                  <c:v>12.6338996887</c:v>
                </c:pt>
                <c:pt idx="319">
                  <c:v>12.390999794</c:v>
                </c:pt>
                <c:pt idx="320">
                  <c:v>12.4444999695</c:v>
                </c:pt>
                <c:pt idx="321">
                  <c:v>12.5631999969</c:v>
                </c:pt>
                <c:pt idx="322">
                  <c:v>12.8269996643</c:v>
                </c:pt>
                <c:pt idx="323">
                  <c:v>12.7523002625</c:v>
                </c:pt>
                <c:pt idx="324">
                  <c:v>13.1042003632</c:v>
                </c:pt>
                <c:pt idx="325">
                  <c:v>12.9757003784</c:v>
                </c:pt>
                <c:pt idx="326">
                  <c:v>12.9792003632</c:v>
                </c:pt>
                <c:pt idx="327">
                  <c:v>12.8268003464</c:v>
                </c:pt>
                <c:pt idx="328">
                  <c:v>12.9271001816</c:v>
                </c:pt>
                <c:pt idx="329">
                  <c:v>12.7665996552</c:v>
                </c:pt>
                <c:pt idx="330">
                  <c:v>12.6125001907</c:v>
                </c:pt>
                <c:pt idx="331">
                  <c:v>12.6243000031</c:v>
                </c:pt>
                <c:pt idx="332">
                  <c:v>12.6548995972</c:v>
                </c:pt>
                <c:pt idx="333">
                  <c:v>12.6759996414</c:v>
                </c:pt>
                <c:pt idx="334">
                  <c:v>12.6787996292</c:v>
                </c:pt>
                <c:pt idx="335">
                  <c:v>12.337100029</c:v>
                </c:pt>
                <c:pt idx="336">
                  <c:v>12.3029003143</c:v>
                </c:pt>
                <c:pt idx="337">
                  <c:v>12.3156995773</c:v>
                </c:pt>
                <c:pt idx="338">
                  <c:v>12.4996004105</c:v>
                </c:pt>
                <c:pt idx="339">
                  <c:v>12.4065999985</c:v>
                </c:pt>
                <c:pt idx="340">
                  <c:v>12.4998998642</c:v>
                </c:pt>
                <c:pt idx="341">
                  <c:v>12.5763998032</c:v>
                </c:pt>
                <c:pt idx="342">
                  <c:v>12.6424999237</c:v>
                </c:pt>
                <c:pt idx="343">
                  <c:v>12.6381998062</c:v>
                </c:pt>
                <c:pt idx="344">
                  <c:v>12.5992002487</c:v>
                </c:pt>
                <c:pt idx="345">
                  <c:v>12.7389001846</c:v>
                </c:pt>
                <c:pt idx="346">
                  <c:v>12.7440004349</c:v>
                </c:pt>
                <c:pt idx="347">
                  <c:v>12.8241996765</c:v>
                </c:pt>
                <c:pt idx="348">
                  <c:v>12.7798995972</c:v>
                </c:pt>
                <c:pt idx="349">
                  <c:v>12.9097995758</c:v>
                </c:pt>
                <c:pt idx="350">
                  <c:v>12.6559000015</c:v>
                </c:pt>
                <c:pt idx="351">
                  <c:v>12.7217998505</c:v>
                </c:pt>
                <c:pt idx="352">
                  <c:v>12.7411003113</c:v>
                </c:pt>
                <c:pt idx="353">
                  <c:v>12.8154001236</c:v>
                </c:pt>
                <c:pt idx="354">
                  <c:v>12.7882995605</c:v>
                </c:pt>
                <c:pt idx="355">
                  <c:v>12.730799675</c:v>
                </c:pt>
                <c:pt idx="356">
                  <c:v>12.8228998184</c:v>
                </c:pt>
                <c:pt idx="357">
                  <c:v>12.9919996262</c:v>
                </c:pt>
                <c:pt idx="358">
                  <c:v>13.049200058</c:v>
                </c:pt>
                <c:pt idx="359">
                  <c:v>13.0197000504</c:v>
                </c:pt>
                <c:pt idx="360">
                  <c:v>13.0052995682</c:v>
                </c:pt>
                <c:pt idx="361">
                  <c:v>13.0866003036</c:v>
                </c:pt>
                <c:pt idx="362">
                  <c:v>12.929400444</c:v>
                </c:pt>
                <c:pt idx="363">
                  <c:v>12.5611000061</c:v>
                </c:pt>
                <c:pt idx="364">
                  <c:v>12.434800148</c:v>
                </c:pt>
                <c:pt idx="365">
                  <c:v>12.4074001312</c:v>
                </c:pt>
                <c:pt idx="366">
                  <c:v>12.475399971</c:v>
                </c:pt>
                <c:pt idx="367">
                  <c:v>12.4877996445</c:v>
                </c:pt>
                <c:pt idx="368">
                  <c:v>12.4076004028</c:v>
                </c:pt>
                <c:pt idx="369">
                  <c:v>12.2568998337</c:v>
                </c:pt>
                <c:pt idx="370">
                  <c:v>12.2103004456</c:v>
                </c:pt>
                <c:pt idx="371">
                  <c:v>12.4651002884</c:v>
                </c:pt>
                <c:pt idx="372">
                  <c:v>12.3985996246</c:v>
                </c:pt>
                <c:pt idx="373">
                  <c:v>12.4335002899</c:v>
                </c:pt>
                <c:pt idx="374">
                  <c:v>12.4383001328</c:v>
                </c:pt>
                <c:pt idx="375">
                  <c:v>12.4341001511</c:v>
                </c:pt>
                <c:pt idx="376">
                  <c:v>12.4137001038</c:v>
                </c:pt>
                <c:pt idx="377">
                  <c:v>12.2966003418</c:v>
                </c:pt>
                <c:pt idx="378">
                  <c:v>12.382399559</c:v>
                </c:pt>
                <c:pt idx="379">
                  <c:v>12.4282999039</c:v>
                </c:pt>
                <c:pt idx="380">
                  <c:v>12.4423999786</c:v>
                </c:pt>
                <c:pt idx="381">
                  <c:v>12.318400383</c:v>
                </c:pt>
                <c:pt idx="382">
                  <c:v>12.4359998703</c:v>
                </c:pt>
                <c:pt idx="383">
                  <c:v>12.5502996445</c:v>
                </c:pt>
                <c:pt idx="384">
                  <c:v>12.5819997787</c:v>
                </c:pt>
                <c:pt idx="385">
                  <c:v>12.581700325</c:v>
                </c:pt>
                <c:pt idx="386">
                  <c:v>12.6841001511</c:v>
                </c:pt>
                <c:pt idx="387">
                  <c:v>12.6554002762</c:v>
                </c:pt>
                <c:pt idx="388">
                  <c:v>12.7430000305</c:v>
                </c:pt>
                <c:pt idx="389">
                  <c:v>12.7622003555</c:v>
                </c:pt>
                <c:pt idx="390">
                  <c:v>12.6999998093</c:v>
                </c:pt>
                <c:pt idx="391">
                  <c:v>12.7416000366</c:v>
                </c:pt>
                <c:pt idx="392">
                  <c:v>12.7030000687</c:v>
                </c:pt>
                <c:pt idx="393">
                  <c:v>12.8030004501</c:v>
                </c:pt>
                <c:pt idx="394">
                  <c:v>12.7566003799</c:v>
                </c:pt>
                <c:pt idx="395">
                  <c:v>12.6114997864</c:v>
                </c:pt>
                <c:pt idx="396">
                  <c:v>12.6946001053</c:v>
                </c:pt>
                <c:pt idx="397">
                  <c:v>12.7363004684</c:v>
                </c:pt>
                <c:pt idx="398">
                  <c:v>12.5543003082</c:v>
                </c:pt>
                <c:pt idx="399">
                  <c:v>12.535900116</c:v>
                </c:pt>
                <c:pt idx="400">
                  <c:v>12.4462003708</c:v>
                </c:pt>
                <c:pt idx="401">
                  <c:v>12.5357999802</c:v>
                </c:pt>
                <c:pt idx="402">
                  <c:v>12.651599884</c:v>
                </c:pt>
                <c:pt idx="403">
                  <c:v>12.6217002869</c:v>
                </c:pt>
                <c:pt idx="404">
                  <c:v>12.5548000336</c:v>
                </c:pt>
                <c:pt idx="405">
                  <c:v>12.6012001038</c:v>
                </c:pt>
                <c:pt idx="406">
                  <c:v>12.5570001602</c:v>
                </c:pt>
                <c:pt idx="407">
                  <c:v>12.5424003601</c:v>
                </c:pt>
                <c:pt idx="408">
                  <c:v>12.8185997009</c:v>
                </c:pt>
                <c:pt idx="409">
                  <c:v>12.8162002563</c:v>
                </c:pt>
                <c:pt idx="410">
                  <c:v>12.8269996643</c:v>
                </c:pt>
                <c:pt idx="411">
                  <c:v>12.8486003876</c:v>
                </c:pt>
                <c:pt idx="412">
                  <c:v>12.7013998032</c:v>
                </c:pt>
                <c:pt idx="413">
                  <c:v>12.5448999405</c:v>
                </c:pt>
                <c:pt idx="414">
                  <c:v>12.5521001816</c:v>
                </c:pt>
                <c:pt idx="415">
                  <c:v>12.5461997986</c:v>
                </c:pt>
                <c:pt idx="416">
                  <c:v>12.5018997192</c:v>
                </c:pt>
                <c:pt idx="417">
                  <c:v>12.5327997208</c:v>
                </c:pt>
                <c:pt idx="418">
                  <c:v>12.4347000122</c:v>
                </c:pt>
                <c:pt idx="419">
                  <c:v>12.3761997223</c:v>
                </c:pt>
                <c:pt idx="420">
                  <c:v>12.4336996078</c:v>
                </c:pt>
                <c:pt idx="421">
                  <c:v>12.4376001358</c:v>
                </c:pt>
                <c:pt idx="422">
                  <c:v>12.4221000671</c:v>
                </c:pt>
                <c:pt idx="423">
                  <c:v>11.670800209</c:v>
                </c:pt>
                <c:pt idx="424">
                  <c:v>11.9029998779</c:v>
                </c:pt>
                <c:pt idx="425">
                  <c:v>11.9692001343</c:v>
                </c:pt>
                <c:pt idx="426">
                  <c:v>12.0675001144</c:v>
                </c:pt>
                <c:pt idx="427">
                  <c:v>12.0907001495</c:v>
                </c:pt>
                <c:pt idx="428">
                  <c:v>12.1405000687</c:v>
                </c:pt>
                <c:pt idx="429">
                  <c:v>12.1717996597</c:v>
                </c:pt>
                <c:pt idx="430">
                  <c:v>12.2559995651</c:v>
                </c:pt>
                <c:pt idx="431">
                  <c:v>12.2538995743</c:v>
                </c:pt>
                <c:pt idx="432">
                  <c:v>12.263299942</c:v>
                </c:pt>
                <c:pt idx="433">
                  <c:v>12.2489004135</c:v>
                </c:pt>
                <c:pt idx="434">
                  <c:v>12.2931003571</c:v>
                </c:pt>
                <c:pt idx="435">
                  <c:v>12.268699646</c:v>
                </c:pt>
                <c:pt idx="436">
                  <c:v>12.290599823</c:v>
                </c:pt>
                <c:pt idx="437">
                  <c:v>12.2608995438</c:v>
                </c:pt>
                <c:pt idx="438">
                  <c:v>12.320400238</c:v>
                </c:pt>
                <c:pt idx="439">
                  <c:v>12.3046998978</c:v>
                </c:pt>
                <c:pt idx="440">
                  <c:v>12.2087001801</c:v>
                </c:pt>
                <c:pt idx="441">
                  <c:v>12.2957000732</c:v>
                </c:pt>
                <c:pt idx="442">
                  <c:v>12.4081001282</c:v>
                </c:pt>
                <c:pt idx="443">
                  <c:v>12.4450998306</c:v>
                </c:pt>
                <c:pt idx="444">
                  <c:v>12.4390001297</c:v>
                </c:pt>
                <c:pt idx="445">
                  <c:v>12.5362997055</c:v>
                </c:pt>
                <c:pt idx="446">
                  <c:v>12.5712995529</c:v>
                </c:pt>
                <c:pt idx="447">
                  <c:v>12.7193002701</c:v>
                </c:pt>
                <c:pt idx="448">
                  <c:v>12.6352996826</c:v>
                </c:pt>
                <c:pt idx="449">
                  <c:v>12.5611000061</c:v>
                </c:pt>
                <c:pt idx="450">
                  <c:v>12.5256996155</c:v>
                </c:pt>
                <c:pt idx="451">
                  <c:v>12.5909004211</c:v>
                </c:pt>
                <c:pt idx="452">
                  <c:v>12.6491003036</c:v>
                </c:pt>
                <c:pt idx="453">
                  <c:v>12.6485996246</c:v>
                </c:pt>
                <c:pt idx="454">
                  <c:v>12.5467996597</c:v>
                </c:pt>
                <c:pt idx="455">
                  <c:v>12.4877004623</c:v>
                </c:pt>
                <c:pt idx="456">
                  <c:v>12.4516000748</c:v>
                </c:pt>
                <c:pt idx="457">
                  <c:v>12.442899704</c:v>
                </c:pt>
                <c:pt idx="458">
                  <c:v>12.4884996414</c:v>
                </c:pt>
                <c:pt idx="459">
                  <c:v>12.4616003036</c:v>
                </c:pt>
                <c:pt idx="460">
                  <c:v>12.5010995865</c:v>
                </c:pt>
                <c:pt idx="461">
                  <c:v>12.5353002548</c:v>
                </c:pt>
                <c:pt idx="462">
                  <c:v>12.5643997192</c:v>
                </c:pt>
                <c:pt idx="463">
                  <c:v>12.5614004135</c:v>
                </c:pt>
                <c:pt idx="464">
                  <c:v>12.5712003708</c:v>
                </c:pt>
                <c:pt idx="465">
                  <c:v>12.5275001526</c:v>
                </c:pt>
                <c:pt idx="466">
                  <c:v>12.8037996292</c:v>
                </c:pt>
                <c:pt idx="467">
                  <c:v>12.7797002792</c:v>
                </c:pt>
                <c:pt idx="468">
                  <c:v>12.719499588</c:v>
                </c:pt>
                <c:pt idx="469">
                  <c:v>12.7786998749</c:v>
                </c:pt>
                <c:pt idx="470">
                  <c:v>12.7818002701</c:v>
                </c:pt>
                <c:pt idx="471">
                  <c:v>12.8156003952</c:v>
                </c:pt>
                <c:pt idx="472">
                  <c:v>12.7975997925</c:v>
                </c:pt>
                <c:pt idx="473">
                  <c:v>12.8261995316</c:v>
                </c:pt>
                <c:pt idx="474">
                  <c:v>12.9014997482</c:v>
                </c:pt>
                <c:pt idx="475">
                  <c:v>13.0250997543</c:v>
                </c:pt>
                <c:pt idx="476">
                  <c:v>13.1709003448</c:v>
                </c:pt>
                <c:pt idx="477">
                  <c:v>13.1642999649</c:v>
                </c:pt>
                <c:pt idx="478">
                  <c:v>13.0223999023</c:v>
                </c:pt>
                <c:pt idx="479">
                  <c:v>13.0658998489</c:v>
                </c:pt>
                <c:pt idx="480">
                  <c:v>13.1154003143</c:v>
                </c:pt>
                <c:pt idx="481">
                  <c:v>13.1225004196</c:v>
                </c:pt>
                <c:pt idx="482">
                  <c:v>13.1583003998</c:v>
                </c:pt>
                <c:pt idx="483">
                  <c:v>13.2299995422</c:v>
                </c:pt>
                <c:pt idx="484">
                  <c:v>13.1865997314</c:v>
                </c:pt>
                <c:pt idx="485">
                  <c:v>13.2629003525</c:v>
                </c:pt>
                <c:pt idx="486">
                  <c:v>13.266699791</c:v>
                </c:pt>
                <c:pt idx="487">
                  <c:v>13.3386001587</c:v>
                </c:pt>
                <c:pt idx="488">
                  <c:v>13.3088998795</c:v>
                </c:pt>
                <c:pt idx="489">
                  <c:v>13.3252000809</c:v>
                </c:pt>
                <c:pt idx="490">
                  <c:v>13.3163003922</c:v>
                </c:pt>
                <c:pt idx="491">
                  <c:v>13.2861995697</c:v>
                </c:pt>
                <c:pt idx="492">
                  <c:v>13.3168001175</c:v>
                </c:pt>
                <c:pt idx="493">
                  <c:v>13.3872003555</c:v>
                </c:pt>
                <c:pt idx="494">
                  <c:v>13.4485998154</c:v>
                </c:pt>
                <c:pt idx="495">
                  <c:v>13.5284004211</c:v>
                </c:pt>
                <c:pt idx="496">
                  <c:v>13.5424995422</c:v>
                </c:pt>
                <c:pt idx="497">
                  <c:v>13.5888004303</c:v>
                </c:pt>
                <c:pt idx="498">
                  <c:v>13.5068998337</c:v>
                </c:pt>
                <c:pt idx="499">
                  <c:v>13.5171003342</c:v>
                </c:pt>
                <c:pt idx="500">
                  <c:v>13.3535995483</c:v>
                </c:pt>
                <c:pt idx="501">
                  <c:v>13.392999649</c:v>
                </c:pt>
                <c:pt idx="502">
                  <c:v>13.1864995956</c:v>
                </c:pt>
                <c:pt idx="503">
                  <c:v>13.1154003143</c:v>
                </c:pt>
                <c:pt idx="504">
                  <c:v>13.1662998199</c:v>
                </c:pt>
                <c:pt idx="505">
                  <c:v>13.2933998108</c:v>
                </c:pt>
                <c:pt idx="506">
                  <c:v>13.3172998428</c:v>
                </c:pt>
                <c:pt idx="507">
                  <c:v>13.3337001801</c:v>
                </c:pt>
                <c:pt idx="508">
                  <c:v>13.3051996231</c:v>
                </c:pt>
                <c:pt idx="509">
                  <c:v>13.2980003357</c:v>
                </c:pt>
                <c:pt idx="510">
                  <c:v>13.3866996765</c:v>
                </c:pt>
                <c:pt idx="511">
                  <c:v>13.4224004745</c:v>
                </c:pt>
                <c:pt idx="512">
                  <c:v>13.4224996567</c:v>
                </c:pt>
                <c:pt idx="513">
                  <c:v>13.456199646</c:v>
                </c:pt>
                <c:pt idx="514">
                  <c:v>13.5399999619</c:v>
                </c:pt>
                <c:pt idx="515">
                  <c:v>13.5347003937</c:v>
                </c:pt>
                <c:pt idx="516">
                  <c:v>13.6688995361</c:v>
                </c:pt>
                <c:pt idx="517">
                  <c:v>13.7271995544</c:v>
                </c:pt>
                <c:pt idx="518">
                  <c:v>13.9697999954</c:v>
                </c:pt>
                <c:pt idx="519">
                  <c:v>14.1813001633</c:v>
                </c:pt>
                <c:pt idx="520">
                  <c:v>14.113699913</c:v>
                </c:pt>
                <c:pt idx="521">
                  <c:v>13.8596000671</c:v>
                </c:pt>
                <c:pt idx="522">
                  <c:v>14.0934000015</c:v>
                </c:pt>
                <c:pt idx="523">
                  <c:v>14.151599884</c:v>
                </c:pt>
                <c:pt idx="524">
                  <c:v>14.1368999481</c:v>
                </c:pt>
                <c:pt idx="525">
                  <c:v>14.1414003372</c:v>
                </c:pt>
                <c:pt idx="526">
                  <c:v>14.0109996796</c:v>
                </c:pt>
                <c:pt idx="527">
                  <c:v>13.853099823</c:v>
                </c:pt>
                <c:pt idx="528">
                  <c:v>13.9751996994</c:v>
                </c:pt>
                <c:pt idx="529">
                  <c:v>13.986000061</c:v>
                </c:pt>
                <c:pt idx="530">
                  <c:v>13.902299881</c:v>
                </c:pt>
                <c:pt idx="531">
                  <c:v>13.9430999756</c:v>
                </c:pt>
                <c:pt idx="532">
                  <c:v>14.180100441</c:v>
                </c:pt>
                <c:pt idx="533">
                  <c:v>14.1308002472</c:v>
                </c:pt>
                <c:pt idx="534">
                  <c:v>14.1326999664</c:v>
                </c:pt>
                <c:pt idx="535">
                  <c:v>14.0896997452</c:v>
                </c:pt>
                <c:pt idx="536">
                  <c:v>14.1590995789</c:v>
                </c:pt>
                <c:pt idx="537">
                  <c:v>13.9616003036</c:v>
                </c:pt>
                <c:pt idx="538">
                  <c:v>13.9609003067</c:v>
                </c:pt>
                <c:pt idx="539">
                  <c:v>13.9723997116</c:v>
                </c:pt>
                <c:pt idx="540">
                  <c:v>14.013299942</c:v>
                </c:pt>
                <c:pt idx="541">
                  <c:v>14.0963001251</c:v>
                </c:pt>
                <c:pt idx="542">
                  <c:v>14.1333999634</c:v>
                </c:pt>
                <c:pt idx="543">
                  <c:v>14.0418996811</c:v>
                </c:pt>
                <c:pt idx="544">
                  <c:v>14.1851997375</c:v>
                </c:pt>
                <c:pt idx="545">
                  <c:v>14.2225999832</c:v>
                </c:pt>
                <c:pt idx="546">
                  <c:v>14.4153003693</c:v>
                </c:pt>
                <c:pt idx="547">
                  <c:v>14.245300293</c:v>
                </c:pt>
                <c:pt idx="548">
                  <c:v>14.189499855</c:v>
                </c:pt>
                <c:pt idx="549">
                  <c:v>14.1444997787</c:v>
                </c:pt>
                <c:pt idx="550">
                  <c:v>14.3058004379</c:v>
                </c:pt>
                <c:pt idx="551">
                  <c:v>14.4041004181</c:v>
                </c:pt>
                <c:pt idx="552">
                  <c:v>14.1536998749</c:v>
                </c:pt>
                <c:pt idx="553">
                  <c:v>14.2164001465</c:v>
                </c:pt>
                <c:pt idx="554">
                  <c:v>14.3729000092</c:v>
                </c:pt>
                <c:pt idx="555">
                  <c:v>14.3983001709</c:v>
                </c:pt>
                <c:pt idx="556">
                  <c:v>14.4575996399</c:v>
                </c:pt>
                <c:pt idx="557">
                  <c:v>14.5550003052</c:v>
                </c:pt>
                <c:pt idx="558">
                  <c:v>14.692199707</c:v>
                </c:pt>
                <c:pt idx="559">
                  <c:v>14.6222000122</c:v>
                </c:pt>
                <c:pt idx="560">
                  <c:v>14.6152000427</c:v>
                </c:pt>
                <c:pt idx="561">
                  <c:v>14.4942998886</c:v>
                </c:pt>
                <c:pt idx="562">
                  <c:v>14.1146001816</c:v>
                </c:pt>
                <c:pt idx="563">
                  <c:v>14.2038002014</c:v>
                </c:pt>
                <c:pt idx="564">
                  <c:v>14.171500206</c:v>
                </c:pt>
                <c:pt idx="565">
                  <c:v>14.1770000458</c:v>
                </c:pt>
                <c:pt idx="566">
                  <c:v>14.3295001984</c:v>
                </c:pt>
                <c:pt idx="567">
                  <c:v>14.2847995758</c:v>
                </c:pt>
                <c:pt idx="568">
                  <c:v>14.3641004562</c:v>
                </c:pt>
                <c:pt idx="569">
                  <c:v>14.2722997665</c:v>
                </c:pt>
                <c:pt idx="570">
                  <c:v>14.3119001389</c:v>
                </c:pt>
                <c:pt idx="571">
                  <c:v>14.4074001312</c:v>
                </c:pt>
                <c:pt idx="572">
                  <c:v>14.2372999191</c:v>
                </c:pt>
                <c:pt idx="573">
                  <c:v>14.1352996826</c:v>
                </c:pt>
                <c:pt idx="574">
                  <c:v>14.0559997559</c:v>
                </c:pt>
                <c:pt idx="575">
                  <c:v>14.1603002548</c:v>
                </c:pt>
                <c:pt idx="576">
                  <c:v>14.1386995316</c:v>
                </c:pt>
                <c:pt idx="577">
                  <c:v>13.8715000153</c:v>
                </c:pt>
                <c:pt idx="578">
                  <c:v>13.8076000214</c:v>
                </c:pt>
                <c:pt idx="579">
                  <c:v>13.9184999466</c:v>
                </c:pt>
                <c:pt idx="580">
                  <c:v>13.9204998016</c:v>
                </c:pt>
                <c:pt idx="581">
                  <c:v>13.9465999603</c:v>
                </c:pt>
                <c:pt idx="582">
                  <c:v>13.9408998489</c:v>
                </c:pt>
                <c:pt idx="583">
                  <c:v>14.0524997711</c:v>
                </c:pt>
                <c:pt idx="584">
                  <c:v>14.0177001953</c:v>
                </c:pt>
                <c:pt idx="585">
                  <c:v>13.9351997375</c:v>
                </c:pt>
                <c:pt idx="586">
                  <c:v>13.9561004639</c:v>
                </c:pt>
                <c:pt idx="587">
                  <c:v>14.018699646</c:v>
                </c:pt>
                <c:pt idx="588">
                  <c:v>14.0805997849</c:v>
                </c:pt>
                <c:pt idx="589">
                  <c:v>14.0336999893</c:v>
                </c:pt>
                <c:pt idx="590">
                  <c:v>13.9724998474</c:v>
                </c:pt>
                <c:pt idx="591">
                  <c:v>13.8800001144</c:v>
                </c:pt>
                <c:pt idx="592">
                  <c:v>13.9089002609</c:v>
                </c:pt>
                <c:pt idx="593">
                  <c:v>13.8929004669</c:v>
                </c:pt>
                <c:pt idx="594">
                  <c:v>13.7673997879</c:v>
                </c:pt>
                <c:pt idx="595">
                  <c:v>13.9591999054</c:v>
                </c:pt>
                <c:pt idx="596">
                  <c:v>13.9586000443</c:v>
                </c:pt>
                <c:pt idx="597">
                  <c:v>13.9670000076</c:v>
                </c:pt>
                <c:pt idx="598">
                  <c:v>14.0539999008</c:v>
                </c:pt>
                <c:pt idx="599">
                  <c:v>14.0942001343</c:v>
                </c:pt>
                <c:pt idx="600">
                  <c:v>14.1148004532</c:v>
                </c:pt>
                <c:pt idx="601">
                  <c:v>14.1337995529</c:v>
                </c:pt>
                <c:pt idx="602">
                  <c:v>14.1461000443</c:v>
                </c:pt>
                <c:pt idx="603">
                  <c:v>14.1572999954</c:v>
                </c:pt>
                <c:pt idx="604">
                  <c:v>14.1850996017</c:v>
                </c:pt>
                <c:pt idx="605">
                  <c:v>14.1724004745</c:v>
                </c:pt>
                <c:pt idx="606">
                  <c:v>14.3331003189</c:v>
                </c:pt>
                <c:pt idx="607">
                  <c:v>14.5183000565</c:v>
                </c:pt>
                <c:pt idx="608">
                  <c:v>14.4391002655</c:v>
                </c:pt>
                <c:pt idx="609">
                  <c:v>14.3492002487</c:v>
                </c:pt>
                <c:pt idx="610">
                  <c:v>14.407500267</c:v>
                </c:pt>
                <c:pt idx="611">
                  <c:v>14.4837999344</c:v>
                </c:pt>
                <c:pt idx="612">
                  <c:v>14.4555997849</c:v>
                </c:pt>
                <c:pt idx="613">
                  <c:v>14.347700119</c:v>
                </c:pt>
                <c:pt idx="614">
                  <c:v>14.3163003922</c:v>
                </c:pt>
                <c:pt idx="615">
                  <c:v>14.2235002518</c:v>
                </c:pt>
                <c:pt idx="616">
                  <c:v>14.2172002792</c:v>
                </c:pt>
                <c:pt idx="617">
                  <c:v>14.2216997147</c:v>
                </c:pt>
                <c:pt idx="618">
                  <c:v>14.1767997742</c:v>
                </c:pt>
                <c:pt idx="619">
                  <c:v>14.1667003632</c:v>
                </c:pt>
                <c:pt idx="620">
                  <c:v>14.0794000626</c:v>
                </c:pt>
                <c:pt idx="621">
                  <c:v>14.1451997757</c:v>
                </c:pt>
                <c:pt idx="622">
                  <c:v>14.1372995377</c:v>
                </c:pt>
                <c:pt idx="623">
                  <c:v>14.1970996857</c:v>
                </c:pt>
                <c:pt idx="624">
                  <c:v>14.3128004074</c:v>
                </c:pt>
                <c:pt idx="625">
                  <c:v>14.1752004623</c:v>
                </c:pt>
                <c:pt idx="626">
                  <c:v>13.9057998657</c:v>
                </c:pt>
                <c:pt idx="627">
                  <c:v>13.9736003876</c:v>
                </c:pt>
                <c:pt idx="628">
                  <c:v>14.1321001053</c:v>
                </c:pt>
                <c:pt idx="629">
                  <c:v>14.0847997665</c:v>
                </c:pt>
                <c:pt idx="630">
                  <c:v>14.0408000946</c:v>
                </c:pt>
                <c:pt idx="631">
                  <c:v>14.1986999512</c:v>
                </c:pt>
                <c:pt idx="632">
                  <c:v>14.2298002243</c:v>
                </c:pt>
                <c:pt idx="633">
                  <c:v>14.2290000916</c:v>
                </c:pt>
                <c:pt idx="634">
                  <c:v>14.2037000656</c:v>
                </c:pt>
                <c:pt idx="635">
                  <c:v>14.0101995468</c:v>
                </c:pt>
                <c:pt idx="636">
                  <c:v>14.1521997452</c:v>
                </c:pt>
                <c:pt idx="637">
                  <c:v>14.201499939</c:v>
                </c:pt>
                <c:pt idx="638">
                  <c:v>14.1501998901</c:v>
                </c:pt>
                <c:pt idx="639">
                  <c:v>14.1260995865</c:v>
                </c:pt>
                <c:pt idx="640">
                  <c:v>14.2791004181</c:v>
                </c:pt>
                <c:pt idx="641">
                  <c:v>14.2791996002</c:v>
                </c:pt>
                <c:pt idx="642">
                  <c:v>14.11439991</c:v>
                </c:pt>
                <c:pt idx="643">
                  <c:v>14.1838998795</c:v>
                </c:pt>
                <c:pt idx="644">
                  <c:v>14.1906003952</c:v>
                </c:pt>
                <c:pt idx="645">
                  <c:v>14.1520004272</c:v>
                </c:pt>
                <c:pt idx="646">
                  <c:v>14.1546001434</c:v>
                </c:pt>
                <c:pt idx="647">
                  <c:v>14.2607002258</c:v>
                </c:pt>
                <c:pt idx="648">
                  <c:v>14.2607002258</c:v>
                </c:pt>
                <c:pt idx="649">
                  <c:v>14.2083997726</c:v>
                </c:pt>
                <c:pt idx="650">
                  <c:v>14.1993999481</c:v>
                </c:pt>
                <c:pt idx="651">
                  <c:v>14.1605997086</c:v>
                </c:pt>
                <c:pt idx="652">
                  <c:v>14.1822004318</c:v>
                </c:pt>
                <c:pt idx="653">
                  <c:v>14.0904998779</c:v>
                </c:pt>
                <c:pt idx="654">
                  <c:v>14.0240001678</c:v>
                </c:pt>
                <c:pt idx="655">
                  <c:v>13.6115999222</c:v>
                </c:pt>
                <c:pt idx="656">
                  <c:v>13.7405004501</c:v>
                </c:pt>
                <c:pt idx="657">
                  <c:v>13.8647003174</c:v>
                </c:pt>
                <c:pt idx="658">
                  <c:v>13.7880001068</c:v>
                </c:pt>
                <c:pt idx="659">
                  <c:v>13.9127998352</c:v>
                </c:pt>
                <c:pt idx="660">
                  <c:v>13.9575004578</c:v>
                </c:pt>
                <c:pt idx="661">
                  <c:v>13.8915996552</c:v>
                </c:pt>
                <c:pt idx="662">
                  <c:v>14.1183996201</c:v>
                </c:pt>
                <c:pt idx="663">
                  <c:v>14.04529953</c:v>
                </c:pt>
                <c:pt idx="664">
                  <c:v>13.9116001129</c:v>
                </c:pt>
                <c:pt idx="665">
                  <c:v>13.9043998718</c:v>
                </c:pt>
                <c:pt idx="666">
                  <c:v>14.185500145</c:v>
                </c:pt>
                <c:pt idx="667">
                  <c:v>14.1048002243</c:v>
                </c:pt>
                <c:pt idx="668">
                  <c:v>14.2194004059</c:v>
                </c:pt>
                <c:pt idx="669">
                  <c:v>14.2615003586</c:v>
                </c:pt>
                <c:pt idx="670">
                  <c:v>14.3758001328</c:v>
                </c:pt>
                <c:pt idx="671">
                  <c:v>14.3575000763</c:v>
                </c:pt>
                <c:pt idx="672">
                  <c:v>14.4310998917</c:v>
                </c:pt>
                <c:pt idx="673">
                  <c:v>14.4034004211</c:v>
                </c:pt>
                <c:pt idx="674">
                  <c:v>14.5233001709</c:v>
                </c:pt>
                <c:pt idx="675">
                  <c:v>14.5768995285</c:v>
                </c:pt>
                <c:pt idx="676">
                  <c:v>14.6094999313</c:v>
                </c:pt>
                <c:pt idx="677">
                  <c:v>14.6038999557</c:v>
                </c:pt>
                <c:pt idx="678">
                  <c:v>14.545800209</c:v>
                </c:pt>
                <c:pt idx="679">
                  <c:v>14.5416002274</c:v>
                </c:pt>
                <c:pt idx="680">
                  <c:v>14.6106004715</c:v>
                </c:pt>
                <c:pt idx="681">
                  <c:v>14.709400177</c:v>
                </c:pt>
                <c:pt idx="682">
                  <c:v>14.6354999542</c:v>
                </c:pt>
                <c:pt idx="683">
                  <c:v>14.7866001129</c:v>
                </c:pt>
                <c:pt idx="684">
                  <c:v>14.7677001953</c:v>
                </c:pt>
                <c:pt idx="685">
                  <c:v>14.7058000565</c:v>
                </c:pt>
                <c:pt idx="686">
                  <c:v>14.8549003601</c:v>
                </c:pt>
                <c:pt idx="687">
                  <c:v>14.826499939</c:v>
                </c:pt>
                <c:pt idx="688">
                  <c:v>14.898900032</c:v>
                </c:pt>
                <c:pt idx="689">
                  <c:v>14.7255001068</c:v>
                </c:pt>
                <c:pt idx="690">
                  <c:v>14.6059999466</c:v>
                </c:pt>
                <c:pt idx="691">
                  <c:v>14.5537996292</c:v>
                </c:pt>
                <c:pt idx="692">
                  <c:v>14.6338996887</c:v>
                </c:pt>
                <c:pt idx="693">
                  <c:v>14.5741996765</c:v>
                </c:pt>
                <c:pt idx="694">
                  <c:v>14.3954000473</c:v>
                </c:pt>
                <c:pt idx="695">
                  <c:v>14.4856996536</c:v>
                </c:pt>
                <c:pt idx="696">
                  <c:v>14.6388998032</c:v>
                </c:pt>
                <c:pt idx="697">
                  <c:v>14.704199791</c:v>
                </c:pt>
                <c:pt idx="698">
                  <c:v>14.5729999542</c:v>
                </c:pt>
                <c:pt idx="699">
                  <c:v>14.5641002655</c:v>
                </c:pt>
                <c:pt idx="700">
                  <c:v>14.5590000153</c:v>
                </c:pt>
                <c:pt idx="701">
                  <c:v>14.5167999268</c:v>
                </c:pt>
                <c:pt idx="702">
                  <c:v>14.6600999832</c:v>
                </c:pt>
                <c:pt idx="703">
                  <c:v>14.6774997711</c:v>
                </c:pt>
                <c:pt idx="704">
                  <c:v>14.543800354</c:v>
                </c:pt>
                <c:pt idx="705">
                  <c:v>14.3873996735</c:v>
                </c:pt>
                <c:pt idx="706">
                  <c:v>14.2327003479</c:v>
                </c:pt>
                <c:pt idx="707">
                  <c:v>14.3653001785</c:v>
                </c:pt>
                <c:pt idx="708">
                  <c:v>14.2967996597</c:v>
                </c:pt>
                <c:pt idx="709">
                  <c:v>14.2515001297</c:v>
                </c:pt>
                <c:pt idx="710">
                  <c:v>14.4180002213</c:v>
                </c:pt>
                <c:pt idx="711">
                  <c:v>14.7889003754</c:v>
                </c:pt>
                <c:pt idx="712">
                  <c:v>14.6875</c:v>
                </c:pt>
                <c:pt idx="713">
                  <c:v>14.7313995361</c:v>
                </c:pt>
                <c:pt idx="714">
                  <c:v>14.6375999451</c:v>
                </c:pt>
                <c:pt idx="715">
                  <c:v>14.9286003113</c:v>
                </c:pt>
                <c:pt idx="716">
                  <c:v>14.649600029</c:v>
                </c:pt>
                <c:pt idx="717">
                  <c:v>14.6210002899</c:v>
                </c:pt>
                <c:pt idx="718">
                  <c:v>14.7136001587</c:v>
                </c:pt>
                <c:pt idx="719">
                  <c:v>14.3392000198</c:v>
                </c:pt>
                <c:pt idx="720">
                  <c:v>14.4888000488</c:v>
                </c:pt>
                <c:pt idx="721">
                  <c:v>14.5066003799</c:v>
                </c:pt>
                <c:pt idx="722">
                  <c:v>14.5138998032</c:v>
                </c:pt>
                <c:pt idx="723">
                  <c:v>14.2372999191</c:v>
                </c:pt>
                <c:pt idx="724">
                  <c:v>14.3227996826</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82.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32.2274017334,31.8840999603,32.3123016357,32.5699005127,32.3003997803,32.8959007263,32.7009010315,32.4496002197,32.3386993408,32.0225982666,31.7245998383,31.8460998535,31.626499176,32.3105010986,31.5379009247,31.4468002319,31.9318008423,32.1197013855,31.9403991699,31.8551006317,32.1430015564,32.3894996643,32.0070991516,31.8495998383,31.8572998047,31.9797000885,31.2451000214,31.2388000488,30.9769992828,30.8015995026,31.0044994354,30.5888004303,30.2814006805,30.1867008209,29.5130996704,29.9552001953,29.1123008728,29.2544994354,29.9584007263,29.8724002838,30.7196998596,30.6996994019,30.9778003693,30.8880004883,30.7548999786,30.1072006226,30.0132007599,30.2446994781,30.0445995331,29.7185001373,29.497800827,29.420999527,29.6714000702,29.4097003937,29.1744003296,28.8974990845,29.5289993286,29.433599472,29.1923007965,29.415599823,29.3740997314,29.341299057,29.2038002014,29.4307003021,29.6560993195,29.3316001892,28.7674007416,28.8239994049,28.4825992584,28.1159992218,27.6884994507,27.1916999817,27.3736991882,27.0795993805,27.7968006134,28.476600647,28.9769001007,28.9253005981,28.7961006165,28.5244007111,28.9113006592,29.8129005432,29.6406993866,29.6767997742,29.563999176,29.3875007629,29.4365005493,29.3869991302,29.5548992157,29.0205993652,29.1114006042,29.2096996307,29.0909996033,28.6070995331,28.7674999237,28.4347991943,28.2511997223,28.4388999939,28.1502990723,28.216299057,28.2362995148,27.9832000732,27.4449996948,27.6082992554,27.5499000549,27.8097000122,28.2108001709,28.0508003235,27.5944004059,27.4337005615,27.2530002594,26.8537006378,26.9533004761,26.6093997955,27.0221996307,26.9034996033,26.9832992554,26.6485004425,26.6772994995,27.7008991241,27.8486003876,27.334400177,27.0366001129,26.5580005646,26.1776008606,25.7425994873,25.8211994171,25.7390003204,26.2175006866,25.9932994843,25.7623004913,25.8292999268,25.0697002411,25.4923992157,25.275800705,24.5457992554,24.8421001434,25.0081996918,25.3514003754,24.8066997528,23.9869995117,23.4009990692,23.2131996155,23.4472007751,22.8803005219,23.097700119,24.6446990967,25.1865997314,25.4671001434,25.7075996399,25.6944999695,25.8227996826,25.8575000763,25.8600997925,25.7765007019,26.3652992249,26.6574001312,27.192899704,27.4053001404,27.5412006378,27.5475997925,27.513999939,26.8754005432,27.0855007172,28.334400177,28.5788002014,28.4067001343,28.2467002869,28.2087001801,28.8386001587,28.5569000244,28.6222991943,28.4435005188,28.0130996704,27.4836006165,27.6186008453,26.8880004883,27.0965003967,27.3045005798,27.9542007446,27.8129005432,27.5184001923,27.0270004272,27.3488998413,26.839099884,26.712600708,26.3985004425,26.8539009094,26.238899231,26.7882995605,26.6900005341,26.2154006958,25.8715000153,25.8267002106,26.2604999542,26.9493999481,27.8840999603,28.864900589,28.554599762,29.1623001099,29.1383991241,28.7133998871,29.2215995789,28.8840007782,28.6466999054,28.621099472,28.3589000702,28.4300994873,28.7217006683,28.8672008514,28.638999939,28.8801002502,28.4783000946,27.9689998627,28.133600235,27.7742004395,27.8362007141,27.8805007935,27.738899231,27.9395999908,28.2833003998,28.1588993073,27.9438991547,27.3876991272,27.5062999725,27.3820991516,27.3355998993,27.4724998474,27.7150001526,27.7595005035,27.4381999969,27.0583000183,26.9479007721,26.5741004944,26.1166992188,26.584400177,26.1805992126,25.8757991791,25.8414993286,25.5522003174,25.4755992889,25.2567005157,25.3994007111,24.9860992432,25.3075008392,25.2341995239,25.7854003906,25.7835998535,25.5886993408,25.9062995911,25.9566001892,26.2926006317,26.406999588,26.3598995209,25.5387992859,25.2334003448,25.1868991852,25.3950004578,24.7998008728,24.7145004272,25.6065998077,25.260099411,24.9179992676,24.4645004272,24.7954998016,24.7108001709,24.5972995758,24.3374004364,24.6914997101,24.8759002686,24.4895000458,24.628900528,24.5956001282,24.5960998535,24.2609996796,24.1623001099,23.945400238,23.8852005005,23.7994003296,23.1553001404,23.1474990845,23.5769996643,24.3493003845,23.7045001984,23.9990997314,23.9740009308,24.123500824,23.7008991241,23.7098999023,23.7234992981,23.9885997772,23.8768997192,23.5946998596,23.5828990936,23.7978992462,23.6480998993,23.5345001221,24.7565994263,25.1525001526,26.2432003021,28.823299408,33.2154006958,38.835899353,34.5971984863,33.7094993591,31.9344005585,32.7341003418,31.6905002594,31.001499176,30.9046001434,33.2557983398,32.9034996033,32.9936981201,31.7978000641,31.3700008392,32.4226989746,33.1152000427,32.6829986572,32.8322982788,33.1132011414,32.5660018921,33.510799408,35.0746002197,34.7507019043,36.0988006592,35.7285003662,36.7644996643,36.778301239,37.1101989746,35.8704986572,34.4962005615,33.6897010803,34.6715011597,34.8517990112,34.8210983276,33.4550018311,33.4966011047,33.1528015137,34.0867996216,33.4943008423,34.3065986633,34.7939987183,34.6455993652,34.1841011047,34.2638015747,34.9618988037,34.7127990723,34.9709014893,34.957698822,35.4485015869,34.5942993164,34.1222000122,34.1076011658,34.1587982178,34.3474998474,34.2957992554,33.9805984497,34.3843994141,34.1992988586,34.284198761,34.1973991394,34.2066001892,33.257900238,32.0297012329,31.3470993042,31.2926998138,31.4974002838,31.2292995453,31.2551994324,30.7427005768,30.8633003235,32.2921981812,31.7019004822,31.8698005676,32.1161994934,32.6722984314,32.7849006653,33.4015007019,33.2593002319,33.7401008606,32.9001998901,32.9296989441,33.8394012451,34.6176986694,34.7775993347,34.3193016052,34.9155006409,34.720500946,34.2759017944,35.4062004089,34.6549987793,35.3722000122,35.3620986938,35.1954994202,35.0912017822,34.5624008179,34.956199646,34.7865982056,33.5448989868,33.7486991882,33.7058982849,33.7061004639,34.3717002869,33.9281005859,33.851398468,33.8650016785,33.623298645,33.2170982361,34.1254997253,33.3237991333,33.4906997681,33.3552017212,33.0407981873,32.4165000916,32.4230995178,32.3218994141,32.2449989319,32.3498001099,32.2206001282,31.8551006317,31.9339008331,31.9505004883,31.33659935,27.5436992645,28.132900238,28.4515991211,29.095199585,29.5004997253,29.6786994934,29.0757007599,28.739900589,28.773399353,28.9062004089,29.7395992279,29.6044006348,29.7616996765,28.9741001129,29.0056991577,29.1380996704,28.9403991699,29.1770000458,29.6856002808,29.9447994232,30.5308990479,30.2525997162,31.1914997101,31.0701007843,31.3577003479,30.7919998169,30.7063007355,30.6424007416,31.011800766,31.267999649,30.9698009491,30.6798000336,30.3985004425,30.2294006348,30.121099472,30.5266990662,30.2021007538,30.3861999512,30.6553993225,30.9890995026,30.9202003479,31.2196006775,30.8421001434,31.1956996918,31.2556991577,30.9948005676,31.1741008759,31.0237007141,31.0993003845,30.6487007141,30.377199173,30.4855003357,31.1088008881,32.0091018677,31.7975006104,31.9094009399,32.3630981445,32.2649993896,31.8946990967,32.4711990356,32.3765983582,31.9853000641,32.658000946,32.715801239,32.7928009033,33.0588989258,32.8909988403,33.2958984375,33.2122001648,33.7421989441,33.8907012939,34.1819000244,34.3819999695,34.3889007568,34.8899993896,34.8100013733,35.081401825,35.6814002991,35.1063995361,33.7215995789,33.6189002991,33.7919006348,33.9141998291,34.1632003784,33.9458999634,33.7947998047,34.431098938,34.7631988525,35.7294998169,35.3863983154,36.2069015503,37.1021995544,37.351398468,37.4911994934,37.3983001709,38.863899231,40.081199646,39.2443008423,38.5485992432,40.1664009094,41.0129013062,41.867099762,40.7462997437,40.8140983582,39.2597999573,41.5839004517,41.4058990479,40.501499176,40.8625984192,42.6841011047,42.3163986206,43.0116004944,43.2428016663,44.1230010986,43.4143981934,43.4021987915,43.6502990723,43.6195983887,44.6086006165,45.2767982483,44.168598175,45.2657012939,45.4435997009,45.8343009949,43.8331985474,43.3478012085,41.7249984741,42.6323013306,42.7608985901,41.3460998535,42.0480995178,41.9413986206,42.2743988037,42.2626991272,43.5102996826,43.990398407,43.9297981262,44.4496994019,42.3918991089,41.1057014465,41.189201355,40.3496017456,40.7238006592,41.4296989441,41.2728004456,40.9945983887,40.5052986145,40.3324012756,41.3917007446,40.2948989868,40.1558990479,39.6503982544,39.7163009644,39.1960983276,37.7239990234,37.8773002625,38.4348983765,39.0533981323,38.9025993347,39.2009010315,39.7155990601,39.4100990295,38.9550018311,39.304901123,39.8154983521,40.7550010681,40.8989982605,40.8571014404,40.3723983765,40.7388000488,40.0381011963,39.2591018677,40.5087013245,39.6852989197,39.8737983704,40.6015014648,40.7757987976,41.0750999451,41.2142982483,41.265499115,41.0383987427,41.2350997925,40.7742004395,41.9622001648,42.3597984314,42.4640007019,42.170501709,42.6170005798,43.4244003296,42.5419006348,42.8894996643,43.0519981384,43.0153999329,42.6837997437,41.9957008362,42.2195014954,42.5634994507,42.9804000854,42.5597000122,42.7951011658,42.5383987427,42.310798645,42.6482009888,41.6189002991,42.4388999939,42.4532012939,41.8386993408,41.5705986023,42.6992988586,42.5544013977,42.1753997803,42.7374992371,42.1204986572,42.5005989075,43.5896987915,43.4897003174,43.3207015991,42.5606002808,41.4452018738,40.9686012268,41.5164985657,41.7093009949,41.5237998962,40.9660987854,41.5439987183,41.1963996887,40.9430007935,41.4653015137,40.5465011597,41.1632003784,40.6641998291,41.181098938,39.7238998413,39.9355010986,40.7277984619,40.1912994385,40.561000824,40.1787986755,38.9211006165,40.0592002869,39.1739006042,38.7901000977,38.9216995239,41.0360984802,40.754901886,42.1535987854,42.4528999329,43.3886985779,42.9401016235,42.904499054,42.5494003296,42.5013008118,42.5494003296,44.4351005554,43.8745994568,43.143699646,42.6528015137,43.721698761,44.6576004028,44.414100647,45.8769989014,46.3750991821,45.9516983032,47.520401001,47.4650993347,48.679599762,47.5948982239,47.3534011841,47.1568984985,47.0878982544,47.1815986633,46.17029953,47.3709983826,48.1796989441,48.3036003113,48.4365005493,49.1628990173,48.2504005432,47.2999000549,48.3245010376,48.9818000793,48.5233001709,47.0831985474,45.3103981018,46.9682998657,45.7010993958,45.2551994324,45.6571998596,50.9048995972,51.8089981079,52.5974998474,53.5350990295,54.9042015076,52.8694992065,53.7083015442,55.1450004578,52.9855995178,53.2022018433,54.6320991516,53.9062995911,51.0728988647,51.1865997314}</c:f>
              <c:numCache>
                <c:formatCode>General</c:formatCode>
                <c:ptCount val="725"/>
                <c:pt idx="0">
                  <c:v>32.2274017334</c:v>
                </c:pt>
                <c:pt idx="1">
                  <c:v>31.8840999603</c:v>
                </c:pt>
                <c:pt idx="2">
                  <c:v>32.3123016357</c:v>
                </c:pt>
                <c:pt idx="3">
                  <c:v>32.5699005127</c:v>
                </c:pt>
                <c:pt idx="4">
                  <c:v>32.3003997803</c:v>
                </c:pt>
                <c:pt idx="5">
                  <c:v>32.8959007263</c:v>
                </c:pt>
                <c:pt idx="6">
                  <c:v>32.7009010315</c:v>
                </c:pt>
                <c:pt idx="7">
                  <c:v>32.4496002197</c:v>
                </c:pt>
                <c:pt idx="8">
                  <c:v>32.3386993408</c:v>
                </c:pt>
                <c:pt idx="9">
                  <c:v>32.0225982666</c:v>
                </c:pt>
                <c:pt idx="10">
                  <c:v>31.7245998383</c:v>
                </c:pt>
                <c:pt idx="11">
                  <c:v>31.8460998535</c:v>
                </c:pt>
                <c:pt idx="12">
                  <c:v>31.626499176</c:v>
                </c:pt>
                <c:pt idx="13">
                  <c:v>32.3105010986</c:v>
                </c:pt>
                <c:pt idx="14">
                  <c:v>31.5379009247</c:v>
                </c:pt>
                <c:pt idx="15">
                  <c:v>31.4468002319</c:v>
                </c:pt>
                <c:pt idx="16">
                  <c:v>31.9318008423</c:v>
                </c:pt>
                <c:pt idx="17">
                  <c:v>32.1197013855</c:v>
                </c:pt>
                <c:pt idx="18">
                  <c:v>31.9403991699</c:v>
                </c:pt>
                <c:pt idx="19">
                  <c:v>31.8551006317</c:v>
                </c:pt>
                <c:pt idx="20">
                  <c:v>32.1430015564</c:v>
                </c:pt>
                <c:pt idx="21">
                  <c:v>32.3894996643</c:v>
                </c:pt>
                <c:pt idx="22">
                  <c:v>32.0070991516</c:v>
                </c:pt>
                <c:pt idx="23">
                  <c:v>31.8495998383</c:v>
                </c:pt>
                <c:pt idx="24">
                  <c:v>31.8572998047</c:v>
                </c:pt>
                <c:pt idx="25">
                  <c:v>31.9797000885</c:v>
                </c:pt>
                <c:pt idx="26">
                  <c:v>31.2451000214</c:v>
                </c:pt>
                <c:pt idx="27">
                  <c:v>31.2388000488</c:v>
                </c:pt>
                <c:pt idx="28">
                  <c:v>30.9769992828</c:v>
                </c:pt>
                <c:pt idx="29">
                  <c:v>30.8015995026</c:v>
                </c:pt>
                <c:pt idx="30">
                  <c:v>31.0044994354</c:v>
                </c:pt>
                <c:pt idx="31">
                  <c:v>30.5888004303</c:v>
                </c:pt>
                <c:pt idx="32">
                  <c:v>30.2814006805</c:v>
                </c:pt>
                <c:pt idx="33">
                  <c:v>30.1867008209</c:v>
                </c:pt>
                <c:pt idx="34">
                  <c:v>29.5130996704</c:v>
                </c:pt>
                <c:pt idx="35">
                  <c:v>29.9552001953</c:v>
                </c:pt>
                <c:pt idx="36">
                  <c:v>29.1123008728</c:v>
                </c:pt>
                <c:pt idx="37">
                  <c:v>29.2544994354</c:v>
                </c:pt>
                <c:pt idx="38">
                  <c:v>29.9584007263</c:v>
                </c:pt>
                <c:pt idx="39">
                  <c:v>29.8724002838</c:v>
                </c:pt>
                <c:pt idx="40">
                  <c:v>30.7196998596</c:v>
                </c:pt>
                <c:pt idx="41">
                  <c:v>30.6996994019</c:v>
                </c:pt>
                <c:pt idx="42">
                  <c:v>30.9778003693</c:v>
                </c:pt>
                <c:pt idx="43">
                  <c:v>30.8880004883</c:v>
                </c:pt>
                <c:pt idx="44">
                  <c:v>30.7548999786</c:v>
                </c:pt>
                <c:pt idx="45">
                  <c:v>30.1072006226</c:v>
                </c:pt>
                <c:pt idx="46">
                  <c:v>30.0132007599</c:v>
                </c:pt>
                <c:pt idx="47">
                  <c:v>30.2446994781</c:v>
                </c:pt>
                <c:pt idx="48">
                  <c:v>30.0445995331</c:v>
                </c:pt>
                <c:pt idx="49">
                  <c:v>29.7185001373</c:v>
                </c:pt>
                <c:pt idx="50">
                  <c:v>29.497800827</c:v>
                </c:pt>
                <c:pt idx="51">
                  <c:v>29.420999527</c:v>
                </c:pt>
                <c:pt idx="52">
                  <c:v>29.6714000702</c:v>
                </c:pt>
                <c:pt idx="53">
                  <c:v>29.4097003937</c:v>
                </c:pt>
                <c:pt idx="54">
                  <c:v>29.1744003296</c:v>
                </c:pt>
                <c:pt idx="55">
                  <c:v>28.8974990845</c:v>
                </c:pt>
                <c:pt idx="56">
                  <c:v>29.5289993286</c:v>
                </c:pt>
                <c:pt idx="57">
                  <c:v>29.433599472</c:v>
                </c:pt>
                <c:pt idx="58">
                  <c:v>29.1923007965</c:v>
                </c:pt>
                <c:pt idx="59">
                  <c:v>29.415599823</c:v>
                </c:pt>
                <c:pt idx="60">
                  <c:v>29.3740997314</c:v>
                </c:pt>
                <c:pt idx="61">
                  <c:v>29.341299057</c:v>
                </c:pt>
                <c:pt idx="62">
                  <c:v>29.2038002014</c:v>
                </c:pt>
                <c:pt idx="63">
                  <c:v>29.4307003021</c:v>
                </c:pt>
                <c:pt idx="64">
                  <c:v>29.6560993195</c:v>
                </c:pt>
                <c:pt idx="65">
                  <c:v>29.3316001892</c:v>
                </c:pt>
                <c:pt idx="66">
                  <c:v>28.7674007416</c:v>
                </c:pt>
                <c:pt idx="67">
                  <c:v>28.8239994049</c:v>
                </c:pt>
                <c:pt idx="68">
                  <c:v>28.4825992584</c:v>
                </c:pt>
                <c:pt idx="69">
                  <c:v>28.1159992218</c:v>
                </c:pt>
                <c:pt idx="70">
                  <c:v>27.6884994507</c:v>
                </c:pt>
                <c:pt idx="71">
                  <c:v>27.1916999817</c:v>
                </c:pt>
                <c:pt idx="72">
                  <c:v>27.3736991882</c:v>
                </c:pt>
                <c:pt idx="73">
                  <c:v>27.0795993805</c:v>
                </c:pt>
                <c:pt idx="74">
                  <c:v>27.7968006134</c:v>
                </c:pt>
                <c:pt idx="75">
                  <c:v>28.476600647</c:v>
                </c:pt>
                <c:pt idx="76">
                  <c:v>28.9769001007</c:v>
                </c:pt>
                <c:pt idx="77">
                  <c:v>28.9253005981</c:v>
                </c:pt>
                <c:pt idx="78">
                  <c:v>28.7961006165</c:v>
                </c:pt>
                <c:pt idx="79">
                  <c:v>28.5244007111</c:v>
                </c:pt>
                <c:pt idx="80">
                  <c:v>28.9113006592</c:v>
                </c:pt>
                <c:pt idx="81">
                  <c:v>29.8129005432</c:v>
                </c:pt>
                <c:pt idx="82">
                  <c:v>29.6406993866</c:v>
                </c:pt>
                <c:pt idx="83">
                  <c:v>29.6767997742</c:v>
                </c:pt>
                <c:pt idx="84">
                  <c:v>29.563999176</c:v>
                </c:pt>
                <c:pt idx="85">
                  <c:v>29.3875007629</c:v>
                </c:pt>
                <c:pt idx="86">
                  <c:v>29.4365005493</c:v>
                </c:pt>
                <c:pt idx="87">
                  <c:v>29.3869991302</c:v>
                </c:pt>
                <c:pt idx="88">
                  <c:v>29.5548992157</c:v>
                </c:pt>
                <c:pt idx="89">
                  <c:v>29.0205993652</c:v>
                </c:pt>
                <c:pt idx="90">
                  <c:v>29.1114006042</c:v>
                </c:pt>
                <c:pt idx="91">
                  <c:v>29.2096996307</c:v>
                </c:pt>
                <c:pt idx="92">
                  <c:v>29.0909996033</c:v>
                </c:pt>
                <c:pt idx="93">
                  <c:v>28.6070995331</c:v>
                </c:pt>
                <c:pt idx="94">
                  <c:v>28.7674999237</c:v>
                </c:pt>
                <c:pt idx="95">
                  <c:v>28.4347991943</c:v>
                </c:pt>
                <c:pt idx="96">
                  <c:v>28.2511997223</c:v>
                </c:pt>
                <c:pt idx="97">
                  <c:v>28.4388999939</c:v>
                </c:pt>
                <c:pt idx="98">
                  <c:v>28.1502990723</c:v>
                </c:pt>
                <c:pt idx="99">
                  <c:v>28.216299057</c:v>
                </c:pt>
                <c:pt idx="100">
                  <c:v>28.2362995148</c:v>
                </c:pt>
                <c:pt idx="101">
                  <c:v>27.9832000732</c:v>
                </c:pt>
                <c:pt idx="102">
                  <c:v>27.4449996948</c:v>
                </c:pt>
                <c:pt idx="103">
                  <c:v>27.6082992554</c:v>
                </c:pt>
                <c:pt idx="104">
                  <c:v>27.5499000549</c:v>
                </c:pt>
                <c:pt idx="105">
                  <c:v>27.8097000122</c:v>
                </c:pt>
                <c:pt idx="106">
                  <c:v>28.2108001709</c:v>
                </c:pt>
                <c:pt idx="107">
                  <c:v>28.0508003235</c:v>
                </c:pt>
                <c:pt idx="108">
                  <c:v>27.5944004059</c:v>
                </c:pt>
                <c:pt idx="109">
                  <c:v>27.4337005615</c:v>
                </c:pt>
                <c:pt idx="110">
                  <c:v>27.2530002594</c:v>
                </c:pt>
                <c:pt idx="111">
                  <c:v>26.8537006378</c:v>
                </c:pt>
                <c:pt idx="112">
                  <c:v>26.9533004761</c:v>
                </c:pt>
                <c:pt idx="113">
                  <c:v>26.6093997955</c:v>
                </c:pt>
                <c:pt idx="114">
                  <c:v>27.0221996307</c:v>
                </c:pt>
                <c:pt idx="115">
                  <c:v>26.9034996033</c:v>
                </c:pt>
                <c:pt idx="116">
                  <c:v>26.9832992554</c:v>
                </c:pt>
                <c:pt idx="117">
                  <c:v>26.6485004425</c:v>
                </c:pt>
                <c:pt idx="118">
                  <c:v>26.6772994995</c:v>
                </c:pt>
                <c:pt idx="119">
                  <c:v>27.7008991241</c:v>
                </c:pt>
                <c:pt idx="120">
                  <c:v>27.8486003876</c:v>
                </c:pt>
                <c:pt idx="121">
                  <c:v>27.334400177</c:v>
                </c:pt>
                <c:pt idx="122">
                  <c:v>27.0366001129</c:v>
                </c:pt>
                <c:pt idx="123">
                  <c:v>26.5580005646</c:v>
                </c:pt>
                <c:pt idx="124">
                  <c:v>26.1776008606</c:v>
                </c:pt>
                <c:pt idx="125">
                  <c:v>25.7425994873</c:v>
                </c:pt>
                <c:pt idx="126">
                  <c:v>25.8211994171</c:v>
                </c:pt>
                <c:pt idx="127">
                  <c:v>25.7390003204</c:v>
                </c:pt>
                <c:pt idx="128">
                  <c:v>26.2175006866</c:v>
                </c:pt>
                <c:pt idx="129">
                  <c:v>25.9932994843</c:v>
                </c:pt>
                <c:pt idx="130">
                  <c:v>25.7623004913</c:v>
                </c:pt>
                <c:pt idx="131">
                  <c:v>25.8292999268</c:v>
                </c:pt>
                <c:pt idx="132">
                  <c:v>25.0697002411</c:v>
                </c:pt>
                <c:pt idx="133">
                  <c:v>25.4923992157</c:v>
                </c:pt>
                <c:pt idx="134">
                  <c:v>25.275800705</c:v>
                </c:pt>
                <c:pt idx="135">
                  <c:v>24.5457992554</c:v>
                </c:pt>
                <c:pt idx="136">
                  <c:v>24.8421001434</c:v>
                </c:pt>
                <c:pt idx="137">
                  <c:v>25.0081996918</c:v>
                </c:pt>
                <c:pt idx="138">
                  <c:v>25.3514003754</c:v>
                </c:pt>
                <c:pt idx="139">
                  <c:v>24.8066997528</c:v>
                </c:pt>
                <c:pt idx="140">
                  <c:v>23.9869995117</c:v>
                </c:pt>
                <c:pt idx="141">
                  <c:v>23.4009990692</c:v>
                </c:pt>
                <c:pt idx="142">
                  <c:v>23.2131996155</c:v>
                </c:pt>
                <c:pt idx="143">
                  <c:v>23.4472007751</c:v>
                </c:pt>
                <c:pt idx="144">
                  <c:v>22.8803005219</c:v>
                </c:pt>
                <c:pt idx="145">
                  <c:v>23.097700119</c:v>
                </c:pt>
                <c:pt idx="146">
                  <c:v>24.6446990967</c:v>
                </c:pt>
                <c:pt idx="147">
                  <c:v>25.1865997314</c:v>
                </c:pt>
                <c:pt idx="148">
                  <c:v>25.4671001434</c:v>
                </c:pt>
                <c:pt idx="149">
                  <c:v>25.7075996399</c:v>
                </c:pt>
                <c:pt idx="150">
                  <c:v>25.6944999695</c:v>
                </c:pt>
                <c:pt idx="151">
                  <c:v>25.8227996826</c:v>
                </c:pt>
                <c:pt idx="152">
                  <c:v>25.8575000763</c:v>
                </c:pt>
                <c:pt idx="153">
                  <c:v>25.8600997925</c:v>
                </c:pt>
                <c:pt idx="154">
                  <c:v>25.7765007019</c:v>
                </c:pt>
                <c:pt idx="155">
                  <c:v>26.3652992249</c:v>
                </c:pt>
                <c:pt idx="156">
                  <c:v>26.6574001312</c:v>
                </c:pt>
                <c:pt idx="157">
                  <c:v>27.192899704</c:v>
                </c:pt>
                <c:pt idx="158">
                  <c:v>27.4053001404</c:v>
                </c:pt>
                <c:pt idx="159">
                  <c:v>27.5412006378</c:v>
                </c:pt>
                <c:pt idx="160">
                  <c:v>27.5475997925</c:v>
                </c:pt>
                <c:pt idx="161">
                  <c:v>27.513999939</c:v>
                </c:pt>
                <c:pt idx="162">
                  <c:v>26.8754005432</c:v>
                </c:pt>
                <c:pt idx="163">
                  <c:v>27.0855007172</c:v>
                </c:pt>
                <c:pt idx="164">
                  <c:v>28.334400177</c:v>
                </c:pt>
                <c:pt idx="165">
                  <c:v>28.5788002014</c:v>
                </c:pt>
                <c:pt idx="166">
                  <c:v>28.4067001343</c:v>
                </c:pt>
                <c:pt idx="167">
                  <c:v>28.2467002869</c:v>
                </c:pt>
                <c:pt idx="168">
                  <c:v>28.2087001801</c:v>
                </c:pt>
                <c:pt idx="169">
                  <c:v>28.8386001587</c:v>
                </c:pt>
                <c:pt idx="170">
                  <c:v>28.5569000244</c:v>
                </c:pt>
                <c:pt idx="171">
                  <c:v>28.6222991943</c:v>
                </c:pt>
                <c:pt idx="172">
                  <c:v>28.4435005188</c:v>
                </c:pt>
                <c:pt idx="173">
                  <c:v>28.0130996704</c:v>
                </c:pt>
                <c:pt idx="174">
                  <c:v>27.4836006165</c:v>
                </c:pt>
                <c:pt idx="175">
                  <c:v>27.6186008453</c:v>
                </c:pt>
                <c:pt idx="176">
                  <c:v>26.8880004883</c:v>
                </c:pt>
                <c:pt idx="177">
                  <c:v>27.0965003967</c:v>
                </c:pt>
                <c:pt idx="178">
                  <c:v>27.3045005798</c:v>
                </c:pt>
                <c:pt idx="179">
                  <c:v>27.9542007446</c:v>
                </c:pt>
                <c:pt idx="180">
                  <c:v>27.8129005432</c:v>
                </c:pt>
                <c:pt idx="181">
                  <c:v>27.5184001923</c:v>
                </c:pt>
                <c:pt idx="182">
                  <c:v>27.0270004272</c:v>
                </c:pt>
                <c:pt idx="183">
                  <c:v>27.3488998413</c:v>
                </c:pt>
                <c:pt idx="184">
                  <c:v>26.839099884</c:v>
                </c:pt>
                <c:pt idx="185">
                  <c:v>26.712600708</c:v>
                </c:pt>
                <c:pt idx="186">
                  <c:v>26.3985004425</c:v>
                </c:pt>
                <c:pt idx="187">
                  <c:v>26.8539009094</c:v>
                </c:pt>
                <c:pt idx="188">
                  <c:v>26.238899231</c:v>
                </c:pt>
                <c:pt idx="189">
                  <c:v>26.7882995605</c:v>
                </c:pt>
                <c:pt idx="190">
                  <c:v>26.6900005341</c:v>
                </c:pt>
                <c:pt idx="191">
                  <c:v>26.2154006958</c:v>
                </c:pt>
                <c:pt idx="192">
                  <c:v>25.8715000153</c:v>
                </c:pt>
                <c:pt idx="193">
                  <c:v>25.8267002106</c:v>
                </c:pt>
                <c:pt idx="194">
                  <c:v>26.2604999542</c:v>
                </c:pt>
                <c:pt idx="195">
                  <c:v>26.9493999481</c:v>
                </c:pt>
                <c:pt idx="196">
                  <c:v>27.8840999603</c:v>
                </c:pt>
                <c:pt idx="197">
                  <c:v>28.864900589</c:v>
                </c:pt>
                <c:pt idx="198">
                  <c:v>28.554599762</c:v>
                </c:pt>
                <c:pt idx="199">
                  <c:v>29.1623001099</c:v>
                </c:pt>
                <c:pt idx="200">
                  <c:v>29.1383991241</c:v>
                </c:pt>
                <c:pt idx="201">
                  <c:v>28.7133998871</c:v>
                </c:pt>
                <c:pt idx="202">
                  <c:v>29.2215995789</c:v>
                </c:pt>
                <c:pt idx="203">
                  <c:v>28.8840007782</c:v>
                </c:pt>
                <c:pt idx="204">
                  <c:v>28.6466999054</c:v>
                </c:pt>
                <c:pt idx="205">
                  <c:v>28.621099472</c:v>
                </c:pt>
                <c:pt idx="206">
                  <c:v>28.3589000702</c:v>
                </c:pt>
                <c:pt idx="207">
                  <c:v>28.4300994873</c:v>
                </c:pt>
                <c:pt idx="208">
                  <c:v>28.7217006683</c:v>
                </c:pt>
                <c:pt idx="209">
                  <c:v>28.8672008514</c:v>
                </c:pt>
                <c:pt idx="210">
                  <c:v>28.638999939</c:v>
                </c:pt>
                <c:pt idx="211">
                  <c:v>28.8801002502</c:v>
                </c:pt>
                <c:pt idx="212">
                  <c:v>28.4783000946</c:v>
                </c:pt>
                <c:pt idx="213">
                  <c:v>27.9689998627</c:v>
                </c:pt>
                <c:pt idx="214">
                  <c:v>28.133600235</c:v>
                </c:pt>
                <c:pt idx="215">
                  <c:v>27.7742004395</c:v>
                </c:pt>
                <c:pt idx="216">
                  <c:v>27.8362007141</c:v>
                </c:pt>
                <c:pt idx="217">
                  <c:v>27.8805007935</c:v>
                </c:pt>
                <c:pt idx="218">
                  <c:v>27.738899231</c:v>
                </c:pt>
                <c:pt idx="219">
                  <c:v>27.9395999908</c:v>
                </c:pt>
                <c:pt idx="220">
                  <c:v>28.2833003998</c:v>
                </c:pt>
                <c:pt idx="221">
                  <c:v>28.1588993073</c:v>
                </c:pt>
                <c:pt idx="222">
                  <c:v>27.9438991547</c:v>
                </c:pt>
                <c:pt idx="223">
                  <c:v>27.3876991272</c:v>
                </c:pt>
                <c:pt idx="224">
                  <c:v>27.5062999725</c:v>
                </c:pt>
                <c:pt idx="225">
                  <c:v>27.3820991516</c:v>
                </c:pt>
                <c:pt idx="226">
                  <c:v>27.3355998993</c:v>
                </c:pt>
                <c:pt idx="227">
                  <c:v>27.4724998474</c:v>
                </c:pt>
                <c:pt idx="228">
                  <c:v>27.7150001526</c:v>
                </c:pt>
                <c:pt idx="229">
                  <c:v>27.7595005035</c:v>
                </c:pt>
                <c:pt idx="230">
                  <c:v>27.4381999969</c:v>
                </c:pt>
                <c:pt idx="231">
                  <c:v>27.0583000183</c:v>
                </c:pt>
                <c:pt idx="232">
                  <c:v>26.9479007721</c:v>
                </c:pt>
                <c:pt idx="233">
                  <c:v>26.5741004944</c:v>
                </c:pt>
                <c:pt idx="234">
                  <c:v>26.1166992188</c:v>
                </c:pt>
                <c:pt idx="235">
                  <c:v>26.584400177</c:v>
                </c:pt>
                <c:pt idx="236">
                  <c:v>26.1805992126</c:v>
                </c:pt>
                <c:pt idx="237">
                  <c:v>25.8757991791</c:v>
                </c:pt>
                <c:pt idx="238">
                  <c:v>25.8414993286</c:v>
                </c:pt>
                <c:pt idx="239">
                  <c:v>25.5522003174</c:v>
                </c:pt>
                <c:pt idx="240">
                  <c:v>25.4755992889</c:v>
                </c:pt>
                <c:pt idx="241">
                  <c:v>25.2567005157</c:v>
                </c:pt>
                <c:pt idx="242">
                  <c:v>25.3994007111</c:v>
                </c:pt>
                <c:pt idx="243">
                  <c:v>24.9860992432</c:v>
                </c:pt>
                <c:pt idx="244">
                  <c:v>25.3075008392</c:v>
                </c:pt>
                <c:pt idx="245">
                  <c:v>25.2341995239</c:v>
                </c:pt>
                <c:pt idx="246">
                  <c:v>25.7854003906</c:v>
                </c:pt>
                <c:pt idx="247">
                  <c:v>25.7835998535</c:v>
                </c:pt>
                <c:pt idx="248">
                  <c:v>25.5886993408</c:v>
                </c:pt>
                <c:pt idx="249">
                  <c:v>25.9062995911</c:v>
                </c:pt>
                <c:pt idx="250">
                  <c:v>25.9566001892</c:v>
                </c:pt>
                <c:pt idx="251">
                  <c:v>26.2926006317</c:v>
                </c:pt>
                <c:pt idx="252">
                  <c:v>26.406999588</c:v>
                </c:pt>
                <c:pt idx="253">
                  <c:v>26.3598995209</c:v>
                </c:pt>
                <c:pt idx="254">
                  <c:v>25.5387992859</c:v>
                </c:pt>
                <c:pt idx="255">
                  <c:v>25.2334003448</c:v>
                </c:pt>
                <c:pt idx="256">
                  <c:v>25.1868991852</c:v>
                </c:pt>
                <c:pt idx="257">
                  <c:v>25.3950004578</c:v>
                </c:pt>
                <c:pt idx="258">
                  <c:v>24.7998008728</c:v>
                </c:pt>
                <c:pt idx="259">
                  <c:v>24.7145004272</c:v>
                </c:pt>
                <c:pt idx="260">
                  <c:v>25.6065998077</c:v>
                </c:pt>
                <c:pt idx="261">
                  <c:v>25.260099411</c:v>
                </c:pt>
                <c:pt idx="262">
                  <c:v>24.9179992676</c:v>
                </c:pt>
                <c:pt idx="263">
                  <c:v>24.4645004272</c:v>
                </c:pt>
                <c:pt idx="264">
                  <c:v>24.7954998016</c:v>
                </c:pt>
                <c:pt idx="265">
                  <c:v>24.7108001709</c:v>
                </c:pt>
                <c:pt idx="266">
                  <c:v>24.5972995758</c:v>
                </c:pt>
                <c:pt idx="267">
                  <c:v>24.3374004364</c:v>
                </c:pt>
                <c:pt idx="268">
                  <c:v>24.6914997101</c:v>
                </c:pt>
                <c:pt idx="269">
                  <c:v>24.8759002686</c:v>
                </c:pt>
                <c:pt idx="270">
                  <c:v>24.4895000458</c:v>
                </c:pt>
                <c:pt idx="271">
                  <c:v>24.628900528</c:v>
                </c:pt>
                <c:pt idx="272">
                  <c:v>24.5956001282</c:v>
                </c:pt>
                <c:pt idx="273">
                  <c:v>24.5960998535</c:v>
                </c:pt>
                <c:pt idx="274">
                  <c:v>24.2609996796</c:v>
                </c:pt>
                <c:pt idx="275">
                  <c:v>24.1623001099</c:v>
                </c:pt>
                <c:pt idx="276">
                  <c:v>23.945400238</c:v>
                </c:pt>
                <c:pt idx="277">
                  <c:v>23.8852005005</c:v>
                </c:pt>
                <c:pt idx="278">
                  <c:v>23.7994003296</c:v>
                </c:pt>
                <c:pt idx="279">
                  <c:v>23.1553001404</c:v>
                </c:pt>
                <c:pt idx="280">
                  <c:v>23.1474990845</c:v>
                </c:pt>
                <c:pt idx="281">
                  <c:v>23.5769996643</c:v>
                </c:pt>
                <c:pt idx="282">
                  <c:v>24.3493003845</c:v>
                </c:pt>
                <c:pt idx="283">
                  <c:v>23.7045001984</c:v>
                </c:pt>
                <c:pt idx="284">
                  <c:v>23.9990997314</c:v>
                </c:pt>
                <c:pt idx="285">
                  <c:v>23.9740009308</c:v>
                </c:pt>
                <c:pt idx="286">
                  <c:v>24.123500824</c:v>
                </c:pt>
                <c:pt idx="287">
                  <c:v>23.7008991241</c:v>
                </c:pt>
                <c:pt idx="288">
                  <c:v>23.7098999023</c:v>
                </c:pt>
                <c:pt idx="289">
                  <c:v>23.7234992981</c:v>
                </c:pt>
                <c:pt idx="290">
                  <c:v>23.9885997772</c:v>
                </c:pt>
                <c:pt idx="291">
                  <c:v>23.8768997192</c:v>
                </c:pt>
                <c:pt idx="292">
                  <c:v>23.5946998596</c:v>
                </c:pt>
                <c:pt idx="293">
                  <c:v>23.5828990936</c:v>
                </c:pt>
                <c:pt idx="294">
                  <c:v>23.7978992462</c:v>
                </c:pt>
                <c:pt idx="295">
                  <c:v>23.6480998993</c:v>
                </c:pt>
                <c:pt idx="296">
                  <c:v>23.5345001221</c:v>
                </c:pt>
                <c:pt idx="297">
                  <c:v>24.7565994263</c:v>
                </c:pt>
                <c:pt idx="298">
                  <c:v>25.1525001526</c:v>
                </c:pt>
                <c:pt idx="299">
                  <c:v>26.2432003021</c:v>
                </c:pt>
                <c:pt idx="300">
                  <c:v>28.823299408</c:v>
                </c:pt>
                <c:pt idx="301">
                  <c:v>33.2154006958</c:v>
                </c:pt>
                <c:pt idx="302">
                  <c:v>38.835899353</c:v>
                </c:pt>
                <c:pt idx="303">
                  <c:v>34.5971984863</c:v>
                </c:pt>
                <c:pt idx="304">
                  <c:v>33.7094993591</c:v>
                </c:pt>
                <c:pt idx="305">
                  <c:v>31.9344005585</c:v>
                </c:pt>
                <c:pt idx="306">
                  <c:v>32.7341003418</c:v>
                </c:pt>
                <c:pt idx="307">
                  <c:v>31.6905002594</c:v>
                </c:pt>
                <c:pt idx="308">
                  <c:v>31.001499176</c:v>
                </c:pt>
                <c:pt idx="309">
                  <c:v>30.9046001434</c:v>
                </c:pt>
                <c:pt idx="310">
                  <c:v>33.2557983398</c:v>
                </c:pt>
                <c:pt idx="311">
                  <c:v>32.9034996033</c:v>
                </c:pt>
                <c:pt idx="312">
                  <c:v>32.9936981201</c:v>
                </c:pt>
                <c:pt idx="313">
                  <c:v>31.7978000641</c:v>
                </c:pt>
                <c:pt idx="314">
                  <c:v>31.3700008392</c:v>
                </c:pt>
                <c:pt idx="315">
                  <c:v>32.4226989746</c:v>
                </c:pt>
                <c:pt idx="316">
                  <c:v>33.1152000427</c:v>
                </c:pt>
                <c:pt idx="317">
                  <c:v>32.6829986572</c:v>
                </c:pt>
                <c:pt idx="318">
                  <c:v>32.8322982788</c:v>
                </c:pt>
                <c:pt idx="319">
                  <c:v>33.1132011414</c:v>
                </c:pt>
                <c:pt idx="320">
                  <c:v>32.5660018921</c:v>
                </c:pt>
                <c:pt idx="321">
                  <c:v>33.510799408</c:v>
                </c:pt>
                <c:pt idx="322">
                  <c:v>35.0746002197</c:v>
                </c:pt>
                <c:pt idx="323">
                  <c:v>34.7507019043</c:v>
                </c:pt>
                <c:pt idx="324">
                  <c:v>36.0988006592</c:v>
                </c:pt>
                <c:pt idx="325">
                  <c:v>35.7285003662</c:v>
                </c:pt>
                <c:pt idx="326">
                  <c:v>36.7644996643</c:v>
                </c:pt>
                <c:pt idx="327">
                  <c:v>36.778301239</c:v>
                </c:pt>
                <c:pt idx="328">
                  <c:v>37.1101989746</c:v>
                </c:pt>
                <c:pt idx="329">
                  <c:v>35.8704986572</c:v>
                </c:pt>
                <c:pt idx="330">
                  <c:v>34.4962005615</c:v>
                </c:pt>
                <c:pt idx="331">
                  <c:v>33.6897010803</c:v>
                </c:pt>
                <c:pt idx="332">
                  <c:v>34.6715011597</c:v>
                </c:pt>
                <c:pt idx="333">
                  <c:v>34.8517990112</c:v>
                </c:pt>
                <c:pt idx="334">
                  <c:v>34.8210983276</c:v>
                </c:pt>
                <c:pt idx="335">
                  <c:v>33.4550018311</c:v>
                </c:pt>
                <c:pt idx="336">
                  <c:v>33.4966011047</c:v>
                </c:pt>
                <c:pt idx="337">
                  <c:v>33.1528015137</c:v>
                </c:pt>
                <c:pt idx="338">
                  <c:v>34.0867996216</c:v>
                </c:pt>
                <c:pt idx="339">
                  <c:v>33.4943008423</c:v>
                </c:pt>
                <c:pt idx="340">
                  <c:v>34.3065986633</c:v>
                </c:pt>
                <c:pt idx="341">
                  <c:v>34.7939987183</c:v>
                </c:pt>
                <c:pt idx="342">
                  <c:v>34.6455993652</c:v>
                </c:pt>
                <c:pt idx="343">
                  <c:v>34.1841011047</c:v>
                </c:pt>
                <c:pt idx="344">
                  <c:v>34.2638015747</c:v>
                </c:pt>
                <c:pt idx="345">
                  <c:v>34.9618988037</c:v>
                </c:pt>
                <c:pt idx="346">
                  <c:v>34.7127990723</c:v>
                </c:pt>
                <c:pt idx="347">
                  <c:v>34.9709014893</c:v>
                </c:pt>
                <c:pt idx="348">
                  <c:v>34.957698822</c:v>
                </c:pt>
                <c:pt idx="349">
                  <c:v>35.4485015869</c:v>
                </c:pt>
                <c:pt idx="350">
                  <c:v>34.5942993164</c:v>
                </c:pt>
                <c:pt idx="351">
                  <c:v>34.1222000122</c:v>
                </c:pt>
                <c:pt idx="352">
                  <c:v>34.1076011658</c:v>
                </c:pt>
                <c:pt idx="353">
                  <c:v>34.1587982178</c:v>
                </c:pt>
                <c:pt idx="354">
                  <c:v>34.3474998474</c:v>
                </c:pt>
                <c:pt idx="355">
                  <c:v>34.2957992554</c:v>
                </c:pt>
                <c:pt idx="356">
                  <c:v>33.9805984497</c:v>
                </c:pt>
                <c:pt idx="357">
                  <c:v>34.3843994141</c:v>
                </c:pt>
                <c:pt idx="358">
                  <c:v>34.1992988586</c:v>
                </c:pt>
                <c:pt idx="359">
                  <c:v>34.284198761</c:v>
                </c:pt>
                <c:pt idx="360">
                  <c:v>34.1973991394</c:v>
                </c:pt>
                <c:pt idx="361">
                  <c:v>34.2066001892</c:v>
                </c:pt>
                <c:pt idx="362">
                  <c:v>33.257900238</c:v>
                </c:pt>
                <c:pt idx="363">
                  <c:v>32.0297012329</c:v>
                </c:pt>
                <c:pt idx="364">
                  <c:v>31.3470993042</c:v>
                </c:pt>
                <c:pt idx="365">
                  <c:v>31.2926998138</c:v>
                </c:pt>
                <c:pt idx="366">
                  <c:v>31.4974002838</c:v>
                </c:pt>
                <c:pt idx="367">
                  <c:v>31.2292995453</c:v>
                </c:pt>
                <c:pt idx="368">
                  <c:v>31.2551994324</c:v>
                </c:pt>
                <c:pt idx="369">
                  <c:v>30.7427005768</c:v>
                </c:pt>
                <c:pt idx="370">
                  <c:v>30.8633003235</c:v>
                </c:pt>
                <c:pt idx="371">
                  <c:v>32.2921981812</c:v>
                </c:pt>
                <c:pt idx="372">
                  <c:v>31.7019004822</c:v>
                </c:pt>
                <c:pt idx="373">
                  <c:v>31.8698005676</c:v>
                </c:pt>
                <c:pt idx="374">
                  <c:v>32.1161994934</c:v>
                </c:pt>
                <c:pt idx="375">
                  <c:v>32.6722984314</c:v>
                </c:pt>
                <c:pt idx="376">
                  <c:v>32.7849006653</c:v>
                </c:pt>
                <c:pt idx="377">
                  <c:v>33.4015007019</c:v>
                </c:pt>
                <c:pt idx="378">
                  <c:v>33.2593002319</c:v>
                </c:pt>
                <c:pt idx="379">
                  <c:v>33.7401008606</c:v>
                </c:pt>
                <c:pt idx="380">
                  <c:v>32.9001998901</c:v>
                </c:pt>
                <c:pt idx="381">
                  <c:v>32.9296989441</c:v>
                </c:pt>
                <c:pt idx="382">
                  <c:v>33.8394012451</c:v>
                </c:pt>
                <c:pt idx="383">
                  <c:v>34.6176986694</c:v>
                </c:pt>
                <c:pt idx="384">
                  <c:v>34.7775993347</c:v>
                </c:pt>
                <c:pt idx="385">
                  <c:v>34.3193016052</c:v>
                </c:pt>
                <c:pt idx="386">
                  <c:v>34.9155006409</c:v>
                </c:pt>
                <c:pt idx="387">
                  <c:v>34.720500946</c:v>
                </c:pt>
                <c:pt idx="388">
                  <c:v>34.2759017944</c:v>
                </c:pt>
                <c:pt idx="389">
                  <c:v>35.4062004089</c:v>
                </c:pt>
                <c:pt idx="390">
                  <c:v>34.6549987793</c:v>
                </c:pt>
                <c:pt idx="391">
                  <c:v>35.3722000122</c:v>
                </c:pt>
                <c:pt idx="392">
                  <c:v>35.3620986938</c:v>
                </c:pt>
                <c:pt idx="393">
                  <c:v>35.1954994202</c:v>
                </c:pt>
                <c:pt idx="394">
                  <c:v>35.0912017822</c:v>
                </c:pt>
                <c:pt idx="395">
                  <c:v>34.5624008179</c:v>
                </c:pt>
                <c:pt idx="396">
                  <c:v>34.956199646</c:v>
                </c:pt>
                <c:pt idx="397">
                  <c:v>34.7865982056</c:v>
                </c:pt>
                <c:pt idx="398">
                  <c:v>33.5448989868</c:v>
                </c:pt>
                <c:pt idx="399">
                  <c:v>33.7486991882</c:v>
                </c:pt>
                <c:pt idx="400">
                  <c:v>33.7058982849</c:v>
                </c:pt>
                <c:pt idx="401">
                  <c:v>33.7061004639</c:v>
                </c:pt>
                <c:pt idx="402">
                  <c:v>34.3717002869</c:v>
                </c:pt>
                <c:pt idx="403">
                  <c:v>33.9281005859</c:v>
                </c:pt>
                <c:pt idx="404">
                  <c:v>33.851398468</c:v>
                </c:pt>
                <c:pt idx="405">
                  <c:v>33.8650016785</c:v>
                </c:pt>
                <c:pt idx="406">
                  <c:v>33.623298645</c:v>
                </c:pt>
                <c:pt idx="407">
                  <c:v>33.2170982361</c:v>
                </c:pt>
                <c:pt idx="408">
                  <c:v>34.1254997253</c:v>
                </c:pt>
                <c:pt idx="409">
                  <c:v>33.3237991333</c:v>
                </c:pt>
                <c:pt idx="410">
                  <c:v>33.4906997681</c:v>
                </c:pt>
                <c:pt idx="411">
                  <c:v>33.3552017212</c:v>
                </c:pt>
                <c:pt idx="412">
                  <c:v>33.0407981873</c:v>
                </c:pt>
                <c:pt idx="413">
                  <c:v>32.4165000916</c:v>
                </c:pt>
                <c:pt idx="414">
                  <c:v>32.4230995178</c:v>
                </c:pt>
                <c:pt idx="415">
                  <c:v>32.3218994141</c:v>
                </c:pt>
                <c:pt idx="416">
                  <c:v>32.2449989319</c:v>
                </c:pt>
                <c:pt idx="417">
                  <c:v>32.3498001099</c:v>
                </c:pt>
                <c:pt idx="418">
                  <c:v>32.2206001282</c:v>
                </c:pt>
                <c:pt idx="419">
                  <c:v>31.8551006317</c:v>
                </c:pt>
                <c:pt idx="420">
                  <c:v>31.9339008331</c:v>
                </c:pt>
                <c:pt idx="421">
                  <c:v>31.9505004883</c:v>
                </c:pt>
                <c:pt idx="422">
                  <c:v>31.33659935</c:v>
                </c:pt>
                <c:pt idx="423">
                  <c:v>27.5436992645</c:v>
                </c:pt>
                <c:pt idx="424">
                  <c:v>28.132900238</c:v>
                </c:pt>
                <c:pt idx="425">
                  <c:v>28.4515991211</c:v>
                </c:pt>
                <c:pt idx="426">
                  <c:v>29.095199585</c:v>
                </c:pt>
                <c:pt idx="427">
                  <c:v>29.5004997253</c:v>
                </c:pt>
                <c:pt idx="428">
                  <c:v>29.6786994934</c:v>
                </c:pt>
                <c:pt idx="429">
                  <c:v>29.0757007599</c:v>
                </c:pt>
                <c:pt idx="430">
                  <c:v>28.739900589</c:v>
                </c:pt>
                <c:pt idx="431">
                  <c:v>28.773399353</c:v>
                </c:pt>
                <c:pt idx="432">
                  <c:v>28.9062004089</c:v>
                </c:pt>
                <c:pt idx="433">
                  <c:v>29.7395992279</c:v>
                </c:pt>
                <c:pt idx="434">
                  <c:v>29.6044006348</c:v>
                </c:pt>
                <c:pt idx="435">
                  <c:v>29.7616996765</c:v>
                </c:pt>
                <c:pt idx="436">
                  <c:v>28.9741001129</c:v>
                </c:pt>
                <c:pt idx="437">
                  <c:v>29.0056991577</c:v>
                </c:pt>
                <c:pt idx="438">
                  <c:v>29.1380996704</c:v>
                </c:pt>
                <c:pt idx="439">
                  <c:v>28.9403991699</c:v>
                </c:pt>
                <c:pt idx="440">
                  <c:v>29.1770000458</c:v>
                </c:pt>
                <c:pt idx="441">
                  <c:v>29.6856002808</c:v>
                </c:pt>
                <c:pt idx="442">
                  <c:v>29.9447994232</c:v>
                </c:pt>
                <c:pt idx="443">
                  <c:v>30.5308990479</c:v>
                </c:pt>
                <c:pt idx="444">
                  <c:v>30.2525997162</c:v>
                </c:pt>
                <c:pt idx="445">
                  <c:v>31.1914997101</c:v>
                </c:pt>
                <c:pt idx="446">
                  <c:v>31.0701007843</c:v>
                </c:pt>
                <c:pt idx="447">
                  <c:v>31.3577003479</c:v>
                </c:pt>
                <c:pt idx="448">
                  <c:v>30.7919998169</c:v>
                </c:pt>
                <c:pt idx="449">
                  <c:v>30.7063007355</c:v>
                </c:pt>
                <c:pt idx="450">
                  <c:v>30.6424007416</c:v>
                </c:pt>
                <c:pt idx="451">
                  <c:v>31.011800766</c:v>
                </c:pt>
                <c:pt idx="452">
                  <c:v>31.267999649</c:v>
                </c:pt>
                <c:pt idx="453">
                  <c:v>30.9698009491</c:v>
                </c:pt>
                <c:pt idx="454">
                  <c:v>30.6798000336</c:v>
                </c:pt>
                <c:pt idx="455">
                  <c:v>30.3985004425</c:v>
                </c:pt>
                <c:pt idx="456">
                  <c:v>30.2294006348</c:v>
                </c:pt>
                <c:pt idx="457">
                  <c:v>30.121099472</c:v>
                </c:pt>
                <c:pt idx="458">
                  <c:v>30.5266990662</c:v>
                </c:pt>
                <c:pt idx="459">
                  <c:v>30.2021007538</c:v>
                </c:pt>
                <c:pt idx="460">
                  <c:v>30.3861999512</c:v>
                </c:pt>
                <c:pt idx="461">
                  <c:v>30.6553993225</c:v>
                </c:pt>
                <c:pt idx="462">
                  <c:v>30.9890995026</c:v>
                </c:pt>
                <c:pt idx="463">
                  <c:v>30.9202003479</c:v>
                </c:pt>
                <c:pt idx="464">
                  <c:v>31.2196006775</c:v>
                </c:pt>
                <c:pt idx="465">
                  <c:v>30.8421001434</c:v>
                </c:pt>
                <c:pt idx="466">
                  <c:v>31.1956996918</c:v>
                </c:pt>
                <c:pt idx="467">
                  <c:v>31.2556991577</c:v>
                </c:pt>
                <c:pt idx="468">
                  <c:v>30.9948005676</c:v>
                </c:pt>
                <c:pt idx="469">
                  <c:v>31.1741008759</c:v>
                </c:pt>
                <c:pt idx="470">
                  <c:v>31.0237007141</c:v>
                </c:pt>
                <c:pt idx="471">
                  <c:v>31.0993003845</c:v>
                </c:pt>
                <c:pt idx="472">
                  <c:v>30.6487007141</c:v>
                </c:pt>
                <c:pt idx="473">
                  <c:v>30.377199173</c:v>
                </c:pt>
                <c:pt idx="474">
                  <c:v>30.4855003357</c:v>
                </c:pt>
                <c:pt idx="475">
                  <c:v>31.1088008881</c:v>
                </c:pt>
                <c:pt idx="476">
                  <c:v>32.0091018677</c:v>
                </c:pt>
                <c:pt idx="477">
                  <c:v>31.7975006104</c:v>
                </c:pt>
                <c:pt idx="478">
                  <c:v>31.9094009399</c:v>
                </c:pt>
                <c:pt idx="479">
                  <c:v>32.3630981445</c:v>
                </c:pt>
                <c:pt idx="480">
                  <c:v>32.2649993896</c:v>
                </c:pt>
                <c:pt idx="481">
                  <c:v>31.8946990967</c:v>
                </c:pt>
                <c:pt idx="482">
                  <c:v>32.4711990356</c:v>
                </c:pt>
                <c:pt idx="483">
                  <c:v>32.3765983582</c:v>
                </c:pt>
                <c:pt idx="484">
                  <c:v>31.9853000641</c:v>
                </c:pt>
                <c:pt idx="485">
                  <c:v>32.658000946</c:v>
                </c:pt>
                <c:pt idx="486">
                  <c:v>32.715801239</c:v>
                </c:pt>
                <c:pt idx="487">
                  <c:v>32.7928009033</c:v>
                </c:pt>
                <c:pt idx="488">
                  <c:v>33.0588989258</c:v>
                </c:pt>
                <c:pt idx="489">
                  <c:v>32.8909988403</c:v>
                </c:pt>
                <c:pt idx="490">
                  <c:v>33.2958984375</c:v>
                </c:pt>
                <c:pt idx="491">
                  <c:v>33.2122001648</c:v>
                </c:pt>
                <c:pt idx="492">
                  <c:v>33.7421989441</c:v>
                </c:pt>
                <c:pt idx="493">
                  <c:v>33.8907012939</c:v>
                </c:pt>
                <c:pt idx="494">
                  <c:v>34.1819000244</c:v>
                </c:pt>
                <c:pt idx="495">
                  <c:v>34.3819999695</c:v>
                </c:pt>
                <c:pt idx="496">
                  <c:v>34.3889007568</c:v>
                </c:pt>
                <c:pt idx="497">
                  <c:v>34.8899993896</c:v>
                </c:pt>
                <c:pt idx="498">
                  <c:v>34.8100013733</c:v>
                </c:pt>
                <c:pt idx="499">
                  <c:v>35.081401825</c:v>
                </c:pt>
                <c:pt idx="500">
                  <c:v>35.6814002991</c:v>
                </c:pt>
                <c:pt idx="501">
                  <c:v>35.1063995361</c:v>
                </c:pt>
                <c:pt idx="502">
                  <c:v>33.7215995789</c:v>
                </c:pt>
                <c:pt idx="503">
                  <c:v>33.6189002991</c:v>
                </c:pt>
                <c:pt idx="504">
                  <c:v>33.7919006348</c:v>
                </c:pt>
                <c:pt idx="505">
                  <c:v>33.9141998291</c:v>
                </c:pt>
                <c:pt idx="506">
                  <c:v>34.1632003784</c:v>
                </c:pt>
                <c:pt idx="507">
                  <c:v>33.9458999634</c:v>
                </c:pt>
                <c:pt idx="508">
                  <c:v>33.7947998047</c:v>
                </c:pt>
                <c:pt idx="509">
                  <c:v>34.431098938</c:v>
                </c:pt>
                <c:pt idx="510">
                  <c:v>34.7631988525</c:v>
                </c:pt>
                <c:pt idx="511">
                  <c:v>35.7294998169</c:v>
                </c:pt>
                <c:pt idx="512">
                  <c:v>35.3863983154</c:v>
                </c:pt>
                <c:pt idx="513">
                  <c:v>36.2069015503</c:v>
                </c:pt>
                <c:pt idx="514">
                  <c:v>37.1021995544</c:v>
                </c:pt>
                <c:pt idx="515">
                  <c:v>37.351398468</c:v>
                </c:pt>
                <c:pt idx="516">
                  <c:v>37.4911994934</c:v>
                </c:pt>
                <c:pt idx="517">
                  <c:v>37.3983001709</c:v>
                </c:pt>
                <c:pt idx="518">
                  <c:v>38.863899231</c:v>
                </c:pt>
                <c:pt idx="519">
                  <c:v>40.081199646</c:v>
                </c:pt>
                <c:pt idx="520">
                  <c:v>39.2443008423</c:v>
                </c:pt>
                <c:pt idx="521">
                  <c:v>38.5485992432</c:v>
                </c:pt>
                <c:pt idx="522">
                  <c:v>40.1664009094</c:v>
                </c:pt>
                <c:pt idx="523">
                  <c:v>41.0129013062</c:v>
                </c:pt>
                <c:pt idx="524">
                  <c:v>41.867099762</c:v>
                </c:pt>
                <c:pt idx="525">
                  <c:v>40.7462997437</c:v>
                </c:pt>
                <c:pt idx="526">
                  <c:v>40.8140983582</c:v>
                </c:pt>
                <c:pt idx="527">
                  <c:v>39.2597999573</c:v>
                </c:pt>
                <c:pt idx="528">
                  <c:v>41.5839004517</c:v>
                </c:pt>
                <c:pt idx="529">
                  <c:v>41.4058990479</c:v>
                </c:pt>
                <c:pt idx="530">
                  <c:v>40.501499176</c:v>
                </c:pt>
                <c:pt idx="531">
                  <c:v>40.8625984192</c:v>
                </c:pt>
                <c:pt idx="532">
                  <c:v>42.6841011047</c:v>
                </c:pt>
                <c:pt idx="533">
                  <c:v>42.3163986206</c:v>
                </c:pt>
                <c:pt idx="534">
                  <c:v>43.0116004944</c:v>
                </c:pt>
                <c:pt idx="535">
                  <c:v>43.2428016663</c:v>
                </c:pt>
                <c:pt idx="536">
                  <c:v>44.1230010986</c:v>
                </c:pt>
                <c:pt idx="537">
                  <c:v>43.4143981934</c:v>
                </c:pt>
                <c:pt idx="538">
                  <c:v>43.4021987915</c:v>
                </c:pt>
                <c:pt idx="539">
                  <c:v>43.6502990723</c:v>
                </c:pt>
                <c:pt idx="540">
                  <c:v>43.6195983887</c:v>
                </c:pt>
                <c:pt idx="541">
                  <c:v>44.6086006165</c:v>
                </c:pt>
                <c:pt idx="542">
                  <c:v>45.2767982483</c:v>
                </c:pt>
                <c:pt idx="543">
                  <c:v>44.168598175</c:v>
                </c:pt>
                <c:pt idx="544">
                  <c:v>45.2657012939</c:v>
                </c:pt>
                <c:pt idx="545">
                  <c:v>45.4435997009</c:v>
                </c:pt>
                <c:pt idx="546">
                  <c:v>45.8343009949</c:v>
                </c:pt>
                <c:pt idx="547">
                  <c:v>43.8331985474</c:v>
                </c:pt>
                <c:pt idx="548">
                  <c:v>43.3478012085</c:v>
                </c:pt>
                <c:pt idx="549">
                  <c:v>41.7249984741</c:v>
                </c:pt>
                <c:pt idx="550">
                  <c:v>42.6323013306</c:v>
                </c:pt>
                <c:pt idx="551">
                  <c:v>42.7608985901</c:v>
                </c:pt>
                <c:pt idx="552">
                  <c:v>41.3460998535</c:v>
                </c:pt>
                <c:pt idx="553">
                  <c:v>42.0480995178</c:v>
                </c:pt>
                <c:pt idx="554">
                  <c:v>41.9413986206</c:v>
                </c:pt>
                <c:pt idx="555">
                  <c:v>42.2743988037</c:v>
                </c:pt>
                <c:pt idx="556">
                  <c:v>42.2626991272</c:v>
                </c:pt>
                <c:pt idx="557">
                  <c:v>43.5102996826</c:v>
                </c:pt>
                <c:pt idx="558">
                  <c:v>43.990398407</c:v>
                </c:pt>
                <c:pt idx="559">
                  <c:v>43.9297981262</c:v>
                </c:pt>
                <c:pt idx="560">
                  <c:v>44.4496994019</c:v>
                </c:pt>
                <c:pt idx="561">
                  <c:v>42.3918991089</c:v>
                </c:pt>
                <c:pt idx="562">
                  <c:v>41.1057014465</c:v>
                </c:pt>
                <c:pt idx="563">
                  <c:v>41.189201355</c:v>
                </c:pt>
                <c:pt idx="564">
                  <c:v>40.3496017456</c:v>
                </c:pt>
                <c:pt idx="565">
                  <c:v>40.7238006592</c:v>
                </c:pt>
                <c:pt idx="566">
                  <c:v>41.4296989441</c:v>
                </c:pt>
                <c:pt idx="567">
                  <c:v>41.2728004456</c:v>
                </c:pt>
                <c:pt idx="568">
                  <c:v>40.9945983887</c:v>
                </c:pt>
                <c:pt idx="569">
                  <c:v>40.5052986145</c:v>
                </c:pt>
                <c:pt idx="570">
                  <c:v>40.3324012756</c:v>
                </c:pt>
                <c:pt idx="571">
                  <c:v>41.3917007446</c:v>
                </c:pt>
                <c:pt idx="572">
                  <c:v>40.2948989868</c:v>
                </c:pt>
                <c:pt idx="573">
                  <c:v>40.1558990479</c:v>
                </c:pt>
                <c:pt idx="574">
                  <c:v>39.6503982544</c:v>
                </c:pt>
                <c:pt idx="575">
                  <c:v>39.7163009644</c:v>
                </c:pt>
                <c:pt idx="576">
                  <c:v>39.1960983276</c:v>
                </c:pt>
                <c:pt idx="577">
                  <c:v>37.7239990234</c:v>
                </c:pt>
                <c:pt idx="578">
                  <c:v>37.8773002625</c:v>
                </c:pt>
                <c:pt idx="579">
                  <c:v>38.4348983765</c:v>
                </c:pt>
                <c:pt idx="580">
                  <c:v>39.0533981323</c:v>
                </c:pt>
                <c:pt idx="581">
                  <c:v>38.9025993347</c:v>
                </c:pt>
                <c:pt idx="582">
                  <c:v>39.2009010315</c:v>
                </c:pt>
                <c:pt idx="583">
                  <c:v>39.7155990601</c:v>
                </c:pt>
                <c:pt idx="584">
                  <c:v>39.4100990295</c:v>
                </c:pt>
                <c:pt idx="585">
                  <c:v>38.9550018311</c:v>
                </c:pt>
                <c:pt idx="586">
                  <c:v>39.304901123</c:v>
                </c:pt>
                <c:pt idx="587">
                  <c:v>39.8154983521</c:v>
                </c:pt>
                <c:pt idx="588">
                  <c:v>40.7550010681</c:v>
                </c:pt>
                <c:pt idx="589">
                  <c:v>40.8989982605</c:v>
                </c:pt>
                <c:pt idx="590">
                  <c:v>40.8571014404</c:v>
                </c:pt>
                <c:pt idx="591">
                  <c:v>40.3723983765</c:v>
                </c:pt>
                <c:pt idx="592">
                  <c:v>40.7388000488</c:v>
                </c:pt>
                <c:pt idx="593">
                  <c:v>40.0381011963</c:v>
                </c:pt>
                <c:pt idx="594">
                  <c:v>39.2591018677</c:v>
                </c:pt>
                <c:pt idx="595">
                  <c:v>40.5087013245</c:v>
                </c:pt>
                <c:pt idx="596">
                  <c:v>39.6852989197</c:v>
                </c:pt>
                <c:pt idx="597">
                  <c:v>39.8737983704</c:v>
                </c:pt>
                <c:pt idx="598">
                  <c:v>40.6015014648</c:v>
                </c:pt>
                <c:pt idx="599">
                  <c:v>40.7757987976</c:v>
                </c:pt>
                <c:pt idx="600">
                  <c:v>41.0750999451</c:v>
                </c:pt>
                <c:pt idx="601">
                  <c:v>41.2142982483</c:v>
                </c:pt>
                <c:pt idx="602">
                  <c:v>41.265499115</c:v>
                </c:pt>
                <c:pt idx="603">
                  <c:v>41.0383987427</c:v>
                </c:pt>
                <c:pt idx="604">
                  <c:v>41.2350997925</c:v>
                </c:pt>
                <c:pt idx="605">
                  <c:v>40.7742004395</c:v>
                </c:pt>
                <c:pt idx="606">
                  <c:v>41.9622001648</c:v>
                </c:pt>
                <c:pt idx="607">
                  <c:v>42.3597984314</c:v>
                </c:pt>
                <c:pt idx="608">
                  <c:v>42.4640007019</c:v>
                </c:pt>
                <c:pt idx="609">
                  <c:v>42.170501709</c:v>
                </c:pt>
                <c:pt idx="610">
                  <c:v>42.6170005798</c:v>
                </c:pt>
                <c:pt idx="611">
                  <c:v>43.4244003296</c:v>
                </c:pt>
                <c:pt idx="612">
                  <c:v>42.5419006348</c:v>
                </c:pt>
                <c:pt idx="613">
                  <c:v>42.8894996643</c:v>
                </c:pt>
                <c:pt idx="614">
                  <c:v>43.0519981384</c:v>
                </c:pt>
                <c:pt idx="615">
                  <c:v>43.0153999329</c:v>
                </c:pt>
                <c:pt idx="616">
                  <c:v>42.6837997437</c:v>
                </c:pt>
                <c:pt idx="617">
                  <c:v>41.9957008362</c:v>
                </c:pt>
                <c:pt idx="618">
                  <c:v>42.2195014954</c:v>
                </c:pt>
                <c:pt idx="619">
                  <c:v>42.5634994507</c:v>
                </c:pt>
                <c:pt idx="620">
                  <c:v>42.9804000854</c:v>
                </c:pt>
                <c:pt idx="621">
                  <c:v>42.5597000122</c:v>
                </c:pt>
                <c:pt idx="622">
                  <c:v>42.7951011658</c:v>
                </c:pt>
                <c:pt idx="623">
                  <c:v>42.5383987427</c:v>
                </c:pt>
                <c:pt idx="624">
                  <c:v>42.310798645</c:v>
                </c:pt>
                <c:pt idx="625">
                  <c:v>42.6482009888</c:v>
                </c:pt>
                <c:pt idx="626">
                  <c:v>41.6189002991</c:v>
                </c:pt>
                <c:pt idx="627">
                  <c:v>42.4388999939</c:v>
                </c:pt>
                <c:pt idx="628">
                  <c:v>42.4532012939</c:v>
                </c:pt>
                <c:pt idx="629">
                  <c:v>41.8386993408</c:v>
                </c:pt>
                <c:pt idx="630">
                  <c:v>41.5705986023</c:v>
                </c:pt>
                <c:pt idx="631">
                  <c:v>42.6992988586</c:v>
                </c:pt>
                <c:pt idx="632">
                  <c:v>42.5544013977</c:v>
                </c:pt>
                <c:pt idx="633">
                  <c:v>42.1753997803</c:v>
                </c:pt>
                <c:pt idx="634">
                  <c:v>42.7374992371</c:v>
                </c:pt>
                <c:pt idx="635">
                  <c:v>42.1204986572</c:v>
                </c:pt>
                <c:pt idx="636">
                  <c:v>42.5005989075</c:v>
                </c:pt>
                <c:pt idx="637">
                  <c:v>43.5896987915</c:v>
                </c:pt>
                <c:pt idx="638">
                  <c:v>43.4897003174</c:v>
                </c:pt>
                <c:pt idx="639">
                  <c:v>43.3207015991</c:v>
                </c:pt>
                <c:pt idx="640">
                  <c:v>42.5606002808</c:v>
                </c:pt>
                <c:pt idx="641">
                  <c:v>41.4452018738</c:v>
                </c:pt>
                <c:pt idx="642">
                  <c:v>40.9686012268</c:v>
                </c:pt>
                <c:pt idx="643">
                  <c:v>41.5164985657</c:v>
                </c:pt>
                <c:pt idx="644">
                  <c:v>41.7093009949</c:v>
                </c:pt>
                <c:pt idx="645">
                  <c:v>41.5237998962</c:v>
                </c:pt>
                <c:pt idx="646">
                  <c:v>40.9660987854</c:v>
                </c:pt>
                <c:pt idx="647">
                  <c:v>41.5439987183</c:v>
                </c:pt>
                <c:pt idx="648">
                  <c:v>41.1963996887</c:v>
                </c:pt>
                <c:pt idx="649">
                  <c:v>40.9430007935</c:v>
                </c:pt>
                <c:pt idx="650">
                  <c:v>41.4653015137</c:v>
                </c:pt>
                <c:pt idx="651">
                  <c:v>40.5465011597</c:v>
                </c:pt>
                <c:pt idx="652">
                  <c:v>41.1632003784</c:v>
                </c:pt>
                <c:pt idx="653">
                  <c:v>40.6641998291</c:v>
                </c:pt>
                <c:pt idx="654">
                  <c:v>41.181098938</c:v>
                </c:pt>
                <c:pt idx="655">
                  <c:v>39.7238998413</c:v>
                </c:pt>
                <c:pt idx="656">
                  <c:v>39.9355010986</c:v>
                </c:pt>
                <c:pt idx="657">
                  <c:v>40.7277984619</c:v>
                </c:pt>
                <c:pt idx="658">
                  <c:v>40.1912994385</c:v>
                </c:pt>
                <c:pt idx="659">
                  <c:v>40.561000824</c:v>
                </c:pt>
                <c:pt idx="660">
                  <c:v>40.1787986755</c:v>
                </c:pt>
                <c:pt idx="661">
                  <c:v>38.9211006165</c:v>
                </c:pt>
                <c:pt idx="662">
                  <c:v>40.0592002869</c:v>
                </c:pt>
                <c:pt idx="663">
                  <c:v>39.1739006042</c:v>
                </c:pt>
                <c:pt idx="664">
                  <c:v>38.7901000977</c:v>
                </c:pt>
                <c:pt idx="665">
                  <c:v>38.9216995239</c:v>
                </c:pt>
                <c:pt idx="666">
                  <c:v>41.0360984802</c:v>
                </c:pt>
                <c:pt idx="667">
                  <c:v>40.754901886</c:v>
                </c:pt>
                <c:pt idx="668">
                  <c:v>42.1535987854</c:v>
                </c:pt>
                <c:pt idx="669">
                  <c:v>42.4528999329</c:v>
                </c:pt>
                <c:pt idx="670">
                  <c:v>43.3886985779</c:v>
                </c:pt>
                <c:pt idx="671">
                  <c:v>42.9401016235</c:v>
                </c:pt>
                <c:pt idx="672">
                  <c:v>42.904499054</c:v>
                </c:pt>
                <c:pt idx="673">
                  <c:v>42.5494003296</c:v>
                </c:pt>
                <c:pt idx="674">
                  <c:v>42.5013008118</c:v>
                </c:pt>
                <c:pt idx="675">
                  <c:v>42.5494003296</c:v>
                </c:pt>
                <c:pt idx="676">
                  <c:v>44.4351005554</c:v>
                </c:pt>
                <c:pt idx="677">
                  <c:v>43.8745994568</c:v>
                </c:pt>
                <c:pt idx="678">
                  <c:v>43.143699646</c:v>
                </c:pt>
                <c:pt idx="679">
                  <c:v>42.6528015137</c:v>
                </c:pt>
                <c:pt idx="680">
                  <c:v>43.721698761</c:v>
                </c:pt>
                <c:pt idx="681">
                  <c:v>44.6576004028</c:v>
                </c:pt>
                <c:pt idx="682">
                  <c:v>44.414100647</c:v>
                </c:pt>
                <c:pt idx="683">
                  <c:v>45.8769989014</c:v>
                </c:pt>
                <c:pt idx="684">
                  <c:v>46.3750991821</c:v>
                </c:pt>
                <c:pt idx="685">
                  <c:v>45.9516983032</c:v>
                </c:pt>
                <c:pt idx="686">
                  <c:v>47.520401001</c:v>
                </c:pt>
                <c:pt idx="687">
                  <c:v>47.4650993347</c:v>
                </c:pt>
                <c:pt idx="688">
                  <c:v>48.679599762</c:v>
                </c:pt>
                <c:pt idx="689">
                  <c:v>47.5948982239</c:v>
                </c:pt>
                <c:pt idx="690">
                  <c:v>47.3534011841</c:v>
                </c:pt>
                <c:pt idx="691">
                  <c:v>47.1568984985</c:v>
                </c:pt>
                <c:pt idx="692">
                  <c:v>47.0878982544</c:v>
                </c:pt>
                <c:pt idx="693">
                  <c:v>47.1815986633</c:v>
                </c:pt>
                <c:pt idx="694">
                  <c:v>46.17029953</c:v>
                </c:pt>
                <c:pt idx="695">
                  <c:v>47.3709983826</c:v>
                </c:pt>
                <c:pt idx="696">
                  <c:v>48.1796989441</c:v>
                </c:pt>
                <c:pt idx="697">
                  <c:v>48.3036003113</c:v>
                </c:pt>
                <c:pt idx="698">
                  <c:v>48.4365005493</c:v>
                </c:pt>
                <c:pt idx="699">
                  <c:v>49.1628990173</c:v>
                </c:pt>
                <c:pt idx="700">
                  <c:v>48.2504005432</c:v>
                </c:pt>
                <c:pt idx="701">
                  <c:v>47.2999000549</c:v>
                </c:pt>
                <c:pt idx="702">
                  <c:v>48.3245010376</c:v>
                </c:pt>
                <c:pt idx="703">
                  <c:v>48.9818000793</c:v>
                </c:pt>
                <c:pt idx="704">
                  <c:v>48.5233001709</c:v>
                </c:pt>
                <c:pt idx="705">
                  <c:v>47.0831985474</c:v>
                </c:pt>
                <c:pt idx="706">
                  <c:v>45.3103981018</c:v>
                </c:pt>
                <c:pt idx="707">
                  <c:v>46.9682998657</c:v>
                </c:pt>
                <c:pt idx="708">
                  <c:v>45.7010993958</c:v>
                </c:pt>
                <c:pt idx="709">
                  <c:v>45.2551994324</c:v>
                </c:pt>
                <c:pt idx="710">
                  <c:v>45.6571998596</c:v>
                </c:pt>
                <c:pt idx="711">
                  <c:v>50.9048995972</c:v>
                </c:pt>
                <c:pt idx="712">
                  <c:v>51.8089981079</c:v>
                </c:pt>
                <c:pt idx="713">
                  <c:v>52.5974998474</c:v>
                </c:pt>
                <c:pt idx="714">
                  <c:v>53.5350990295</c:v>
                </c:pt>
                <c:pt idx="715">
                  <c:v>54.9042015076</c:v>
                </c:pt>
                <c:pt idx="716">
                  <c:v>52.8694992065</c:v>
                </c:pt>
                <c:pt idx="717">
                  <c:v>53.7083015442</c:v>
                </c:pt>
                <c:pt idx="718">
                  <c:v>55.1450004578</c:v>
                </c:pt>
                <c:pt idx="719">
                  <c:v>52.9855995178</c:v>
                </c:pt>
                <c:pt idx="720">
                  <c:v>53.2022018433</c:v>
                </c:pt>
                <c:pt idx="721">
                  <c:v>54.6320991516</c:v>
                </c:pt>
                <c:pt idx="722">
                  <c:v>53.9062995911</c:v>
                </c:pt>
                <c:pt idx="723">
                  <c:v>51.0728988647</c:v>
                </c:pt>
                <c:pt idx="724">
                  <c:v>51.1865997314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83.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8.76189994812,8.68039989471,8.72109985352,8.80350017548,8.88990020752,9.10190010071,9.15019989014,9.15019989014,8.94470024109,8.92619991302,8.92049980164,8.95680046082,8.7716999054,9.13679981232,9.09500026703,9.21269989014,9.3358001709,9.4139995575,9.34169960022,9.11139965057,9.08920001984,9.14890003204,9.11499977112,8.96739959717,9.00399971008,9.01389980316,8.90349960327,8.76239967346,8.68879985809,8.55910015106,8.58539962769,8.53269958496,8.38059997559,8.44919967651,8.49209976196,8.55840015411,8.51290035248,8.63329982758,8.82219982147,9.07800006866,9.09840011597,9.09850025177,9.15769958496,8.98480033875,8.98980045319,8.87170028687,8.87160015106,8.83650016785,8.80930042267,8.79710006714,8.85109996796,8.8998003006,8.81040000916,8.85809993744,8.85210037231,8.73970031738,8.93270015717,8.77369976044,8.65279960632,8.72080039978,8.62090015411,8.64589977264,8.71249961853,8.7952003479,8.96199989319,8.76159954071,8.68200016022,8.73740005493,8.7266998291,8.50689983368,8.44139957428,8.44130039215,8.35519981384,8.39070034027,8.39970016479,8.51299953461,8.3531999588,8.22700023651,8.22239971161,8.27770042419,8.46420001984,8.57330036163,8.4388999939,8.43290042877,8.41639995575,8.28460025787,8.39700031281,8.38759994507,8.70860004425,8.47309970856,8.2876996994,8.42240047455,8.3780002594,8.38070011139,8.46930027008,8.30790042877,8.29109954834,8.20429992676,8.06159973145,8.11919975281,8.00909996033,8.08450031281,7.94000005722,8.00380039215,7.93940019608,7.92089986801,7.86840009689,7.95260000229,7.87760019302,7.92740011215,8.10569953918,8.03090000153,7.98600006104,8.02820014954,8.04039955139,7.86689996719,7.86670017242,7.86670017242,8.01970005035,8.21150016785,8.22290039062,8.12549972534,8.08399963379,8.09720039368,8.05239963531,7.91249990463,7.89340019226,7.84679985046,7.92189979553,7.91340017319,7.90019989014,7.75330018997,7.48150014877,7.53910017014,7.49569988251,7.3326997757,7.51609992981,7.79769992828,7.99119997025,7.87279987335,7.93699979782,7.75699996948,7.67229986191,7.69439983368,7.6985001564,7.6861000061,7.98199987411,8.03719997406,7.94579982758,8.05480003357,8.10949993134,8.33329963684,8.48079967499,8.47399997711,8.40740013123,8.46459960938,8.32320022583,8.30469989777,8.32030010223,8.32719993591,8.13710021973,8.271900177,8.17140007019,8.23009967804,8.32719993591,8.55469989777,8.53789997101,8.44789981842,8.34109973907,8.34469985962,8.25189971924,8.49310016632,8.80500030518,8.61439990997,8.58780002594,8.65929985046,8.46399974823,8.42930030823,8.49079990387,8.49069976807,8.70079994202,8.62040042877,8.61569976807,8.65299987793,8.81439971924,8.79300022125,8.62390041351,8.58710002899,8.4404001236,8.44110012054,8.51259994507,8.46790027618,8.56970024109,8.69699954987,8.86579990387,8.89080047607,9.05510044098,9.10949993134,9.12520027161,9.46049976349,9.4344997406,9.3548002243,9.47340011597,9.72340011597,9.78750038147,9.76550006866,9.76550006866,9.94709968567,10.0394001007,10.081700325,9.89890003204,9.87409973145,9.68620014191,9.56879997253,9.67980003357,9.68980026245,9.54020023346,9.40900039673,9.33469963074,9.50389957428,9.50949954987,9.48610019684,9.51259994507,9.47109985352,9.35919952393,9.26189994812,9.33370018005,9.2734003067,9.25459957123,9.24090003967,9.51360034943,9.49489974976,9.33650016785,9.34640026093,9.37409973145,9.38539981842,9.1844997406,9.22999954224,9.22999954224,9.28470039368,9.36880016327,9.40789985657,9.28680038452,9.13129997253,9.12380027771,9.07120037079,9.23139953613,9.44219970703,9.31130027771,9.16020011902,9.1016998291,9.12749958038,8.92249965668,9.02509975433,8.95079994202,8.90569972992,8.73929977417,8.73400020599,8.83469963074,8.70750045776,8.8780002594,8.86439990997,8.71990013123,8.56019973755,8.52610015869,8.65709972382,8.67350006104,8.76690006256,8.79440021515,8.8169002533,8.72229957581,8.74670028687,8.86460018158,8.92840003967,8.88869953156,8.81750011444,8.89159965515,8.88300037384,8.95160007477,9.00979995728,8.88039970398,8.88689994812,8.99359989166,8.84230041504,8.79920005798,8.67459964752,8.64799976349,8.64789962769,8.49059963226,8.49030017853,8.41639995575,8.4593000412,8.53639984131,8.67430019379,8.82100009918,8.92710018158,8.93959999084,9.3329000473,9.41979980469,9.80599975586,10.0743999481,10.2756996155,10.169500351,9.98740005493,10.2861995697,10.2861003876,10.2623996735,9.90369987488,9.89130020142,9.77789974213,10.0943002701,9.82629966736,9.82820034027,9.93000030518,9.81750011444,9.83390045166,9.84119987488,9.84270000458,9.33160018921,9.30780029297,9.40950012207,9.43560028076,9.63189983368,9.41839981079,9.60560035706,9.49009990692,9.34609985352,9.1017999649,9.03479957581,8.8718996048,8.8343000412,8.92090034485,8.94859981537,8.96389961243,8.90890026093,8.74390029907,8.71179962158,8.71059989929,8.88129997253,8.77210044861,8.77680015564,8.84389972687,8.95170021057,8.97249984741,8.90740013123,9.04129981995,9.25940036774,9.19099998474,9.14200019836,9.25360012054,9.06000041962,9.01039981842,8.97089958191,9.04599952698,9.01169967651,9.00189971924,9.09430027008,9.19139957428,9.19139957428,9.19120025635,9.17910003662,9.15489959717,9.17640018463,8.9563999176,9.00249958038,8.97249984741,8.8547000885,8.79119968414,8.77649974823,8.69909954071,8.63840007782,8.78260040283,8.82019996643,8.91819953918,8.91689968109,9.04319953918,9.10249996185,8.96469974518,8.95139980316,9.12180042267,9.19909954071,9.33640003204,9.46570014954,9.54189968109,9.69439983368,9.60029983521,9.85960006714,9.8109998703,10.1511001587,10.1612997055,10.2795000076,10.2403001785,10,10.3283996582,10.2404003143,10.0873003006,10.3572998047,10.3263998032,10.0327997208,10.0708999634,10.0504999161,10.3200998306,10.5966997147,10.5509004593,10.3804998398,10.4013004303,10.3354997635,10.2645998001,10.4361000061,10.4966001511,10.7517004013,10.6603002548,10.4593000412,10.2469997406,10.3246002197,10.1141996384,10.2593002319,10.3420000076,10.343000412,10.2862997055,10.3385000229,10.3432998657,10.1892995834,8.90550041199,9.04109954834,9.07719993591,9.24650001526,9.36779975891,9.58199977875,9.60919952393,9.45460033417,9.60070037842,9.60070037842,9.60070037842,9.67210006714,9.85219955444,9.78969955444,9.85999965668,9.8705997467,9.92259979248,9.9390001297,10.1611995697,10.1696996689,10.2131004333,10.2468004227,10.5628995895,10.3870000839,10.6000995636,10.4715995789,10.42029953,10.4138002396,10.5528001785,10.6183004379,10.5107002258,10.543800354,10.4193000793,10.4525995255,10.4172000885,10.5206003189,10.3743000031,10.4863004684,10.5474004745,10.6430997849,10.6017999649,10.7650995255,10.638299942,10.7503004074,10.636300087,10.598400116,10.6700000763,10.6651000977,10.5601997375,10.3540000916,10.4853000641,10.5448999405,10.7615003586,10.8901996613,10.8306999207,10.7846002579,10.6827001572,10.6827001572,10.7653999329,10.6920003891,10.6463003159,10.6403999329,10.7312002182,10.6291999817,10.7163000107,10.7470998764,10.79529953,10.9378004074,10.9186000824,10.8950004578,11.0360002518,11.1141004562,11.1772003174,11.3685998917,11.4200000763,11.3149995804,11.361700058,11.4905996323,11.4448003769,11.2616996765,11.126999855,11.236000061,11.3227996826,11.3402996063,11.4125003815,11.331199646,11.3338003159,11.375,11.6028995514,11.6359996796,11.5213003159,11.4625997543,11.4147996902,11.4204998016,11.4628000259,11.5446996689,11.7452001572,11.5920000076,11.5193996429,11.4580001831,11.3573999405,11.5591001511,11.5310001373,11.468000412,11.3303003311,11.4968996048,11.7215003967,11.8421001434,11.9688997269,11.9260997772,12.0367002487,12.0509996414,12.0284996033,12.2189998627,12.029299736,12.0401000977,11.9247999191,11.8520002365,11.9947004318,11.9497003555,11.8354997635,12.0550003052,12.1282997131,12.1408004761,11.9517002106,11.8069000244,11.6400995255,11.8368997574,11.866399765,11.5927000046,11.8573999405,11.9351997375,11.8378000259,11.9385995865,12.0383996964,12.1625995636,12.0536003113,12.0559997559,11.8308000565,11.6579999924,11.7638998032,11.7129001617,11.7048997879,11.9483003616,11.8691997528,12.0767002106,12.094499588,12.2180995941,12.2540998459,12.0513000488,11.9644002914,11.7571001053,11.7510004044,11.7468996048,11.4819002151,11.6806001663,11.8360004425,11.837100029,11.8278999329,11.890999794,11.9933004379,12.0240001678,11.8704996109,11.9350996017,12.0178003311,11.8884000778,11.7398996353,11.7490997314,11.7354001999,11.9273004532,11.7631998062,11.5767002106,11.6758003235,11.6998996735,11.7812995911,11.8276996613,11.8014001846,11.8099002838,11.8099002838,11.8099002838,11.742099762,11.8563995361,11.7651996613,12.042599678,12.1971998215,12.0804004669,11.956199646,11.992600441,12.151599884,12.2658996582,12.3308000565,12.2496004105,12.2046003342,12.0956001282,12.0675001144,12.1120996475,12.1164999008,12.1399002075,12.1949996948,12.3407001495,12.6738004684,12.7483997345,12.4715003967,12.1878995895,12.1890001297,12.1967000961,12.212100029,12.1128997803,12.2967996597,12.3641996384,12.4017000198,12.3305997849,12.1100997925,12.1400003433,12.0832996368,11.8846998215,11.9793996811,11.8013000488,11.7159996033,11.502699852,11.543299675,11.7291002274,12.0820999146,12.3254995346,12.3798999786,12.3992004395,12.3260002136,12.531999588,12.5087995529,12.5160999298,12.3832998276,12.3788995743,11.9391002655,12.1920995712,12.2910995483,12.1969003677,12.2356004715,12.1377000809,12.1434001923,12.3573999405,12.3059997559,12.3059997559,12.3130998611,12.5916996002,12.5514001846,12.6583995819,12.5755996704,12.6486997604,12.6372995377,12.8823003769,12.7685003281,12.8604001999,12.970700264,12.780500412,12.7255001068,12.7327003479,12.6289997101,12.4604997635,12.5333003998,12.3576002121,12.5546998978,12.6590003967,12.5481004715,12.5642004013,12.5776996613,12.4879999161,12.4907999039,12.3052997589,12.2136001587,12.2589998245,12.1986999512,12.0649995804,12.1492996216,12.1492996216,12.1512002945,12.0776996613,11.9728002548,12.0874996185,12.2657003403,12.5722999573,12.4097003937,12.1997003555,12.0878000259,12.0275001526,11.988699913,11.9081001282,11.8339004517,12.0776996613,12.1270999908,11.9877004623,11.8722000122,11.6562004089,11.6357002258,11.4134998322,11.4406995773,11.2643003464,11.0760002136,11.2299003601,11.1275997162,11.1275997162,11.1621999741,11.2894001007}</c:f>
              <c:numCache>
                <c:formatCode>General</c:formatCode>
                <c:ptCount val="725"/>
                <c:pt idx="0">
                  <c:v>8.76189994812</c:v>
                </c:pt>
                <c:pt idx="1">
                  <c:v>8.68039989471</c:v>
                </c:pt>
                <c:pt idx="2">
                  <c:v>8.72109985352</c:v>
                </c:pt>
                <c:pt idx="3">
                  <c:v>8.80350017548</c:v>
                </c:pt>
                <c:pt idx="4">
                  <c:v>8.88990020752</c:v>
                </c:pt>
                <c:pt idx="5">
                  <c:v>9.10190010071</c:v>
                </c:pt>
                <c:pt idx="6">
                  <c:v>9.15019989014</c:v>
                </c:pt>
                <c:pt idx="7">
                  <c:v>9.15019989014</c:v>
                </c:pt>
                <c:pt idx="8">
                  <c:v>8.94470024109</c:v>
                </c:pt>
                <c:pt idx="9">
                  <c:v>8.92619991302</c:v>
                </c:pt>
                <c:pt idx="10">
                  <c:v>8.92049980164</c:v>
                </c:pt>
                <c:pt idx="11">
                  <c:v>8.95680046082</c:v>
                </c:pt>
                <c:pt idx="12">
                  <c:v>8.7716999054</c:v>
                </c:pt>
                <c:pt idx="13">
                  <c:v>9.13679981232</c:v>
                </c:pt>
                <c:pt idx="14">
                  <c:v>9.09500026703</c:v>
                </c:pt>
                <c:pt idx="15">
                  <c:v>9.21269989014</c:v>
                </c:pt>
                <c:pt idx="16">
                  <c:v>9.3358001709</c:v>
                </c:pt>
                <c:pt idx="17">
                  <c:v>9.4139995575</c:v>
                </c:pt>
                <c:pt idx="18">
                  <c:v>9.34169960022</c:v>
                </c:pt>
                <c:pt idx="19">
                  <c:v>9.11139965057</c:v>
                </c:pt>
                <c:pt idx="20">
                  <c:v>9.08920001984</c:v>
                </c:pt>
                <c:pt idx="21">
                  <c:v>9.14890003204</c:v>
                </c:pt>
                <c:pt idx="22">
                  <c:v>9.11499977112</c:v>
                </c:pt>
                <c:pt idx="23">
                  <c:v>8.96739959717</c:v>
                </c:pt>
                <c:pt idx="24">
                  <c:v>9.00399971008</c:v>
                </c:pt>
                <c:pt idx="25">
                  <c:v>9.01389980316</c:v>
                </c:pt>
                <c:pt idx="26">
                  <c:v>8.90349960327</c:v>
                </c:pt>
                <c:pt idx="27">
                  <c:v>8.76239967346</c:v>
                </c:pt>
                <c:pt idx="28">
                  <c:v>8.68879985809</c:v>
                </c:pt>
                <c:pt idx="29">
                  <c:v>8.55910015106</c:v>
                </c:pt>
                <c:pt idx="30">
                  <c:v>8.58539962769</c:v>
                </c:pt>
                <c:pt idx="31">
                  <c:v>8.53269958496</c:v>
                </c:pt>
                <c:pt idx="32">
                  <c:v>8.38059997559</c:v>
                </c:pt>
                <c:pt idx="33">
                  <c:v>8.44919967651</c:v>
                </c:pt>
                <c:pt idx="34">
                  <c:v>8.49209976196</c:v>
                </c:pt>
                <c:pt idx="35">
                  <c:v>8.55840015411</c:v>
                </c:pt>
                <c:pt idx="36">
                  <c:v>8.51290035248</c:v>
                </c:pt>
                <c:pt idx="37">
                  <c:v>8.63329982758</c:v>
                </c:pt>
                <c:pt idx="38">
                  <c:v>8.82219982147</c:v>
                </c:pt>
                <c:pt idx="39">
                  <c:v>9.07800006866</c:v>
                </c:pt>
                <c:pt idx="40">
                  <c:v>9.09840011597</c:v>
                </c:pt>
                <c:pt idx="41">
                  <c:v>9.09850025177</c:v>
                </c:pt>
                <c:pt idx="42">
                  <c:v>9.15769958496</c:v>
                </c:pt>
                <c:pt idx="43">
                  <c:v>8.98480033875</c:v>
                </c:pt>
                <c:pt idx="44">
                  <c:v>8.98980045319</c:v>
                </c:pt>
                <c:pt idx="45">
                  <c:v>8.87170028687</c:v>
                </c:pt>
                <c:pt idx="46">
                  <c:v>8.87160015106</c:v>
                </c:pt>
                <c:pt idx="47">
                  <c:v>8.83650016785</c:v>
                </c:pt>
                <c:pt idx="48">
                  <c:v>8.80930042267</c:v>
                </c:pt>
                <c:pt idx="49">
                  <c:v>8.79710006714</c:v>
                </c:pt>
                <c:pt idx="50">
                  <c:v>8.85109996796</c:v>
                </c:pt>
                <c:pt idx="51">
                  <c:v>8.8998003006</c:v>
                </c:pt>
                <c:pt idx="52">
                  <c:v>8.81040000916</c:v>
                </c:pt>
                <c:pt idx="53">
                  <c:v>8.85809993744</c:v>
                </c:pt>
                <c:pt idx="54">
                  <c:v>8.85210037231</c:v>
                </c:pt>
                <c:pt idx="55">
                  <c:v>8.73970031738</c:v>
                </c:pt>
                <c:pt idx="56">
                  <c:v>8.93270015717</c:v>
                </c:pt>
                <c:pt idx="57">
                  <c:v>8.77369976044</c:v>
                </c:pt>
                <c:pt idx="58">
                  <c:v>8.65279960632</c:v>
                </c:pt>
                <c:pt idx="59">
                  <c:v>8.72080039978</c:v>
                </c:pt>
                <c:pt idx="60">
                  <c:v>8.62090015411</c:v>
                </c:pt>
                <c:pt idx="61">
                  <c:v>8.64589977264</c:v>
                </c:pt>
                <c:pt idx="62">
                  <c:v>8.71249961853</c:v>
                </c:pt>
                <c:pt idx="63">
                  <c:v>8.7952003479</c:v>
                </c:pt>
                <c:pt idx="64">
                  <c:v>8.96199989319</c:v>
                </c:pt>
                <c:pt idx="65">
                  <c:v>8.76159954071</c:v>
                </c:pt>
                <c:pt idx="66">
                  <c:v>8.68200016022</c:v>
                </c:pt>
                <c:pt idx="67">
                  <c:v>8.73740005493</c:v>
                </c:pt>
                <c:pt idx="68">
                  <c:v>8.7266998291</c:v>
                </c:pt>
                <c:pt idx="69">
                  <c:v>8.50689983368</c:v>
                </c:pt>
                <c:pt idx="70">
                  <c:v>8.44139957428</c:v>
                </c:pt>
                <c:pt idx="71">
                  <c:v>8.44130039215</c:v>
                </c:pt>
                <c:pt idx="72">
                  <c:v>8.35519981384</c:v>
                </c:pt>
                <c:pt idx="73">
                  <c:v>8.39070034027</c:v>
                </c:pt>
                <c:pt idx="74">
                  <c:v>8.39970016479</c:v>
                </c:pt>
                <c:pt idx="75">
                  <c:v>8.51299953461</c:v>
                </c:pt>
                <c:pt idx="76">
                  <c:v>8.3531999588</c:v>
                </c:pt>
                <c:pt idx="77">
                  <c:v>8.22700023651</c:v>
                </c:pt>
                <c:pt idx="78">
                  <c:v>8.22239971161</c:v>
                </c:pt>
                <c:pt idx="79">
                  <c:v>8.27770042419</c:v>
                </c:pt>
                <c:pt idx="80">
                  <c:v>8.46420001984</c:v>
                </c:pt>
                <c:pt idx="81">
                  <c:v>8.57330036163</c:v>
                </c:pt>
                <c:pt idx="82">
                  <c:v>8.4388999939</c:v>
                </c:pt>
                <c:pt idx="83">
                  <c:v>8.43290042877</c:v>
                </c:pt>
                <c:pt idx="84">
                  <c:v>8.41639995575</c:v>
                </c:pt>
                <c:pt idx="85">
                  <c:v>8.28460025787</c:v>
                </c:pt>
                <c:pt idx="86">
                  <c:v>8.39700031281</c:v>
                </c:pt>
                <c:pt idx="87">
                  <c:v>8.38759994507</c:v>
                </c:pt>
                <c:pt idx="88">
                  <c:v>8.70860004425</c:v>
                </c:pt>
                <c:pt idx="89">
                  <c:v>8.47309970856</c:v>
                </c:pt>
                <c:pt idx="90">
                  <c:v>8.2876996994</c:v>
                </c:pt>
                <c:pt idx="91">
                  <c:v>8.42240047455</c:v>
                </c:pt>
                <c:pt idx="92">
                  <c:v>8.3780002594</c:v>
                </c:pt>
                <c:pt idx="93">
                  <c:v>8.38070011139</c:v>
                </c:pt>
                <c:pt idx="94">
                  <c:v>8.46930027008</c:v>
                </c:pt>
                <c:pt idx="95">
                  <c:v>8.30790042877</c:v>
                </c:pt>
                <c:pt idx="96">
                  <c:v>8.29109954834</c:v>
                </c:pt>
                <c:pt idx="97">
                  <c:v>8.20429992676</c:v>
                </c:pt>
                <c:pt idx="98">
                  <c:v>8.06159973145</c:v>
                </c:pt>
                <c:pt idx="99">
                  <c:v>8.11919975281</c:v>
                </c:pt>
                <c:pt idx="100">
                  <c:v>8.00909996033</c:v>
                </c:pt>
                <c:pt idx="101">
                  <c:v>8.08450031281</c:v>
                </c:pt>
                <c:pt idx="102">
                  <c:v>7.94000005722</c:v>
                </c:pt>
                <c:pt idx="103">
                  <c:v>8.00380039215</c:v>
                </c:pt>
                <c:pt idx="104">
                  <c:v>7.93940019608</c:v>
                </c:pt>
                <c:pt idx="105">
                  <c:v>7.92089986801</c:v>
                </c:pt>
                <c:pt idx="106">
                  <c:v>7.86840009689</c:v>
                </c:pt>
                <c:pt idx="107">
                  <c:v>7.95260000229</c:v>
                </c:pt>
                <c:pt idx="108">
                  <c:v>7.87760019302</c:v>
                </c:pt>
                <c:pt idx="109">
                  <c:v>7.92740011215</c:v>
                </c:pt>
                <c:pt idx="110">
                  <c:v>8.10569953918</c:v>
                </c:pt>
                <c:pt idx="111">
                  <c:v>8.03090000153</c:v>
                </c:pt>
                <c:pt idx="112">
                  <c:v>7.98600006104</c:v>
                </c:pt>
                <c:pt idx="113">
                  <c:v>8.02820014954</c:v>
                </c:pt>
                <c:pt idx="114">
                  <c:v>8.04039955139</c:v>
                </c:pt>
                <c:pt idx="115">
                  <c:v>7.86689996719</c:v>
                </c:pt>
                <c:pt idx="116">
                  <c:v>7.86670017242</c:v>
                </c:pt>
                <c:pt idx="117">
                  <c:v>7.86670017242</c:v>
                </c:pt>
                <c:pt idx="118">
                  <c:v>8.01970005035</c:v>
                </c:pt>
                <c:pt idx="119">
                  <c:v>8.21150016785</c:v>
                </c:pt>
                <c:pt idx="120">
                  <c:v>8.22290039062</c:v>
                </c:pt>
                <c:pt idx="121">
                  <c:v>8.12549972534</c:v>
                </c:pt>
                <c:pt idx="122">
                  <c:v>8.08399963379</c:v>
                </c:pt>
                <c:pt idx="123">
                  <c:v>8.09720039368</c:v>
                </c:pt>
                <c:pt idx="124">
                  <c:v>8.05239963531</c:v>
                </c:pt>
                <c:pt idx="125">
                  <c:v>7.91249990463</c:v>
                </c:pt>
                <c:pt idx="126">
                  <c:v>7.89340019226</c:v>
                </c:pt>
                <c:pt idx="127">
                  <c:v>7.84679985046</c:v>
                </c:pt>
                <c:pt idx="128">
                  <c:v>7.92189979553</c:v>
                </c:pt>
                <c:pt idx="129">
                  <c:v>7.91340017319</c:v>
                </c:pt>
                <c:pt idx="130">
                  <c:v>7.90019989014</c:v>
                </c:pt>
                <c:pt idx="131">
                  <c:v>7.75330018997</c:v>
                </c:pt>
                <c:pt idx="132">
                  <c:v>7.48150014877</c:v>
                </c:pt>
                <c:pt idx="133">
                  <c:v>7.53910017014</c:v>
                </c:pt>
                <c:pt idx="134">
                  <c:v>7.49569988251</c:v>
                </c:pt>
                <c:pt idx="135">
                  <c:v>7.3326997757</c:v>
                </c:pt>
                <c:pt idx="136">
                  <c:v>7.51609992981</c:v>
                </c:pt>
                <c:pt idx="137">
                  <c:v>7.79769992828</c:v>
                </c:pt>
                <c:pt idx="138">
                  <c:v>7.99119997025</c:v>
                </c:pt>
                <c:pt idx="139">
                  <c:v>7.87279987335</c:v>
                </c:pt>
                <c:pt idx="140">
                  <c:v>7.93699979782</c:v>
                </c:pt>
                <c:pt idx="141">
                  <c:v>7.75699996948</c:v>
                </c:pt>
                <c:pt idx="142">
                  <c:v>7.67229986191</c:v>
                </c:pt>
                <c:pt idx="143">
                  <c:v>7.69439983368</c:v>
                </c:pt>
                <c:pt idx="144">
                  <c:v>7.6985001564</c:v>
                </c:pt>
                <c:pt idx="145">
                  <c:v>7.6861000061</c:v>
                </c:pt>
                <c:pt idx="146">
                  <c:v>7.98199987411</c:v>
                </c:pt>
                <c:pt idx="147">
                  <c:v>8.03719997406</c:v>
                </c:pt>
                <c:pt idx="148">
                  <c:v>7.94579982758</c:v>
                </c:pt>
                <c:pt idx="149">
                  <c:v>8.05480003357</c:v>
                </c:pt>
                <c:pt idx="150">
                  <c:v>8.10949993134</c:v>
                </c:pt>
                <c:pt idx="151">
                  <c:v>8.33329963684</c:v>
                </c:pt>
                <c:pt idx="152">
                  <c:v>8.48079967499</c:v>
                </c:pt>
                <c:pt idx="153">
                  <c:v>8.47399997711</c:v>
                </c:pt>
                <c:pt idx="154">
                  <c:v>8.40740013123</c:v>
                </c:pt>
                <c:pt idx="155">
                  <c:v>8.46459960938</c:v>
                </c:pt>
                <c:pt idx="156">
                  <c:v>8.32320022583</c:v>
                </c:pt>
                <c:pt idx="157">
                  <c:v>8.30469989777</c:v>
                </c:pt>
                <c:pt idx="158">
                  <c:v>8.32030010223</c:v>
                </c:pt>
                <c:pt idx="159">
                  <c:v>8.32719993591</c:v>
                </c:pt>
                <c:pt idx="160">
                  <c:v>8.13710021973</c:v>
                </c:pt>
                <c:pt idx="161">
                  <c:v>8.271900177</c:v>
                </c:pt>
                <c:pt idx="162">
                  <c:v>8.17140007019</c:v>
                </c:pt>
                <c:pt idx="163">
                  <c:v>8.23009967804</c:v>
                </c:pt>
                <c:pt idx="164">
                  <c:v>8.32719993591</c:v>
                </c:pt>
                <c:pt idx="165">
                  <c:v>8.55469989777</c:v>
                </c:pt>
                <c:pt idx="166">
                  <c:v>8.53789997101</c:v>
                </c:pt>
                <c:pt idx="167">
                  <c:v>8.44789981842</c:v>
                </c:pt>
                <c:pt idx="168">
                  <c:v>8.34109973907</c:v>
                </c:pt>
                <c:pt idx="169">
                  <c:v>8.34469985962</c:v>
                </c:pt>
                <c:pt idx="170">
                  <c:v>8.25189971924</c:v>
                </c:pt>
                <c:pt idx="171">
                  <c:v>8.49310016632</c:v>
                </c:pt>
                <c:pt idx="172">
                  <c:v>8.80500030518</c:v>
                </c:pt>
                <c:pt idx="173">
                  <c:v>8.61439990997</c:v>
                </c:pt>
                <c:pt idx="174">
                  <c:v>8.58780002594</c:v>
                </c:pt>
                <c:pt idx="175">
                  <c:v>8.65929985046</c:v>
                </c:pt>
                <c:pt idx="176">
                  <c:v>8.46399974823</c:v>
                </c:pt>
                <c:pt idx="177">
                  <c:v>8.42930030823</c:v>
                </c:pt>
                <c:pt idx="178">
                  <c:v>8.49079990387</c:v>
                </c:pt>
                <c:pt idx="179">
                  <c:v>8.49069976807</c:v>
                </c:pt>
                <c:pt idx="180">
                  <c:v>8.70079994202</c:v>
                </c:pt>
                <c:pt idx="181">
                  <c:v>8.62040042877</c:v>
                </c:pt>
                <c:pt idx="182">
                  <c:v>8.61569976807</c:v>
                </c:pt>
                <c:pt idx="183">
                  <c:v>8.65299987793</c:v>
                </c:pt>
                <c:pt idx="184">
                  <c:v>8.81439971924</c:v>
                </c:pt>
                <c:pt idx="185">
                  <c:v>8.79300022125</c:v>
                </c:pt>
                <c:pt idx="186">
                  <c:v>8.62390041351</c:v>
                </c:pt>
                <c:pt idx="187">
                  <c:v>8.58710002899</c:v>
                </c:pt>
                <c:pt idx="188">
                  <c:v>8.4404001236</c:v>
                </c:pt>
                <c:pt idx="189">
                  <c:v>8.44110012054</c:v>
                </c:pt>
                <c:pt idx="190">
                  <c:v>8.51259994507</c:v>
                </c:pt>
                <c:pt idx="191">
                  <c:v>8.46790027618</c:v>
                </c:pt>
                <c:pt idx="192">
                  <c:v>8.56970024109</c:v>
                </c:pt>
                <c:pt idx="193">
                  <c:v>8.69699954987</c:v>
                </c:pt>
                <c:pt idx="194">
                  <c:v>8.86579990387</c:v>
                </c:pt>
                <c:pt idx="195">
                  <c:v>8.89080047607</c:v>
                </c:pt>
                <c:pt idx="196">
                  <c:v>9.05510044098</c:v>
                </c:pt>
                <c:pt idx="197">
                  <c:v>9.10949993134</c:v>
                </c:pt>
                <c:pt idx="198">
                  <c:v>9.12520027161</c:v>
                </c:pt>
                <c:pt idx="199">
                  <c:v>9.46049976349</c:v>
                </c:pt>
                <c:pt idx="200">
                  <c:v>9.4344997406</c:v>
                </c:pt>
                <c:pt idx="201">
                  <c:v>9.3548002243</c:v>
                </c:pt>
                <c:pt idx="202">
                  <c:v>9.47340011597</c:v>
                </c:pt>
                <c:pt idx="203">
                  <c:v>9.72340011597</c:v>
                </c:pt>
                <c:pt idx="204">
                  <c:v>9.78750038147</c:v>
                </c:pt>
                <c:pt idx="205">
                  <c:v>9.76550006866</c:v>
                </c:pt>
                <c:pt idx="206">
                  <c:v>9.76550006866</c:v>
                </c:pt>
                <c:pt idx="207">
                  <c:v>9.94709968567</c:v>
                </c:pt>
                <c:pt idx="208">
                  <c:v>10.0394001007</c:v>
                </c:pt>
                <c:pt idx="209">
                  <c:v>10.081700325</c:v>
                </c:pt>
                <c:pt idx="210">
                  <c:v>9.89890003204</c:v>
                </c:pt>
                <c:pt idx="211">
                  <c:v>9.87409973145</c:v>
                </c:pt>
                <c:pt idx="212">
                  <c:v>9.68620014191</c:v>
                </c:pt>
                <c:pt idx="213">
                  <c:v>9.56879997253</c:v>
                </c:pt>
                <c:pt idx="214">
                  <c:v>9.67980003357</c:v>
                </c:pt>
                <c:pt idx="215">
                  <c:v>9.68980026245</c:v>
                </c:pt>
                <c:pt idx="216">
                  <c:v>9.54020023346</c:v>
                </c:pt>
                <c:pt idx="217">
                  <c:v>9.40900039673</c:v>
                </c:pt>
                <c:pt idx="218">
                  <c:v>9.33469963074</c:v>
                </c:pt>
                <c:pt idx="219">
                  <c:v>9.50389957428</c:v>
                </c:pt>
                <c:pt idx="220">
                  <c:v>9.50949954987</c:v>
                </c:pt>
                <c:pt idx="221">
                  <c:v>9.48610019684</c:v>
                </c:pt>
                <c:pt idx="222">
                  <c:v>9.51259994507</c:v>
                </c:pt>
                <c:pt idx="223">
                  <c:v>9.47109985352</c:v>
                </c:pt>
                <c:pt idx="224">
                  <c:v>9.35919952393</c:v>
                </c:pt>
                <c:pt idx="225">
                  <c:v>9.26189994812</c:v>
                </c:pt>
                <c:pt idx="226">
                  <c:v>9.33370018005</c:v>
                </c:pt>
                <c:pt idx="227">
                  <c:v>9.2734003067</c:v>
                </c:pt>
                <c:pt idx="228">
                  <c:v>9.25459957123</c:v>
                </c:pt>
                <c:pt idx="229">
                  <c:v>9.24090003967</c:v>
                </c:pt>
                <c:pt idx="230">
                  <c:v>9.51360034943</c:v>
                </c:pt>
                <c:pt idx="231">
                  <c:v>9.49489974976</c:v>
                </c:pt>
                <c:pt idx="232">
                  <c:v>9.33650016785</c:v>
                </c:pt>
                <c:pt idx="233">
                  <c:v>9.34640026093</c:v>
                </c:pt>
                <c:pt idx="234">
                  <c:v>9.37409973145</c:v>
                </c:pt>
                <c:pt idx="235">
                  <c:v>9.38539981842</c:v>
                </c:pt>
                <c:pt idx="236">
                  <c:v>9.1844997406</c:v>
                </c:pt>
                <c:pt idx="237">
                  <c:v>9.22999954224</c:v>
                </c:pt>
                <c:pt idx="238">
                  <c:v>9.22999954224</c:v>
                </c:pt>
                <c:pt idx="239">
                  <c:v>9.28470039368</c:v>
                </c:pt>
                <c:pt idx="240">
                  <c:v>9.36880016327</c:v>
                </c:pt>
                <c:pt idx="241">
                  <c:v>9.40789985657</c:v>
                </c:pt>
                <c:pt idx="242">
                  <c:v>9.28680038452</c:v>
                </c:pt>
                <c:pt idx="243">
                  <c:v>9.13129997253</c:v>
                </c:pt>
                <c:pt idx="244">
                  <c:v>9.12380027771</c:v>
                </c:pt>
                <c:pt idx="245">
                  <c:v>9.07120037079</c:v>
                </c:pt>
                <c:pt idx="246">
                  <c:v>9.23139953613</c:v>
                </c:pt>
                <c:pt idx="247">
                  <c:v>9.44219970703</c:v>
                </c:pt>
                <c:pt idx="248">
                  <c:v>9.31130027771</c:v>
                </c:pt>
                <c:pt idx="249">
                  <c:v>9.16020011902</c:v>
                </c:pt>
                <c:pt idx="250">
                  <c:v>9.1016998291</c:v>
                </c:pt>
                <c:pt idx="251">
                  <c:v>9.12749958038</c:v>
                </c:pt>
                <c:pt idx="252">
                  <c:v>8.92249965668</c:v>
                </c:pt>
                <c:pt idx="253">
                  <c:v>9.02509975433</c:v>
                </c:pt>
                <c:pt idx="254">
                  <c:v>8.95079994202</c:v>
                </c:pt>
                <c:pt idx="255">
                  <c:v>8.90569972992</c:v>
                </c:pt>
                <c:pt idx="256">
                  <c:v>8.73929977417</c:v>
                </c:pt>
                <c:pt idx="257">
                  <c:v>8.73400020599</c:v>
                </c:pt>
                <c:pt idx="258">
                  <c:v>8.83469963074</c:v>
                </c:pt>
                <c:pt idx="259">
                  <c:v>8.70750045776</c:v>
                </c:pt>
                <c:pt idx="260">
                  <c:v>8.8780002594</c:v>
                </c:pt>
                <c:pt idx="261">
                  <c:v>8.86439990997</c:v>
                </c:pt>
                <c:pt idx="262">
                  <c:v>8.71990013123</c:v>
                </c:pt>
                <c:pt idx="263">
                  <c:v>8.56019973755</c:v>
                </c:pt>
                <c:pt idx="264">
                  <c:v>8.52610015869</c:v>
                </c:pt>
                <c:pt idx="265">
                  <c:v>8.65709972382</c:v>
                </c:pt>
                <c:pt idx="266">
                  <c:v>8.67350006104</c:v>
                </c:pt>
                <c:pt idx="267">
                  <c:v>8.76690006256</c:v>
                </c:pt>
                <c:pt idx="268">
                  <c:v>8.79440021515</c:v>
                </c:pt>
                <c:pt idx="269">
                  <c:v>8.8169002533</c:v>
                </c:pt>
                <c:pt idx="270">
                  <c:v>8.72229957581</c:v>
                </c:pt>
                <c:pt idx="271">
                  <c:v>8.74670028687</c:v>
                </c:pt>
                <c:pt idx="272">
                  <c:v>8.86460018158</c:v>
                </c:pt>
                <c:pt idx="273">
                  <c:v>8.92840003967</c:v>
                </c:pt>
                <c:pt idx="274">
                  <c:v>8.88869953156</c:v>
                </c:pt>
                <c:pt idx="275">
                  <c:v>8.81750011444</c:v>
                </c:pt>
                <c:pt idx="276">
                  <c:v>8.89159965515</c:v>
                </c:pt>
                <c:pt idx="277">
                  <c:v>8.88300037384</c:v>
                </c:pt>
                <c:pt idx="278">
                  <c:v>8.95160007477</c:v>
                </c:pt>
                <c:pt idx="279">
                  <c:v>9.00979995728</c:v>
                </c:pt>
                <c:pt idx="280">
                  <c:v>8.88039970398</c:v>
                </c:pt>
                <c:pt idx="281">
                  <c:v>8.88689994812</c:v>
                </c:pt>
                <c:pt idx="282">
                  <c:v>8.99359989166</c:v>
                </c:pt>
                <c:pt idx="283">
                  <c:v>8.84230041504</c:v>
                </c:pt>
                <c:pt idx="284">
                  <c:v>8.79920005798</c:v>
                </c:pt>
                <c:pt idx="285">
                  <c:v>8.67459964752</c:v>
                </c:pt>
                <c:pt idx="286">
                  <c:v>8.64799976349</c:v>
                </c:pt>
                <c:pt idx="287">
                  <c:v>8.64789962769</c:v>
                </c:pt>
                <c:pt idx="288">
                  <c:v>8.49059963226</c:v>
                </c:pt>
                <c:pt idx="289">
                  <c:v>8.49030017853</c:v>
                </c:pt>
                <c:pt idx="290">
                  <c:v>8.41639995575</c:v>
                </c:pt>
                <c:pt idx="291">
                  <c:v>8.4593000412</c:v>
                </c:pt>
                <c:pt idx="292">
                  <c:v>8.53639984131</c:v>
                </c:pt>
                <c:pt idx="293">
                  <c:v>8.67430019379</c:v>
                </c:pt>
                <c:pt idx="294">
                  <c:v>8.82100009918</c:v>
                </c:pt>
                <c:pt idx="295">
                  <c:v>8.92710018158</c:v>
                </c:pt>
                <c:pt idx="296">
                  <c:v>8.93959999084</c:v>
                </c:pt>
                <c:pt idx="297">
                  <c:v>9.3329000473</c:v>
                </c:pt>
                <c:pt idx="298">
                  <c:v>9.41979980469</c:v>
                </c:pt>
                <c:pt idx="299">
                  <c:v>9.80599975586</c:v>
                </c:pt>
                <c:pt idx="300">
                  <c:v>10.0743999481</c:v>
                </c:pt>
                <c:pt idx="301">
                  <c:v>10.2756996155</c:v>
                </c:pt>
                <c:pt idx="302">
                  <c:v>10.169500351</c:v>
                </c:pt>
                <c:pt idx="303">
                  <c:v>9.98740005493</c:v>
                </c:pt>
                <c:pt idx="304">
                  <c:v>10.2861995697</c:v>
                </c:pt>
                <c:pt idx="305">
                  <c:v>10.2861003876</c:v>
                </c:pt>
                <c:pt idx="306">
                  <c:v>10.2623996735</c:v>
                </c:pt>
                <c:pt idx="307">
                  <c:v>9.90369987488</c:v>
                </c:pt>
                <c:pt idx="308">
                  <c:v>9.89130020142</c:v>
                </c:pt>
                <c:pt idx="309">
                  <c:v>9.77789974213</c:v>
                </c:pt>
                <c:pt idx="310">
                  <c:v>10.0943002701</c:v>
                </c:pt>
                <c:pt idx="311">
                  <c:v>9.82629966736</c:v>
                </c:pt>
                <c:pt idx="312">
                  <c:v>9.82820034027</c:v>
                </c:pt>
                <c:pt idx="313">
                  <c:v>9.93000030518</c:v>
                </c:pt>
                <c:pt idx="314">
                  <c:v>9.81750011444</c:v>
                </c:pt>
                <c:pt idx="315">
                  <c:v>9.83390045166</c:v>
                </c:pt>
                <c:pt idx="316">
                  <c:v>9.84119987488</c:v>
                </c:pt>
                <c:pt idx="317">
                  <c:v>9.84270000458</c:v>
                </c:pt>
                <c:pt idx="318">
                  <c:v>9.33160018921</c:v>
                </c:pt>
                <c:pt idx="319">
                  <c:v>9.30780029297</c:v>
                </c:pt>
                <c:pt idx="320">
                  <c:v>9.40950012207</c:v>
                </c:pt>
                <c:pt idx="321">
                  <c:v>9.43560028076</c:v>
                </c:pt>
                <c:pt idx="322">
                  <c:v>9.63189983368</c:v>
                </c:pt>
                <c:pt idx="323">
                  <c:v>9.41839981079</c:v>
                </c:pt>
                <c:pt idx="324">
                  <c:v>9.60560035706</c:v>
                </c:pt>
                <c:pt idx="325">
                  <c:v>9.49009990692</c:v>
                </c:pt>
                <c:pt idx="326">
                  <c:v>9.34609985352</c:v>
                </c:pt>
                <c:pt idx="327">
                  <c:v>9.1017999649</c:v>
                </c:pt>
                <c:pt idx="328">
                  <c:v>9.03479957581</c:v>
                </c:pt>
                <c:pt idx="329">
                  <c:v>8.8718996048</c:v>
                </c:pt>
                <c:pt idx="330">
                  <c:v>8.8343000412</c:v>
                </c:pt>
                <c:pt idx="331">
                  <c:v>8.92090034485</c:v>
                </c:pt>
                <c:pt idx="332">
                  <c:v>8.94859981537</c:v>
                </c:pt>
                <c:pt idx="333">
                  <c:v>8.96389961243</c:v>
                </c:pt>
                <c:pt idx="334">
                  <c:v>8.90890026093</c:v>
                </c:pt>
                <c:pt idx="335">
                  <c:v>8.74390029907</c:v>
                </c:pt>
                <c:pt idx="336">
                  <c:v>8.71179962158</c:v>
                </c:pt>
                <c:pt idx="337">
                  <c:v>8.71059989929</c:v>
                </c:pt>
                <c:pt idx="338">
                  <c:v>8.88129997253</c:v>
                </c:pt>
                <c:pt idx="339">
                  <c:v>8.77210044861</c:v>
                </c:pt>
                <c:pt idx="340">
                  <c:v>8.77680015564</c:v>
                </c:pt>
                <c:pt idx="341">
                  <c:v>8.84389972687</c:v>
                </c:pt>
                <c:pt idx="342">
                  <c:v>8.95170021057</c:v>
                </c:pt>
                <c:pt idx="343">
                  <c:v>8.97249984741</c:v>
                </c:pt>
                <c:pt idx="344">
                  <c:v>8.90740013123</c:v>
                </c:pt>
                <c:pt idx="345">
                  <c:v>9.04129981995</c:v>
                </c:pt>
                <c:pt idx="346">
                  <c:v>9.25940036774</c:v>
                </c:pt>
                <c:pt idx="347">
                  <c:v>9.19099998474</c:v>
                </c:pt>
                <c:pt idx="348">
                  <c:v>9.14200019836</c:v>
                </c:pt>
                <c:pt idx="349">
                  <c:v>9.25360012054</c:v>
                </c:pt>
                <c:pt idx="350">
                  <c:v>9.06000041962</c:v>
                </c:pt>
                <c:pt idx="351">
                  <c:v>9.01039981842</c:v>
                </c:pt>
                <c:pt idx="352">
                  <c:v>8.97089958191</c:v>
                </c:pt>
                <c:pt idx="353">
                  <c:v>9.04599952698</c:v>
                </c:pt>
                <c:pt idx="354">
                  <c:v>9.01169967651</c:v>
                </c:pt>
                <c:pt idx="355">
                  <c:v>9.00189971924</c:v>
                </c:pt>
                <c:pt idx="356">
                  <c:v>9.09430027008</c:v>
                </c:pt>
                <c:pt idx="357">
                  <c:v>9.19139957428</c:v>
                </c:pt>
                <c:pt idx="358">
                  <c:v>9.19139957428</c:v>
                </c:pt>
                <c:pt idx="359">
                  <c:v>9.19120025635</c:v>
                </c:pt>
                <c:pt idx="360">
                  <c:v>9.17910003662</c:v>
                </c:pt>
                <c:pt idx="361">
                  <c:v>9.15489959717</c:v>
                </c:pt>
                <c:pt idx="362">
                  <c:v>9.17640018463</c:v>
                </c:pt>
                <c:pt idx="363">
                  <c:v>8.9563999176</c:v>
                </c:pt>
                <c:pt idx="364">
                  <c:v>9.00249958038</c:v>
                </c:pt>
                <c:pt idx="365">
                  <c:v>8.97249984741</c:v>
                </c:pt>
                <c:pt idx="366">
                  <c:v>8.8547000885</c:v>
                </c:pt>
                <c:pt idx="367">
                  <c:v>8.79119968414</c:v>
                </c:pt>
                <c:pt idx="368">
                  <c:v>8.77649974823</c:v>
                </c:pt>
                <c:pt idx="369">
                  <c:v>8.69909954071</c:v>
                </c:pt>
                <c:pt idx="370">
                  <c:v>8.63840007782</c:v>
                </c:pt>
                <c:pt idx="371">
                  <c:v>8.78260040283</c:v>
                </c:pt>
                <c:pt idx="372">
                  <c:v>8.82019996643</c:v>
                </c:pt>
                <c:pt idx="373">
                  <c:v>8.91819953918</c:v>
                </c:pt>
                <c:pt idx="374">
                  <c:v>8.91689968109</c:v>
                </c:pt>
                <c:pt idx="375">
                  <c:v>9.04319953918</c:v>
                </c:pt>
                <c:pt idx="376">
                  <c:v>9.10249996185</c:v>
                </c:pt>
                <c:pt idx="377">
                  <c:v>8.96469974518</c:v>
                </c:pt>
                <c:pt idx="378">
                  <c:v>8.95139980316</c:v>
                </c:pt>
                <c:pt idx="379">
                  <c:v>9.12180042267</c:v>
                </c:pt>
                <c:pt idx="380">
                  <c:v>9.19909954071</c:v>
                </c:pt>
                <c:pt idx="381">
                  <c:v>9.33640003204</c:v>
                </c:pt>
                <c:pt idx="382">
                  <c:v>9.46570014954</c:v>
                </c:pt>
                <c:pt idx="383">
                  <c:v>9.54189968109</c:v>
                </c:pt>
                <c:pt idx="384">
                  <c:v>9.69439983368</c:v>
                </c:pt>
                <c:pt idx="385">
                  <c:v>9.60029983521</c:v>
                </c:pt>
                <c:pt idx="386">
                  <c:v>9.85960006714</c:v>
                </c:pt>
                <c:pt idx="387">
                  <c:v>9.8109998703</c:v>
                </c:pt>
                <c:pt idx="388">
                  <c:v>10.1511001587</c:v>
                </c:pt>
                <c:pt idx="389">
                  <c:v>10.1612997055</c:v>
                </c:pt>
                <c:pt idx="390">
                  <c:v>10.2795000076</c:v>
                </c:pt>
                <c:pt idx="391">
                  <c:v>10.2403001785</c:v>
                </c:pt>
                <c:pt idx="392">
                  <c:v>10</c:v>
                </c:pt>
                <c:pt idx="393">
                  <c:v>10.3283996582</c:v>
                </c:pt>
                <c:pt idx="394">
                  <c:v>10.2404003143</c:v>
                </c:pt>
                <c:pt idx="395">
                  <c:v>10.0873003006</c:v>
                </c:pt>
                <c:pt idx="396">
                  <c:v>10.3572998047</c:v>
                </c:pt>
                <c:pt idx="397">
                  <c:v>10.3263998032</c:v>
                </c:pt>
                <c:pt idx="398">
                  <c:v>10.0327997208</c:v>
                </c:pt>
                <c:pt idx="399">
                  <c:v>10.0708999634</c:v>
                </c:pt>
                <c:pt idx="400">
                  <c:v>10.0504999161</c:v>
                </c:pt>
                <c:pt idx="401">
                  <c:v>10.3200998306</c:v>
                </c:pt>
                <c:pt idx="402">
                  <c:v>10.5966997147</c:v>
                </c:pt>
                <c:pt idx="403">
                  <c:v>10.5509004593</c:v>
                </c:pt>
                <c:pt idx="404">
                  <c:v>10.3804998398</c:v>
                </c:pt>
                <c:pt idx="405">
                  <c:v>10.4013004303</c:v>
                </c:pt>
                <c:pt idx="406">
                  <c:v>10.3354997635</c:v>
                </c:pt>
                <c:pt idx="407">
                  <c:v>10.2645998001</c:v>
                </c:pt>
                <c:pt idx="408">
                  <c:v>10.4361000061</c:v>
                </c:pt>
                <c:pt idx="409">
                  <c:v>10.4966001511</c:v>
                </c:pt>
                <c:pt idx="410">
                  <c:v>10.7517004013</c:v>
                </c:pt>
                <c:pt idx="411">
                  <c:v>10.6603002548</c:v>
                </c:pt>
                <c:pt idx="412">
                  <c:v>10.4593000412</c:v>
                </c:pt>
                <c:pt idx="413">
                  <c:v>10.2469997406</c:v>
                </c:pt>
                <c:pt idx="414">
                  <c:v>10.3246002197</c:v>
                </c:pt>
                <c:pt idx="415">
                  <c:v>10.1141996384</c:v>
                </c:pt>
                <c:pt idx="416">
                  <c:v>10.2593002319</c:v>
                </c:pt>
                <c:pt idx="417">
                  <c:v>10.3420000076</c:v>
                </c:pt>
                <c:pt idx="418">
                  <c:v>10.343000412</c:v>
                </c:pt>
                <c:pt idx="419">
                  <c:v>10.2862997055</c:v>
                </c:pt>
                <c:pt idx="420">
                  <c:v>10.3385000229</c:v>
                </c:pt>
                <c:pt idx="421">
                  <c:v>10.3432998657</c:v>
                </c:pt>
                <c:pt idx="422">
                  <c:v>10.1892995834</c:v>
                </c:pt>
                <c:pt idx="423">
                  <c:v>8.90550041199</c:v>
                </c:pt>
                <c:pt idx="424">
                  <c:v>9.04109954834</c:v>
                </c:pt>
                <c:pt idx="425">
                  <c:v>9.07719993591</c:v>
                </c:pt>
                <c:pt idx="426">
                  <c:v>9.24650001526</c:v>
                </c:pt>
                <c:pt idx="427">
                  <c:v>9.36779975891</c:v>
                </c:pt>
                <c:pt idx="428">
                  <c:v>9.58199977875</c:v>
                </c:pt>
                <c:pt idx="429">
                  <c:v>9.60919952393</c:v>
                </c:pt>
                <c:pt idx="430">
                  <c:v>9.45460033417</c:v>
                </c:pt>
                <c:pt idx="431">
                  <c:v>9.60070037842</c:v>
                </c:pt>
                <c:pt idx="432">
                  <c:v>9.60070037842</c:v>
                </c:pt>
                <c:pt idx="433">
                  <c:v>9.60070037842</c:v>
                </c:pt>
                <c:pt idx="434">
                  <c:v>9.67210006714</c:v>
                </c:pt>
                <c:pt idx="435">
                  <c:v>9.85219955444</c:v>
                </c:pt>
                <c:pt idx="436">
                  <c:v>9.78969955444</c:v>
                </c:pt>
                <c:pt idx="437">
                  <c:v>9.85999965668</c:v>
                </c:pt>
                <c:pt idx="438">
                  <c:v>9.8705997467</c:v>
                </c:pt>
                <c:pt idx="439">
                  <c:v>9.92259979248</c:v>
                </c:pt>
                <c:pt idx="440">
                  <c:v>9.9390001297</c:v>
                </c:pt>
                <c:pt idx="441">
                  <c:v>10.1611995697</c:v>
                </c:pt>
                <c:pt idx="442">
                  <c:v>10.1696996689</c:v>
                </c:pt>
                <c:pt idx="443">
                  <c:v>10.2131004333</c:v>
                </c:pt>
                <c:pt idx="444">
                  <c:v>10.2468004227</c:v>
                </c:pt>
                <c:pt idx="445">
                  <c:v>10.5628995895</c:v>
                </c:pt>
                <c:pt idx="446">
                  <c:v>10.3870000839</c:v>
                </c:pt>
                <c:pt idx="447">
                  <c:v>10.6000995636</c:v>
                </c:pt>
                <c:pt idx="448">
                  <c:v>10.4715995789</c:v>
                </c:pt>
                <c:pt idx="449">
                  <c:v>10.42029953</c:v>
                </c:pt>
                <c:pt idx="450">
                  <c:v>10.4138002396</c:v>
                </c:pt>
                <c:pt idx="451">
                  <c:v>10.5528001785</c:v>
                </c:pt>
                <c:pt idx="452">
                  <c:v>10.6183004379</c:v>
                </c:pt>
                <c:pt idx="453">
                  <c:v>10.5107002258</c:v>
                </c:pt>
                <c:pt idx="454">
                  <c:v>10.543800354</c:v>
                </c:pt>
                <c:pt idx="455">
                  <c:v>10.4193000793</c:v>
                </c:pt>
                <c:pt idx="456">
                  <c:v>10.4525995255</c:v>
                </c:pt>
                <c:pt idx="457">
                  <c:v>10.4172000885</c:v>
                </c:pt>
                <c:pt idx="458">
                  <c:v>10.5206003189</c:v>
                </c:pt>
                <c:pt idx="459">
                  <c:v>10.3743000031</c:v>
                </c:pt>
                <c:pt idx="460">
                  <c:v>10.4863004684</c:v>
                </c:pt>
                <c:pt idx="461">
                  <c:v>10.5474004745</c:v>
                </c:pt>
                <c:pt idx="462">
                  <c:v>10.6430997849</c:v>
                </c:pt>
                <c:pt idx="463">
                  <c:v>10.6017999649</c:v>
                </c:pt>
                <c:pt idx="464">
                  <c:v>10.7650995255</c:v>
                </c:pt>
                <c:pt idx="465">
                  <c:v>10.638299942</c:v>
                </c:pt>
                <c:pt idx="466">
                  <c:v>10.7503004074</c:v>
                </c:pt>
                <c:pt idx="467">
                  <c:v>10.636300087</c:v>
                </c:pt>
                <c:pt idx="468">
                  <c:v>10.598400116</c:v>
                </c:pt>
                <c:pt idx="469">
                  <c:v>10.6700000763</c:v>
                </c:pt>
                <c:pt idx="470">
                  <c:v>10.6651000977</c:v>
                </c:pt>
                <c:pt idx="471">
                  <c:v>10.5601997375</c:v>
                </c:pt>
                <c:pt idx="472">
                  <c:v>10.3540000916</c:v>
                </c:pt>
                <c:pt idx="473">
                  <c:v>10.4853000641</c:v>
                </c:pt>
                <c:pt idx="474">
                  <c:v>10.5448999405</c:v>
                </c:pt>
                <c:pt idx="475">
                  <c:v>10.7615003586</c:v>
                </c:pt>
                <c:pt idx="476">
                  <c:v>10.8901996613</c:v>
                </c:pt>
                <c:pt idx="477">
                  <c:v>10.8306999207</c:v>
                </c:pt>
                <c:pt idx="478">
                  <c:v>10.7846002579</c:v>
                </c:pt>
                <c:pt idx="479">
                  <c:v>10.6827001572</c:v>
                </c:pt>
                <c:pt idx="480">
                  <c:v>10.6827001572</c:v>
                </c:pt>
                <c:pt idx="481">
                  <c:v>10.7653999329</c:v>
                </c:pt>
                <c:pt idx="482">
                  <c:v>10.6920003891</c:v>
                </c:pt>
                <c:pt idx="483">
                  <c:v>10.6463003159</c:v>
                </c:pt>
                <c:pt idx="484">
                  <c:v>10.6403999329</c:v>
                </c:pt>
                <c:pt idx="485">
                  <c:v>10.7312002182</c:v>
                </c:pt>
                <c:pt idx="486">
                  <c:v>10.6291999817</c:v>
                </c:pt>
                <c:pt idx="487">
                  <c:v>10.7163000107</c:v>
                </c:pt>
                <c:pt idx="488">
                  <c:v>10.7470998764</c:v>
                </c:pt>
                <c:pt idx="489">
                  <c:v>10.79529953</c:v>
                </c:pt>
                <c:pt idx="490">
                  <c:v>10.9378004074</c:v>
                </c:pt>
                <c:pt idx="491">
                  <c:v>10.9186000824</c:v>
                </c:pt>
                <c:pt idx="492">
                  <c:v>10.8950004578</c:v>
                </c:pt>
                <c:pt idx="493">
                  <c:v>11.0360002518</c:v>
                </c:pt>
                <c:pt idx="494">
                  <c:v>11.1141004562</c:v>
                </c:pt>
                <c:pt idx="495">
                  <c:v>11.1772003174</c:v>
                </c:pt>
                <c:pt idx="496">
                  <c:v>11.3685998917</c:v>
                </c:pt>
                <c:pt idx="497">
                  <c:v>11.4200000763</c:v>
                </c:pt>
                <c:pt idx="498">
                  <c:v>11.3149995804</c:v>
                </c:pt>
                <c:pt idx="499">
                  <c:v>11.361700058</c:v>
                </c:pt>
                <c:pt idx="500">
                  <c:v>11.4905996323</c:v>
                </c:pt>
                <c:pt idx="501">
                  <c:v>11.4448003769</c:v>
                </c:pt>
                <c:pt idx="502">
                  <c:v>11.2616996765</c:v>
                </c:pt>
                <c:pt idx="503">
                  <c:v>11.126999855</c:v>
                </c:pt>
                <c:pt idx="504">
                  <c:v>11.236000061</c:v>
                </c:pt>
                <c:pt idx="505">
                  <c:v>11.3227996826</c:v>
                </c:pt>
                <c:pt idx="506">
                  <c:v>11.3402996063</c:v>
                </c:pt>
                <c:pt idx="507">
                  <c:v>11.4125003815</c:v>
                </c:pt>
                <c:pt idx="508">
                  <c:v>11.331199646</c:v>
                </c:pt>
                <c:pt idx="509">
                  <c:v>11.3338003159</c:v>
                </c:pt>
                <c:pt idx="510">
                  <c:v>11.375</c:v>
                </c:pt>
                <c:pt idx="511">
                  <c:v>11.6028995514</c:v>
                </c:pt>
                <c:pt idx="512">
                  <c:v>11.6359996796</c:v>
                </c:pt>
                <c:pt idx="513">
                  <c:v>11.5213003159</c:v>
                </c:pt>
                <c:pt idx="514">
                  <c:v>11.4625997543</c:v>
                </c:pt>
                <c:pt idx="515">
                  <c:v>11.4147996902</c:v>
                </c:pt>
                <c:pt idx="516">
                  <c:v>11.4204998016</c:v>
                </c:pt>
                <c:pt idx="517">
                  <c:v>11.4628000259</c:v>
                </c:pt>
                <c:pt idx="518">
                  <c:v>11.5446996689</c:v>
                </c:pt>
                <c:pt idx="519">
                  <c:v>11.7452001572</c:v>
                </c:pt>
                <c:pt idx="520">
                  <c:v>11.5920000076</c:v>
                </c:pt>
                <c:pt idx="521">
                  <c:v>11.5193996429</c:v>
                </c:pt>
                <c:pt idx="522">
                  <c:v>11.4580001831</c:v>
                </c:pt>
                <c:pt idx="523">
                  <c:v>11.3573999405</c:v>
                </c:pt>
                <c:pt idx="524">
                  <c:v>11.5591001511</c:v>
                </c:pt>
                <c:pt idx="525">
                  <c:v>11.5310001373</c:v>
                </c:pt>
                <c:pt idx="526">
                  <c:v>11.468000412</c:v>
                </c:pt>
                <c:pt idx="527">
                  <c:v>11.3303003311</c:v>
                </c:pt>
                <c:pt idx="528">
                  <c:v>11.4968996048</c:v>
                </c:pt>
                <c:pt idx="529">
                  <c:v>11.7215003967</c:v>
                </c:pt>
                <c:pt idx="530">
                  <c:v>11.8421001434</c:v>
                </c:pt>
                <c:pt idx="531">
                  <c:v>11.9688997269</c:v>
                </c:pt>
                <c:pt idx="532">
                  <c:v>11.9260997772</c:v>
                </c:pt>
                <c:pt idx="533">
                  <c:v>12.0367002487</c:v>
                </c:pt>
                <c:pt idx="534">
                  <c:v>12.0509996414</c:v>
                </c:pt>
                <c:pt idx="535">
                  <c:v>12.0284996033</c:v>
                </c:pt>
                <c:pt idx="536">
                  <c:v>12.2189998627</c:v>
                </c:pt>
                <c:pt idx="537">
                  <c:v>12.029299736</c:v>
                </c:pt>
                <c:pt idx="538">
                  <c:v>12.0401000977</c:v>
                </c:pt>
                <c:pt idx="539">
                  <c:v>11.9247999191</c:v>
                </c:pt>
                <c:pt idx="540">
                  <c:v>11.8520002365</c:v>
                </c:pt>
                <c:pt idx="541">
                  <c:v>11.9947004318</c:v>
                </c:pt>
                <c:pt idx="542">
                  <c:v>11.9497003555</c:v>
                </c:pt>
                <c:pt idx="543">
                  <c:v>11.8354997635</c:v>
                </c:pt>
                <c:pt idx="544">
                  <c:v>12.0550003052</c:v>
                </c:pt>
                <c:pt idx="545">
                  <c:v>12.1282997131</c:v>
                </c:pt>
                <c:pt idx="546">
                  <c:v>12.1408004761</c:v>
                </c:pt>
                <c:pt idx="547">
                  <c:v>11.9517002106</c:v>
                </c:pt>
                <c:pt idx="548">
                  <c:v>11.8069000244</c:v>
                </c:pt>
                <c:pt idx="549">
                  <c:v>11.6400995255</c:v>
                </c:pt>
                <c:pt idx="550">
                  <c:v>11.8368997574</c:v>
                </c:pt>
                <c:pt idx="551">
                  <c:v>11.866399765</c:v>
                </c:pt>
                <c:pt idx="552">
                  <c:v>11.5927000046</c:v>
                </c:pt>
                <c:pt idx="553">
                  <c:v>11.8573999405</c:v>
                </c:pt>
                <c:pt idx="554">
                  <c:v>11.9351997375</c:v>
                </c:pt>
                <c:pt idx="555">
                  <c:v>11.8378000259</c:v>
                </c:pt>
                <c:pt idx="556">
                  <c:v>11.9385995865</c:v>
                </c:pt>
                <c:pt idx="557">
                  <c:v>12.0383996964</c:v>
                </c:pt>
                <c:pt idx="558">
                  <c:v>12.1625995636</c:v>
                </c:pt>
                <c:pt idx="559">
                  <c:v>12.0536003113</c:v>
                </c:pt>
                <c:pt idx="560">
                  <c:v>12.0559997559</c:v>
                </c:pt>
                <c:pt idx="561">
                  <c:v>11.8308000565</c:v>
                </c:pt>
                <c:pt idx="562">
                  <c:v>11.6579999924</c:v>
                </c:pt>
                <c:pt idx="563">
                  <c:v>11.7638998032</c:v>
                </c:pt>
                <c:pt idx="564">
                  <c:v>11.7129001617</c:v>
                </c:pt>
                <c:pt idx="565">
                  <c:v>11.7048997879</c:v>
                </c:pt>
                <c:pt idx="566">
                  <c:v>11.9483003616</c:v>
                </c:pt>
                <c:pt idx="567">
                  <c:v>11.8691997528</c:v>
                </c:pt>
                <c:pt idx="568">
                  <c:v>12.0767002106</c:v>
                </c:pt>
                <c:pt idx="569">
                  <c:v>12.094499588</c:v>
                </c:pt>
                <c:pt idx="570">
                  <c:v>12.2180995941</c:v>
                </c:pt>
                <c:pt idx="571">
                  <c:v>12.2540998459</c:v>
                </c:pt>
                <c:pt idx="572">
                  <c:v>12.0513000488</c:v>
                </c:pt>
                <c:pt idx="573">
                  <c:v>11.9644002914</c:v>
                </c:pt>
                <c:pt idx="574">
                  <c:v>11.7571001053</c:v>
                </c:pt>
                <c:pt idx="575">
                  <c:v>11.7510004044</c:v>
                </c:pt>
                <c:pt idx="576">
                  <c:v>11.7468996048</c:v>
                </c:pt>
                <c:pt idx="577">
                  <c:v>11.4819002151</c:v>
                </c:pt>
                <c:pt idx="578">
                  <c:v>11.6806001663</c:v>
                </c:pt>
                <c:pt idx="579">
                  <c:v>11.8360004425</c:v>
                </c:pt>
                <c:pt idx="580">
                  <c:v>11.837100029</c:v>
                </c:pt>
                <c:pt idx="581">
                  <c:v>11.8278999329</c:v>
                </c:pt>
                <c:pt idx="582">
                  <c:v>11.890999794</c:v>
                </c:pt>
                <c:pt idx="583">
                  <c:v>11.9933004379</c:v>
                </c:pt>
                <c:pt idx="584">
                  <c:v>12.0240001678</c:v>
                </c:pt>
                <c:pt idx="585">
                  <c:v>11.8704996109</c:v>
                </c:pt>
                <c:pt idx="586">
                  <c:v>11.9350996017</c:v>
                </c:pt>
                <c:pt idx="587">
                  <c:v>12.0178003311</c:v>
                </c:pt>
                <c:pt idx="588">
                  <c:v>11.8884000778</c:v>
                </c:pt>
                <c:pt idx="589">
                  <c:v>11.7398996353</c:v>
                </c:pt>
                <c:pt idx="590">
                  <c:v>11.7490997314</c:v>
                </c:pt>
                <c:pt idx="591">
                  <c:v>11.7354001999</c:v>
                </c:pt>
                <c:pt idx="592">
                  <c:v>11.9273004532</c:v>
                </c:pt>
                <c:pt idx="593">
                  <c:v>11.7631998062</c:v>
                </c:pt>
                <c:pt idx="594">
                  <c:v>11.5767002106</c:v>
                </c:pt>
                <c:pt idx="595">
                  <c:v>11.6758003235</c:v>
                </c:pt>
                <c:pt idx="596">
                  <c:v>11.6998996735</c:v>
                </c:pt>
                <c:pt idx="597">
                  <c:v>11.7812995911</c:v>
                </c:pt>
                <c:pt idx="598">
                  <c:v>11.8276996613</c:v>
                </c:pt>
                <c:pt idx="599">
                  <c:v>11.8014001846</c:v>
                </c:pt>
                <c:pt idx="600">
                  <c:v>11.8099002838</c:v>
                </c:pt>
                <c:pt idx="601">
                  <c:v>11.8099002838</c:v>
                </c:pt>
                <c:pt idx="602">
                  <c:v>11.8099002838</c:v>
                </c:pt>
                <c:pt idx="603">
                  <c:v>11.742099762</c:v>
                </c:pt>
                <c:pt idx="604">
                  <c:v>11.8563995361</c:v>
                </c:pt>
                <c:pt idx="605">
                  <c:v>11.7651996613</c:v>
                </c:pt>
                <c:pt idx="606">
                  <c:v>12.042599678</c:v>
                </c:pt>
                <c:pt idx="607">
                  <c:v>12.1971998215</c:v>
                </c:pt>
                <c:pt idx="608">
                  <c:v>12.0804004669</c:v>
                </c:pt>
                <c:pt idx="609">
                  <c:v>11.956199646</c:v>
                </c:pt>
                <c:pt idx="610">
                  <c:v>11.992600441</c:v>
                </c:pt>
                <c:pt idx="611">
                  <c:v>12.151599884</c:v>
                </c:pt>
                <c:pt idx="612">
                  <c:v>12.2658996582</c:v>
                </c:pt>
                <c:pt idx="613">
                  <c:v>12.3308000565</c:v>
                </c:pt>
                <c:pt idx="614">
                  <c:v>12.2496004105</c:v>
                </c:pt>
                <c:pt idx="615">
                  <c:v>12.2046003342</c:v>
                </c:pt>
                <c:pt idx="616">
                  <c:v>12.0956001282</c:v>
                </c:pt>
                <c:pt idx="617">
                  <c:v>12.0675001144</c:v>
                </c:pt>
                <c:pt idx="618">
                  <c:v>12.1120996475</c:v>
                </c:pt>
                <c:pt idx="619">
                  <c:v>12.1164999008</c:v>
                </c:pt>
                <c:pt idx="620">
                  <c:v>12.1399002075</c:v>
                </c:pt>
                <c:pt idx="621">
                  <c:v>12.1949996948</c:v>
                </c:pt>
                <c:pt idx="622">
                  <c:v>12.3407001495</c:v>
                </c:pt>
                <c:pt idx="623">
                  <c:v>12.6738004684</c:v>
                </c:pt>
                <c:pt idx="624">
                  <c:v>12.7483997345</c:v>
                </c:pt>
                <c:pt idx="625">
                  <c:v>12.4715003967</c:v>
                </c:pt>
                <c:pt idx="626">
                  <c:v>12.1878995895</c:v>
                </c:pt>
                <c:pt idx="627">
                  <c:v>12.1890001297</c:v>
                </c:pt>
                <c:pt idx="628">
                  <c:v>12.1967000961</c:v>
                </c:pt>
                <c:pt idx="629">
                  <c:v>12.212100029</c:v>
                </c:pt>
                <c:pt idx="630">
                  <c:v>12.1128997803</c:v>
                </c:pt>
                <c:pt idx="631">
                  <c:v>12.2967996597</c:v>
                </c:pt>
                <c:pt idx="632">
                  <c:v>12.3641996384</c:v>
                </c:pt>
                <c:pt idx="633">
                  <c:v>12.4017000198</c:v>
                </c:pt>
                <c:pt idx="634">
                  <c:v>12.3305997849</c:v>
                </c:pt>
                <c:pt idx="635">
                  <c:v>12.1100997925</c:v>
                </c:pt>
                <c:pt idx="636">
                  <c:v>12.1400003433</c:v>
                </c:pt>
                <c:pt idx="637">
                  <c:v>12.0832996368</c:v>
                </c:pt>
                <c:pt idx="638">
                  <c:v>11.8846998215</c:v>
                </c:pt>
                <c:pt idx="639">
                  <c:v>11.9793996811</c:v>
                </c:pt>
                <c:pt idx="640">
                  <c:v>11.8013000488</c:v>
                </c:pt>
                <c:pt idx="641">
                  <c:v>11.7159996033</c:v>
                </c:pt>
                <c:pt idx="642">
                  <c:v>11.502699852</c:v>
                </c:pt>
                <c:pt idx="643">
                  <c:v>11.543299675</c:v>
                </c:pt>
                <c:pt idx="644">
                  <c:v>11.7291002274</c:v>
                </c:pt>
                <c:pt idx="645">
                  <c:v>12.0820999146</c:v>
                </c:pt>
                <c:pt idx="646">
                  <c:v>12.3254995346</c:v>
                </c:pt>
                <c:pt idx="647">
                  <c:v>12.3798999786</c:v>
                </c:pt>
                <c:pt idx="648">
                  <c:v>12.3992004395</c:v>
                </c:pt>
                <c:pt idx="649">
                  <c:v>12.3260002136</c:v>
                </c:pt>
                <c:pt idx="650">
                  <c:v>12.531999588</c:v>
                </c:pt>
                <c:pt idx="651">
                  <c:v>12.5087995529</c:v>
                </c:pt>
                <c:pt idx="652">
                  <c:v>12.5160999298</c:v>
                </c:pt>
                <c:pt idx="653">
                  <c:v>12.3832998276</c:v>
                </c:pt>
                <c:pt idx="654">
                  <c:v>12.3788995743</c:v>
                </c:pt>
                <c:pt idx="655">
                  <c:v>11.9391002655</c:v>
                </c:pt>
                <c:pt idx="656">
                  <c:v>12.1920995712</c:v>
                </c:pt>
                <c:pt idx="657">
                  <c:v>12.2910995483</c:v>
                </c:pt>
                <c:pt idx="658">
                  <c:v>12.1969003677</c:v>
                </c:pt>
                <c:pt idx="659">
                  <c:v>12.2356004715</c:v>
                </c:pt>
                <c:pt idx="660">
                  <c:v>12.1377000809</c:v>
                </c:pt>
                <c:pt idx="661">
                  <c:v>12.1434001923</c:v>
                </c:pt>
                <c:pt idx="662">
                  <c:v>12.3573999405</c:v>
                </c:pt>
                <c:pt idx="663">
                  <c:v>12.3059997559</c:v>
                </c:pt>
                <c:pt idx="664">
                  <c:v>12.3059997559</c:v>
                </c:pt>
                <c:pt idx="665">
                  <c:v>12.3130998611</c:v>
                </c:pt>
                <c:pt idx="666">
                  <c:v>12.5916996002</c:v>
                </c:pt>
                <c:pt idx="667">
                  <c:v>12.5514001846</c:v>
                </c:pt>
                <c:pt idx="668">
                  <c:v>12.6583995819</c:v>
                </c:pt>
                <c:pt idx="669">
                  <c:v>12.5755996704</c:v>
                </c:pt>
                <c:pt idx="670">
                  <c:v>12.6486997604</c:v>
                </c:pt>
                <c:pt idx="671">
                  <c:v>12.6372995377</c:v>
                </c:pt>
                <c:pt idx="672">
                  <c:v>12.8823003769</c:v>
                </c:pt>
                <c:pt idx="673">
                  <c:v>12.7685003281</c:v>
                </c:pt>
                <c:pt idx="674">
                  <c:v>12.8604001999</c:v>
                </c:pt>
                <c:pt idx="675">
                  <c:v>12.970700264</c:v>
                </c:pt>
                <c:pt idx="676">
                  <c:v>12.780500412</c:v>
                </c:pt>
                <c:pt idx="677">
                  <c:v>12.7255001068</c:v>
                </c:pt>
                <c:pt idx="678">
                  <c:v>12.7327003479</c:v>
                </c:pt>
                <c:pt idx="679">
                  <c:v>12.6289997101</c:v>
                </c:pt>
                <c:pt idx="680">
                  <c:v>12.4604997635</c:v>
                </c:pt>
                <c:pt idx="681">
                  <c:v>12.5333003998</c:v>
                </c:pt>
                <c:pt idx="682">
                  <c:v>12.3576002121</c:v>
                </c:pt>
                <c:pt idx="683">
                  <c:v>12.5546998978</c:v>
                </c:pt>
                <c:pt idx="684">
                  <c:v>12.6590003967</c:v>
                </c:pt>
                <c:pt idx="685">
                  <c:v>12.5481004715</c:v>
                </c:pt>
                <c:pt idx="686">
                  <c:v>12.5642004013</c:v>
                </c:pt>
                <c:pt idx="687">
                  <c:v>12.5776996613</c:v>
                </c:pt>
                <c:pt idx="688">
                  <c:v>12.4879999161</c:v>
                </c:pt>
                <c:pt idx="689">
                  <c:v>12.4907999039</c:v>
                </c:pt>
                <c:pt idx="690">
                  <c:v>12.3052997589</c:v>
                </c:pt>
                <c:pt idx="691">
                  <c:v>12.2136001587</c:v>
                </c:pt>
                <c:pt idx="692">
                  <c:v>12.2589998245</c:v>
                </c:pt>
                <c:pt idx="693">
                  <c:v>12.1986999512</c:v>
                </c:pt>
                <c:pt idx="694">
                  <c:v>12.0649995804</c:v>
                </c:pt>
                <c:pt idx="695">
                  <c:v>12.1492996216</c:v>
                </c:pt>
                <c:pt idx="696">
                  <c:v>12.1492996216</c:v>
                </c:pt>
                <c:pt idx="697">
                  <c:v>12.1512002945</c:v>
                </c:pt>
                <c:pt idx="698">
                  <c:v>12.0776996613</c:v>
                </c:pt>
                <c:pt idx="699">
                  <c:v>11.9728002548</c:v>
                </c:pt>
                <c:pt idx="700">
                  <c:v>12.0874996185</c:v>
                </c:pt>
                <c:pt idx="701">
                  <c:v>12.2657003403</c:v>
                </c:pt>
                <c:pt idx="702">
                  <c:v>12.5722999573</c:v>
                </c:pt>
                <c:pt idx="703">
                  <c:v>12.4097003937</c:v>
                </c:pt>
                <c:pt idx="704">
                  <c:v>12.1997003555</c:v>
                </c:pt>
                <c:pt idx="705">
                  <c:v>12.0878000259</c:v>
                </c:pt>
                <c:pt idx="706">
                  <c:v>12.0275001526</c:v>
                </c:pt>
                <c:pt idx="707">
                  <c:v>11.988699913</c:v>
                </c:pt>
                <c:pt idx="708">
                  <c:v>11.9081001282</c:v>
                </c:pt>
                <c:pt idx="709">
                  <c:v>11.8339004517</c:v>
                </c:pt>
                <c:pt idx="710">
                  <c:v>12.0776996613</c:v>
                </c:pt>
                <c:pt idx="711">
                  <c:v>12.1270999908</c:v>
                </c:pt>
                <c:pt idx="712">
                  <c:v>11.9877004623</c:v>
                </c:pt>
                <c:pt idx="713">
                  <c:v>11.8722000122</c:v>
                </c:pt>
                <c:pt idx="714">
                  <c:v>11.6562004089</c:v>
                </c:pt>
                <c:pt idx="715">
                  <c:v>11.6357002258</c:v>
                </c:pt>
                <c:pt idx="716">
                  <c:v>11.4134998322</c:v>
                </c:pt>
                <c:pt idx="717">
                  <c:v>11.4406995773</c:v>
                </c:pt>
                <c:pt idx="718">
                  <c:v>11.2643003464</c:v>
                </c:pt>
                <c:pt idx="719">
                  <c:v>11.0760002136</c:v>
                </c:pt>
                <c:pt idx="720">
                  <c:v>11.2299003601</c:v>
                </c:pt>
                <c:pt idx="721">
                  <c:v>11.1275997162</c:v>
                </c:pt>
                <c:pt idx="722">
                  <c:v>11.1275997162</c:v>
                </c:pt>
                <c:pt idx="723">
                  <c:v>11.1621999741</c:v>
                </c:pt>
                <c:pt idx="724">
                  <c:v>11.2894001007</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charts/chart184.xml><?xml version="1.0" encoding="utf-8"?>
<c:chartSpace xmlns:a="http://schemas.openxmlformats.org/drawingml/2006/main" xmlns:c="http://schemas.openxmlformats.org/drawingml/2006/chart" xmlns:ns1="http://schemas.openxmlformats.org/markup-compatibility/2006" xmlns:ns2="http://schemas.microsoft.com/office/drawing/2007/8/2/chart" ns1:Ignorable="c14">
  <c:lang val="en-US"/>
  <c:roundedCorners val="0"/>
  <ns1:AlternateContent>
    <ns1:Choice Requires="c14">
      <ns2:style val="102"/>
    </ns1:Choice>
    <ns1:Fallback>
      <c:style val="2"/>
    </ns1:Fallback>
  </ns1:AlternateContent>
  <c:chart>
    <c:plotArea>
      <c:lineChart>
        <c:grouping val="standard"/>
        <c:varyColors val="0"/>
        <c:ser>
          <c:idx val="0"/>
          <c:order val="0"/>
          <c:spPr>
            <a:ln w="15120" cmpd="sng">
              <a:solidFill>
                <a:srgbClr val="C00000"/>
              </a:solidFill>
              <a:prstDash val="solid"/>
            </a:ln>
          </c:spPr>
          <c:marker>
            <c:symbol val="none"/>
          </c:marker>
          <c:cat>
            <c:strLit>
              <c:ptCount val="0"/>
            </c:strLit>
          </c:cat>
          <c:val>
            <c:numRef>
              <c:f>{25.1096992493,25.0664997101,25.4284000397,25.8530006409,26.3320007324,27.2712001801,27.3031997681,27.3031997681,26.4244003296,26.3005008698,25.9246006012,26.1245994568,25.5499000549,27.1432991028,26.900100708,27.4167003632,27.9897003174,28.4715003967,28.46159935,27.5727005005,27.4769992828,27.9419002533,27.9183998108,26.9762992859,27.0949993134,26.6364994049,26.218000412,25.8446998596,25.6558990479,25.3132991791,25.6198005676,24.7628002167,24.2703990936,24.2264995575,24.2548999786,24.4573993683,23.9221992493,24.1788005829,24.719499588,24.4801006317,24.3882007599,24.3864002228,25.1336994171,24.6306991577,24.527299881,24.0527000427,24.0527000427,23.9892997742,23.8022994995,23.6497993469,23.692199707,23.7341995239,23.2633991241,23.2779998779,22.955499649,22.5251998901,23.3421993256,22.7226009369,22.4286003113,22.5205001831,22.1474990845,22.4297008514,22.6916999817,23.052400589,23.4412002563,22.6054992676,22.2308998108,22.3600006104,22.1156997681,21.5389995575,21.3096008301,21.3096008301,21.0090999603,21.4582004547,21.511800766,22.0466003418,22.1688995361,21.6427993774,21.5293006897,21.747800827,22.5030994415,23.2922992706,22.970500946,22.8435993195,22.7042007446,22.1186008453,22.5746002197,22.3435001373,23.5055007935,20.5697002411,19.8871994019,19.8876991272,19.0335998535,19.0664997101,19.3908996582,18.9570007324,19.0025005341,18.6609992981,18.2348995209,18.4050998688,18.0503005981,17.7751998901,17.4409008026,17.67029953,17.5273990631,17.4857006073,17.3327999115,17.6124000549,17.400800705,17.3903007507,17.8458995819,17.6786994934,17.6042003632,17.7331008911,17.6942005157,16.4661006927,16.4661006927,16.4661006927,17.0188007355,17.551700592,17.539100647,17.4449996948,17.2998008728,17.325799942,17.0069007874,16.595199585,16.4193000793,16.2861995697,16.6502990723,16.5776996613,16.4013996124,16.0386009216,15.3741998672,15.5235004425,15.2727003098,14.8587999344,15.397600174,16.1229000092,16.3885993958,15.8653001785,15.9836997986,15.5090999603,15.170800209,15.4013004303,15.4771003723,15.4709997177,16.4640007019,17.5531005859,17.2486991882,17.5224990845,17.5762996674,17.9570007324,18.280500412,18.2542991638,17.8899993896,18.1546993256,17.8686008453,17.6979007721,17.8920993805,17.7709999084,17.0811004639,17.4750995636,17.1856002808,17.2651996613,17.7397994995,18.46159935,18.4666996002,18.3059997559,17.9778995514,18.1697998047,17.7220001221,21.5412998199,21.8222007751,21.0830001831,21.0356006622,21.0552997589,20.7548007965,21.1583003998,21.1583003998,21.1583003998,21.5109004974,21.2071990967,21.0967006683,21.2451992035,21.835100174,21.8027000427,21.3551998138,21.0736999512,20.5925006866,20.5568008423,20.7036991119,20.3976993561,21.0289993286,21.7082996368,22.4414997101,22.2789993286,23.0648002625,22.9270992279,22.9004001617,24.6086997986,24.1474990845,23.8332004547,24.4062004089,24.5431003571,25.0228004456,25.548500061,25.548500061,25.8292999268,26.1791000366,26.1460990906,25.2807006836,24.8483009338,23.9619007111,23.5520000458,23.8001995087,23.8558006287,23.2416992188,23.0935001373,22.6429004669,23.3621006012,23.4603004456,23.5837001801,23.6280994415,23.2731990814,23.2206001282,22.8556995392,23.2264003754,23.051700592,23.0905990601,22.9020004272,23.6683006287,23.4325008392,23.0016994476,22.9104003906,22.9008998871,23.0160007477,22.4787006378,22.2747993469,22.2747993469,22.157699585,22.7129993439,22.9088001251,22.6916007996,22.5114994049,22.6420001984,22.6068992615,23.1189002991,23.789899826,23.2551994324,22.7744998932,22.7539997101,22.6065006256,22.1317996979,22.6289997101,22.2376995087,22.0249004364,21.4920005798,21.6112003326,21.8864002228,21.6147003174,22.1560001373,22.0963001251,21.533700943,21.3344993591,21.3001003265,21.675699234,21.8488006592,22.1672000885,22.2658004761,22.3490009308,20.9062004089,20.9437007904,21.4263000488,21.6452007294,21.210899353,20.9717998505,21.4321994781,21.1716003418,21.2404994965,21.0536003113,20.3295001984,20.6270008087,21.081199646,20.7199993134,20.7887992859,20.6488990784,20.5788993835,20.5788993835,20.3623008728,20.4633998871,20.5146007538,20.7092990875,20.7590999603,21.0212001801,21.6347999573,21.8342990875,21.7742996216,22.879699707,22.9477996826,24.4848995209,25.5328998566,26.7227993011,26.2453994751,25.9671993256,26.5102005005,26.5102005005,26.1753005981,24.9381008148,24.7812995911,24.5487003326,25.7458000183,25.1278991699,25.2096004486,25.6410999298,25.0484008789,25.191400528,25.2273006439,25.4402008057,24.9270992279,24.6965007782,25.043800354,25.1833992004,25.8502998352,25.2045993805,25.7101993561,25.3598003387,25.1277999878,24.2756004333,23.1284008026,22.4167995453,21.5083007812,21.5634994507,21.4288005829,21.5081005096,21.3047008514,20.8066997528,20.6667995453,20.658000946,21.2952003479,21.0028991699,20.591299057,20.7677001953,20.8880996704,20.8463001251,20.7040996552,21.1233005524,21.3314990997,21.0704994202,20.8925991058,21.2143993378,20.7416992188,20.4517002106,20.3213005066,20.5986003876,20.597700119,20.6972007751,20.6676998138,20.8546009064,20.8546009064,20.8546009064,20.8370990753,20.7119007111,20.6453990936,20.3512001038,20.5247001648,20.4125995636,19.7936992645,19.5389995575,19.6352005005,19.3670005798,19.127199173,19.6238994598,19.7380008698,19.9386005402,20.0335006714,20.5998001099,20.8062992096,20.3521003723,20.2038002014,20.7199001312,20.9451007843,21.9633998871,22.2933998108,22.6891002655,23.3498001099,22.8929004669,23.6366004944,23.5820007324,25.0282993317,25.1390991211,25.6760005951,25.5161991119,23.1037006378,24.6611995697,24.2311000824,23.6250991821,24.6912994385,24.3908996582,23.2889003754,23.3281002045,23.4023990631,24.1989994049,25.3029003143,25.0760002136,25.2082996368,25.3281002045,24.9617004395,24.633600235,25.4277992249,25.5067005157,26.4034004211,25.3267993927,24.4288005829,23.2255992889,23.503900528,22.7432003021,22.8936004639,22.9747009277,22.8293991089,22.3987998962,22.5058994293,22.4838008881,22.0324993134,18.5748996735,19.1261005402,19.4902992249,19.8181991577,19.9209003448,20.3598003387,20.3917999268,19.7409000397,20.1611995697,20.1611995697,20.1611995697,20.26720047,20.9608001709,20.7329006195,20.8983001709,20.9043006897,20.781999588,21.0652999878,21.8180007935,21.5692996979,21.7341995239,21.6895008087,22.6494007111,21.7268009186,22.0501003265,21.4207992554,21.1590003967,21.1721992493,21.4375991821,21.4456996918,21.1455001831,21.1558990479,20.6229000092,20.5263996124,20.4043006897,20.7635002136,20.2215995789,20.4270992279,20.5816993713,20.8740997314,20.7157001495,21.3521995544,20.5373001099,20.6984004974,20.2721004486,20.0212001801,20.1783008575,20.2497005463,19.9638996124,19.5543003082,19.7798995972,19.8488998413,20.1982002258,20.4120998383,20.297000885,20.3173999786,20.1007003784,20.1007995605,20.0440006256,19.8558006287,19.7651004791,19.8339996338,20.0988998413,19.7406997681,19.6907997131,19.8080997467,19.928899765,20.5949001312,20.5501995087,20.5573997498,20.8386001587,21.0247993469,21.135099411,21.7707004547,21.786699295,21.5069999695,21.5848007202,22.1632995605,21.7094993591,21.4610996246,21.2332000732,21.5498008728,21.7026004791,21.8320999146,21.8714008331,21.5760993958,21.6089992523,21.5468006134,22.1149997711,22.0748996735,21.9402999878,21.9734992981,21.6879997253,21.5543994904,21.3673000336,21.7700996399,22.4346008301,22.2437992096,22.2915000916,21.8864994049,21.3388996124,22.0531005859,21.9412994385,21.7605991364,21.3920001984,21.7968006134,22.1865997314,22.5358009338,22.727399826,22.6674995422,23.121099472,23.3160991669,23.3747005463,24.2406005859,23.8034000397,23.8644008636,23.7287998199,23.4724998474,24.1772994995,24.286699295,23.6893997192,24.2231006622,24.5627002716,24.6469993591,23.8330001831,23.357000351,22.6382007599,23.1371994019,22.8829994202,22.1312999725,22.8477993011,23.0464992523,22.7583007812,22.9878997803,23.2833003998,23.789899826,23.442199707,23.4090003967,23.5009994507,22.8540992737,22.8467998505,22.5941009521,22.5090999603,23.1194992065,22.6949005127,23.0918006897,23.0235996246,23.07970047,23.0914001465,22.470500946,22.263999939,21.8418998718,21.7418994904,21.5737991333,20.9710998535,21.5597000122,22.468000412,22.4710006714,22.2677993774,23.3791999817,23.6306991577,23.6410999298,23.323299408,23.545999527,23.6453990936,23.6261997223,23.2870998383,23.3987998962,23.2308998108,23.7152996063,23.132900238,22.7418994904,23.0023994446,22.85779953,23.1033992767,23.1965999603,22.9801998138,22.9769001007,22.9769001007,22.9769001007,22.7952003479,23.0813007355,22.8721008301,23.8486003876,24.0751991272,23.6802005768,23.3754005432,23.4307003021,24.0659999847,24.2327003479,24.5590000153,24.1522006989,24.1128997803,23.7707996368,23.5184001923,23.7268009186,23.7192001343,23.8409996033,23.6935005188,23.932800293,24.4817008972,24.3848991394,23.8411006927,23.220199585,22.8719005585,22.363899231,22.4719009399,22.1268005371,22.4890003204,22.5076999664,22.677400589,22.3306007385,22.0953998566,21.6205005646,21.6408996582,21.0925998688,21.2038002014,20.6912994385,20.346200943,20.0856990814,20.2399997711,20.888299942,20.7863998413,21.3460998535,21.3199996948,21.2812004089,21.2105998993,21.6942996979,21.5788993835,21.2863998413,22.0323009491,21.4193000793,20.807100296,21.4120998383,21.563999176,21.7506008148,22.0256004333,21.5373001099,21.4932003021,21.9811992645,21.5967006683,21.5967006683,21.6033000946,22.6280002594,22.2877006531,22.3899993896,22.0743999481,22.2247009277,22.545999527,23.3593006134,23.1832008362,23.4057006836,23.358499527,22.7936000824,22.4032001495,22.4785995483,22.3750991821,22.1299991608,22.4843006134,22.084400177,22.4234008789,23.1000003815,22.9218006134,22.7299003601,22.8465995789,21.7150001526,21.7872009277,21.3117008209,21.1478996277,21.3229007721,21.2506999969,20.3798007965,20.5335006714,20.5335006714,20.8507995605,20.6117992401,20.5331993103,20.5384998322,21.5548000336,22.9001998901,22.2810993195,21.8952999115,21.5697002411,22.9284992218,22.8894996643,22.782699585,22.3698997498,22.6606998444,22.986700058,22.5013008118,22.6065998077,22.5983009338,22.5582008362,21.7082996368,22.092300415,21.8554992676,21.0006999969,21.5338001251,21.8992996216,21.8992996216,21.6781005859,21.8528995514}</c:f>
              <c:numCache>
                <c:formatCode>General</c:formatCode>
                <c:ptCount val="725"/>
                <c:pt idx="0">
                  <c:v>25.1096992493</c:v>
                </c:pt>
                <c:pt idx="1">
                  <c:v>25.0664997101</c:v>
                </c:pt>
                <c:pt idx="2">
                  <c:v>25.4284000397</c:v>
                </c:pt>
                <c:pt idx="3">
                  <c:v>25.8530006409</c:v>
                </c:pt>
                <c:pt idx="4">
                  <c:v>26.3320007324</c:v>
                </c:pt>
                <c:pt idx="5">
                  <c:v>27.2712001801</c:v>
                </c:pt>
                <c:pt idx="6">
                  <c:v>27.3031997681</c:v>
                </c:pt>
                <c:pt idx="7">
                  <c:v>27.3031997681</c:v>
                </c:pt>
                <c:pt idx="8">
                  <c:v>26.4244003296</c:v>
                </c:pt>
                <c:pt idx="9">
                  <c:v>26.3005008698</c:v>
                </c:pt>
                <c:pt idx="10">
                  <c:v>25.9246006012</c:v>
                </c:pt>
                <c:pt idx="11">
                  <c:v>26.1245994568</c:v>
                </c:pt>
                <c:pt idx="12">
                  <c:v>25.5499000549</c:v>
                </c:pt>
                <c:pt idx="13">
                  <c:v>27.1432991028</c:v>
                </c:pt>
                <c:pt idx="14">
                  <c:v>26.900100708</c:v>
                </c:pt>
                <c:pt idx="15">
                  <c:v>27.4167003632</c:v>
                </c:pt>
                <c:pt idx="16">
                  <c:v>27.9897003174</c:v>
                </c:pt>
                <c:pt idx="17">
                  <c:v>28.4715003967</c:v>
                </c:pt>
                <c:pt idx="18">
                  <c:v>28.46159935</c:v>
                </c:pt>
                <c:pt idx="19">
                  <c:v>27.5727005005</c:v>
                </c:pt>
                <c:pt idx="20">
                  <c:v>27.4769992828</c:v>
                </c:pt>
                <c:pt idx="21">
                  <c:v>27.9419002533</c:v>
                </c:pt>
                <c:pt idx="22">
                  <c:v>27.9183998108</c:v>
                </c:pt>
                <c:pt idx="23">
                  <c:v>26.9762992859</c:v>
                </c:pt>
                <c:pt idx="24">
                  <c:v>27.0949993134</c:v>
                </c:pt>
                <c:pt idx="25">
                  <c:v>26.6364994049</c:v>
                </c:pt>
                <c:pt idx="26">
                  <c:v>26.218000412</c:v>
                </c:pt>
                <c:pt idx="27">
                  <c:v>25.8446998596</c:v>
                </c:pt>
                <c:pt idx="28">
                  <c:v>25.6558990479</c:v>
                </c:pt>
                <c:pt idx="29">
                  <c:v>25.3132991791</c:v>
                </c:pt>
                <c:pt idx="30">
                  <c:v>25.6198005676</c:v>
                </c:pt>
                <c:pt idx="31">
                  <c:v>24.7628002167</c:v>
                </c:pt>
                <c:pt idx="32">
                  <c:v>24.2703990936</c:v>
                </c:pt>
                <c:pt idx="33">
                  <c:v>24.2264995575</c:v>
                </c:pt>
                <c:pt idx="34">
                  <c:v>24.2548999786</c:v>
                </c:pt>
                <c:pt idx="35">
                  <c:v>24.4573993683</c:v>
                </c:pt>
                <c:pt idx="36">
                  <c:v>23.9221992493</c:v>
                </c:pt>
                <c:pt idx="37">
                  <c:v>24.1788005829</c:v>
                </c:pt>
                <c:pt idx="38">
                  <c:v>24.719499588</c:v>
                </c:pt>
                <c:pt idx="39">
                  <c:v>24.4801006317</c:v>
                </c:pt>
                <c:pt idx="40">
                  <c:v>24.3882007599</c:v>
                </c:pt>
                <c:pt idx="41">
                  <c:v>24.3864002228</c:v>
                </c:pt>
                <c:pt idx="42">
                  <c:v>25.1336994171</c:v>
                </c:pt>
                <c:pt idx="43">
                  <c:v>24.6306991577</c:v>
                </c:pt>
                <c:pt idx="44">
                  <c:v>24.527299881</c:v>
                </c:pt>
                <c:pt idx="45">
                  <c:v>24.0527000427</c:v>
                </c:pt>
                <c:pt idx="46">
                  <c:v>24.0527000427</c:v>
                </c:pt>
                <c:pt idx="47">
                  <c:v>23.9892997742</c:v>
                </c:pt>
                <c:pt idx="48">
                  <c:v>23.8022994995</c:v>
                </c:pt>
                <c:pt idx="49">
                  <c:v>23.6497993469</c:v>
                </c:pt>
                <c:pt idx="50">
                  <c:v>23.692199707</c:v>
                </c:pt>
                <c:pt idx="51">
                  <c:v>23.7341995239</c:v>
                </c:pt>
                <c:pt idx="52">
                  <c:v>23.2633991241</c:v>
                </c:pt>
                <c:pt idx="53">
                  <c:v>23.2779998779</c:v>
                </c:pt>
                <c:pt idx="54">
                  <c:v>22.955499649</c:v>
                </c:pt>
                <c:pt idx="55">
                  <c:v>22.5251998901</c:v>
                </c:pt>
                <c:pt idx="56">
                  <c:v>23.3421993256</c:v>
                </c:pt>
                <c:pt idx="57">
                  <c:v>22.7226009369</c:v>
                </c:pt>
                <c:pt idx="58">
                  <c:v>22.4286003113</c:v>
                </c:pt>
                <c:pt idx="59">
                  <c:v>22.5205001831</c:v>
                </c:pt>
                <c:pt idx="60">
                  <c:v>22.1474990845</c:v>
                </c:pt>
                <c:pt idx="61">
                  <c:v>22.4297008514</c:v>
                </c:pt>
                <c:pt idx="62">
                  <c:v>22.6916999817</c:v>
                </c:pt>
                <c:pt idx="63">
                  <c:v>23.052400589</c:v>
                </c:pt>
                <c:pt idx="64">
                  <c:v>23.4412002563</c:v>
                </c:pt>
                <c:pt idx="65">
                  <c:v>22.6054992676</c:v>
                </c:pt>
                <c:pt idx="66">
                  <c:v>22.2308998108</c:v>
                </c:pt>
                <c:pt idx="67">
                  <c:v>22.3600006104</c:v>
                </c:pt>
                <c:pt idx="68">
                  <c:v>22.1156997681</c:v>
                </c:pt>
                <c:pt idx="69">
                  <c:v>21.5389995575</c:v>
                </c:pt>
                <c:pt idx="70">
                  <c:v>21.3096008301</c:v>
                </c:pt>
                <c:pt idx="71">
                  <c:v>21.3096008301</c:v>
                </c:pt>
                <c:pt idx="72">
                  <c:v>21.0090999603</c:v>
                </c:pt>
                <c:pt idx="73">
                  <c:v>21.4582004547</c:v>
                </c:pt>
                <c:pt idx="74">
                  <c:v>21.511800766</c:v>
                </c:pt>
                <c:pt idx="75">
                  <c:v>22.0466003418</c:v>
                </c:pt>
                <c:pt idx="76">
                  <c:v>22.1688995361</c:v>
                </c:pt>
                <c:pt idx="77">
                  <c:v>21.6427993774</c:v>
                </c:pt>
                <c:pt idx="78">
                  <c:v>21.5293006897</c:v>
                </c:pt>
                <c:pt idx="79">
                  <c:v>21.747800827</c:v>
                </c:pt>
                <c:pt idx="80">
                  <c:v>22.5030994415</c:v>
                </c:pt>
                <c:pt idx="81">
                  <c:v>23.2922992706</c:v>
                </c:pt>
                <c:pt idx="82">
                  <c:v>22.970500946</c:v>
                </c:pt>
                <c:pt idx="83">
                  <c:v>22.8435993195</c:v>
                </c:pt>
                <c:pt idx="84">
                  <c:v>22.7042007446</c:v>
                </c:pt>
                <c:pt idx="85">
                  <c:v>22.1186008453</c:v>
                </c:pt>
                <c:pt idx="86">
                  <c:v>22.5746002197</c:v>
                </c:pt>
                <c:pt idx="87">
                  <c:v>22.3435001373</c:v>
                </c:pt>
                <c:pt idx="88">
                  <c:v>23.5055007935</c:v>
                </c:pt>
                <c:pt idx="89">
                  <c:v>20.5697002411</c:v>
                </c:pt>
                <c:pt idx="90">
                  <c:v>19.8871994019</c:v>
                </c:pt>
                <c:pt idx="91">
                  <c:v>19.8876991272</c:v>
                </c:pt>
                <c:pt idx="92">
                  <c:v>19.0335998535</c:v>
                </c:pt>
                <c:pt idx="93">
                  <c:v>19.0664997101</c:v>
                </c:pt>
                <c:pt idx="94">
                  <c:v>19.3908996582</c:v>
                </c:pt>
                <c:pt idx="95">
                  <c:v>18.9570007324</c:v>
                </c:pt>
                <c:pt idx="96">
                  <c:v>19.0025005341</c:v>
                </c:pt>
                <c:pt idx="97">
                  <c:v>18.6609992981</c:v>
                </c:pt>
                <c:pt idx="98">
                  <c:v>18.2348995209</c:v>
                </c:pt>
                <c:pt idx="99">
                  <c:v>18.4050998688</c:v>
                </c:pt>
                <c:pt idx="100">
                  <c:v>18.0503005981</c:v>
                </c:pt>
                <c:pt idx="101">
                  <c:v>17.7751998901</c:v>
                </c:pt>
                <c:pt idx="102">
                  <c:v>17.4409008026</c:v>
                </c:pt>
                <c:pt idx="103">
                  <c:v>17.67029953</c:v>
                </c:pt>
                <c:pt idx="104">
                  <c:v>17.5273990631</c:v>
                </c:pt>
                <c:pt idx="105">
                  <c:v>17.4857006073</c:v>
                </c:pt>
                <c:pt idx="106">
                  <c:v>17.3327999115</c:v>
                </c:pt>
                <c:pt idx="107">
                  <c:v>17.6124000549</c:v>
                </c:pt>
                <c:pt idx="108">
                  <c:v>17.400800705</c:v>
                </c:pt>
                <c:pt idx="109">
                  <c:v>17.3903007507</c:v>
                </c:pt>
                <c:pt idx="110">
                  <c:v>17.8458995819</c:v>
                </c:pt>
                <c:pt idx="111">
                  <c:v>17.6786994934</c:v>
                </c:pt>
                <c:pt idx="112">
                  <c:v>17.6042003632</c:v>
                </c:pt>
                <c:pt idx="113">
                  <c:v>17.7331008911</c:v>
                </c:pt>
                <c:pt idx="114">
                  <c:v>17.6942005157</c:v>
                </c:pt>
                <c:pt idx="115">
                  <c:v>16.4661006927</c:v>
                </c:pt>
                <c:pt idx="116">
                  <c:v>16.4661006927</c:v>
                </c:pt>
                <c:pt idx="117">
                  <c:v>16.4661006927</c:v>
                </c:pt>
                <c:pt idx="118">
                  <c:v>17.0188007355</c:v>
                </c:pt>
                <c:pt idx="119">
                  <c:v>17.551700592</c:v>
                </c:pt>
                <c:pt idx="120">
                  <c:v>17.539100647</c:v>
                </c:pt>
                <c:pt idx="121">
                  <c:v>17.4449996948</c:v>
                </c:pt>
                <c:pt idx="122">
                  <c:v>17.2998008728</c:v>
                </c:pt>
                <c:pt idx="123">
                  <c:v>17.325799942</c:v>
                </c:pt>
                <c:pt idx="124">
                  <c:v>17.0069007874</c:v>
                </c:pt>
                <c:pt idx="125">
                  <c:v>16.595199585</c:v>
                </c:pt>
                <c:pt idx="126">
                  <c:v>16.4193000793</c:v>
                </c:pt>
                <c:pt idx="127">
                  <c:v>16.2861995697</c:v>
                </c:pt>
                <c:pt idx="128">
                  <c:v>16.6502990723</c:v>
                </c:pt>
                <c:pt idx="129">
                  <c:v>16.5776996613</c:v>
                </c:pt>
                <c:pt idx="130">
                  <c:v>16.4013996124</c:v>
                </c:pt>
                <c:pt idx="131">
                  <c:v>16.0386009216</c:v>
                </c:pt>
                <c:pt idx="132">
                  <c:v>15.3741998672</c:v>
                </c:pt>
                <c:pt idx="133">
                  <c:v>15.5235004425</c:v>
                </c:pt>
                <c:pt idx="134">
                  <c:v>15.2727003098</c:v>
                </c:pt>
                <c:pt idx="135">
                  <c:v>14.8587999344</c:v>
                </c:pt>
                <c:pt idx="136">
                  <c:v>15.397600174</c:v>
                </c:pt>
                <c:pt idx="137">
                  <c:v>16.1229000092</c:v>
                </c:pt>
                <c:pt idx="138">
                  <c:v>16.3885993958</c:v>
                </c:pt>
                <c:pt idx="139">
                  <c:v>15.8653001785</c:v>
                </c:pt>
                <c:pt idx="140">
                  <c:v>15.9836997986</c:v>
                </c:pt>
                <c:pt idx="141">
                  <c:v>15.5090999603</c:v>
                </c:pt>
                <c:pt idx="142">
                  <c:v>15.170800209</c:v>
                </c:pt>
                <c:pt idx="143">
                  <c:v>15.4013004303</c:v>
                </c:pt>
                <c:pt idx="144">
                  <c:v>15.4771003723</c:v>
                </c:pt>
                <c:pt idx="145">
                  <c:v>15.4709997177</c:v>
                </c:pt>
                <c:pt idx="146">
                  <c:v>16.4640007019</c:v>
                </c:pt>
                <c:pt idx="147">
                  <c:v>17.5531005859</c:v>
                </c:pt>
                <c:pt idx="148">
                  <c:v>17.2486991882</c:v>
                </c:pt>
                <c:pt idx="149">
                  <c:v>17.5224990845</c:v>
                </c:pt>
                <c:pt idx="150">
                  <c:v>17.5762996674</c:v>
                </c:pt>
                <c:pt idx="151">
                  <c:v>17.9570007324</c:v>
                </c:pt>
                <c:pt idx="152">
                  <c:v>18.280500412</c:v>
                </c:pt>
                <c:pt idx="153">
                  <c:v>18.2542991638</c:v>
                </c:pt>
                <c:pt idx="154">
                  <c:v>17.8899993896</c:v>
                </c:pt>
                <c:pt idx="155">
                  <c:v>18.1546993256</c:v>
                </c:pt>
                <c:pt idx="156">
                  <c:v>17.8686008453</c:v>
                </c:pt>
                <c:pt idx="157">
                  <c:v>17.6979007721</c:v>
                </c:pt>
                <c:pt idx="158">
                  <c:v>17.8920993805</c:v>
                </c:pt>
                <c:pt idx="159">
                  <c:v>17.7709999084</c:v>
                </c:pt>
                <c:pt idx="160">
                  <c:v>17.0811004639</c:v>
                </c:pt>
                <c:pt idx="161">
                  <c:v>17.4750995636</c:v>
                </c:pt>
                <c:pt idx="162">
                  <c:v>17.1856002808</c:v>
                </c:pt>
                <c:pt idx="163">
                  <c:v>17.2651996613</c:v>
                </c:pt>
                <c:pt idx="164">
                  <c:v>17.7397994995</c:v>
                </c:pt>
                <c:pt idx="165">
                  <c:v>18.46159935</c:v>
                </c:pt>
                <c:pt idx="166">
                  <c:v>18.4666996002</c:v>
                </c:pt>
                <c:pt idx="167">
                  <c:v>18.3059997559</c:v>
                </c:pt>
                <c:pt idx="168">
                  <c:v>17.9778995514</c:v>
                </c:pt>
                <c:pt idx="169">
                  <c:v>18.1697998047</c:v>
                </c:pt>
                <c:pt idx="170">
                  <c:v>17.7220001221</c:v>
                </c:pt>
                <c:pt idx="171">
                  <c:v>21.5412998199</c:v>
                </c:pt>
                <c:pt idx="172">
                  <c:v>21.8222007751</c:v>
                </c:pt>
                <c:pt idx="173">
                  <c:v>21.0830001831</c:v>
                </c:pt>
                <c:pt idx="174">
                  <c:v>21.0356006622</c:v>
                </c:pt>
                <c:pt idx="175">
                  <c:v>21.0552997589</c:v>
                </c:pt>
                <c:pt idx="176">
                  <c:v>20.7548007965</c:v>
                </c:pt>
                <c:pt idx="177">
                  <c:v>21.1583003998</c:v>
                </c:pt>
                <c:pt idx="178">
                  <c:v>21.1583003998</c:v>
                </c:pt>
                <c:pt idx="179">
                  <c:v>21.1583003998</c:v>
                </c:pt>
                <c:pt idx="180">
                  <c:v>21.5109004974</c:v>
                </c:pt>
                <c:pt idx="181">
                  <c:v>21.2071990967</c:v>
                </c:pt>
                <c:pt idx="182">
                  <c:v>21.0967006683</c:v>
                </c:pt>
                <c:pt idx="183">
                  <c:v>21.2451992035</c:v>
                </c:pt>
                <c:pt idx="184">
                  <c:v>21.835100174</c:v>
                </c:pt>
                <c:pt idx="185">
                  <c:v>21.8027000427</c:v>
                </c:pt>
                <c:pt idx="186">
                  <c:v>21.3551998138</c:v>
                </c:pt>
                <c:pt idx="187">
                  <c:v>21.0736999512</c:v>
                </c:pt>
                <c:pt idx="188">
                  <c:v>20.5925006866</c:v>
                </c:pt>
                <c:pt idx="189">
                  <c:v>20.5568008423</c:v>
                </c:pt>
                <c:pt idx="190">
                  <c:v>20.7036991119</c:v>
                </c:pt>
                <c:pt idx="191">
                  <c:v>20.3976993561</c:v>
                </c:pt>
                <c:pt idx="192">
                  <c:v>21.0289993286</c:v>
                </c:pt>
                <c:pt idx="193">
                  <c:v>21.7082996368</c:v>
                </c:pt>
                <c:pt idx="194">
                  <c:v>22.4414997101</c:v>
                </c:pt>
                <c:pt idx="195">
                  <c:v>22.2789993286</c:v>
                </c:pt>
                <c:pt idx="196">
                  <c:v>23.0648002625</c:v>
                </c:pt>
                <c:pt idx="197">
                  <c:v>22.9270992279</c:v>
                </c:pt>
                <c:pt idx="198">
                  <c:v>22.9004001617</c:v>
                </c:pt>
                <c:pt idx="199">
                  <c:v>24.6086997986</c:v>
                </c:pt>
                <c:pt idx="200">
                  <c:v>24.1474990845</c:v>
                </c:pt>
                <c:pt idx="201">
                  <c:v>23.8332004547</c:v>
                </c:pt>
                <c:pt idx="202">
                  <c:v>24.4062004089</c:v>
                </c:pt>
                <c:pt idx="203">
                  <c:v>24.5431003571</c:v>
                </c:pt>
                <c:pt idx="204">
                  <c:v>25.0228004456</c:v>
                </c:pt>
                <c:pt idx="205">
                  <c:v>25.548500061</c:v>
                </c:pt>
                <c:pt idx="206">
                  <c:v>25.548500061</c:v>
                </c:pt>
                <c:pt idx="207">
                  <c:v>25.8292999268</c:v>
                </c:pt>
                <c:pt idx="208">
                  <c:v>26.1791000366</c:v>
                </c:pt>
                <c:pt idx="209">
                  <c:v>26.1460990906</c:v>
                </c:pt>
                <c:pt idx="210">
                  <c:v>25.2807006836</c:v>
                </c:pt>
                <c:pt idx="211">
                  <c:v>24.8483009338</c:v>
                </c:pt>
                <c:pt idx="212">
                  <c:v>23.9619007111</c:v>
                </c:pt>
                <c:pt idx="213">
                  <c:v>23.5520000458</c:v>
                </c:pt>
                <c:pt idx="214">
                  <c:v>23.8001995087</c:v>
                </c:pt>
                <c:pt idx="215">
                  <c:v>23.8558006287</c:v>
                </c:pt>
                <c:pt idx="216">
                  <c:v>23.2416992188</c:v>
                </c:pt>
                <c:pt idx="217">
                  <c:v>23.0935001373</c:v>
                </c:pt>
                <c:pt idx="218">
                  <c:v>22.6429004669</c:v>
                </c:pt>
                <c:pt idx="219">
                  <c:v>23.3621006012</c:v>
                </c:pt>
                <c:pt idx="220">
                  <c:v>23.4603004456</c:v>
                </c:pt>
                <c:pt idx="221">
                  <c:v>23.5837001801</c:v>
                </c:pt>
                <c:pt idx="222">
                  <c:v>23.6280994415</c:v>
                </c:pt>
                <c:pt idx="223">
                  <c:v>23.2731990814</c:v>
                </c:pt>
                <c:pt idx="224">
                  <c:v>23.2206001282</c:v>
                </c:pt>
                <c:pt idx="225">
                  <c:v>22.8556995392</c:v>
                </c:pt>
                <c:pt idx="226">
                  <c:v>23.2264003754</c:v>
                </c:pt>
                <c:pt idx="227">
                  <c:v>23.051700592</c:v>
                </c:pt>
                <c:pt idx="228">
                  <c:v>23.0905990601</c:v>
                </c:pt>
                <c:pt idx="229">
                  <c:v>22.9020004272</c:v>
                </c:pt>
                <c:pt idx="230">
                  <c:v>23.6683006287</c:v>
                </c:pt>
                <c:pt idx="231">
                  <c:v>23.4325008392</c:v>
                </c:pt>
                <c:pt idx="232">
                  <c:v>23.0016994476</c:v>
                </c:pt>
                <c:pt idx="233">
                  <c:v>22.9104003906</c:v>
                </c:pt>
                <c:pt idx="234">
                  <c:v>22.9008998871</c:v>
                </c:pt>
                <c:pt idx="235">
                  <c:v>23.0160007477</c:v>
                </c:pt>
                <c:pt idx="236">
                  <c:v>22.4787006378</c:v>
                </c:pt>
                <c:pt idx="237">
                  <c:v>22.2747993469</c:v>
                </c:pt>
                <c:pt idx="238">
                  <c:v>22.2747993469</c:v>
                </c:pt>
                <c:pt idx="239">
                  <c:v>22.157699585</c:v>
                </c:pt>
                <c:pt idx="240">
                  <c:v>22.7129993439</c:v>
                </c:pt>
                <c:pt idx="241">
                  <c:v>22.9088001251</c:v>
                </c:pt>
                <c:pt idx="242">
                  <c:v>22.6916007996</c:v>
                </c:pt>
                <c:pt idx="243">
                  <c:v>22.5114994049</c:v>
                </c:pt>
                <c:pt idx="244">
                  <c:v>22.6420001984</c:v>
                </c:pt>
                <c:pt idx="245">
                  <c:v>22.6068992615</c:v>
                </c:pt>
                <c:pt idx="246">
                  <c:v>23.1189002991</c:v>
                </c:pt>
                <c:pt idx="247">
                  <c:v>23.789899826</c:v>
                </c:pt>
                <c:pt idx="248">
                  <c:v>23.2551994324</c:v>
                </c:pt>
                <c:pt idx="249">
                  <c:v>22.7744998932</c:v>
                </c:pt>
                <c:pt idx="250">
                  <c:v>22.7539997101</c:v>
                </c:pt>
                <c:pt idx="251">
                  <c:v>22.6065006256</c:v>
                </c:pt>
                <c:pt idx="252">
                  <c:v>22.1317996979</c:v>
                </c:pt>
                <c:pt idx="253">
                  <c:v>22.6289997101</c:v>
                </c:pt>
                <c:pt idx="254">
                  <c:v>22.2376995087</c:v>
                </c:pt>
                <c:pt idx="255">
                  <c:v>22.0249004364</c:v>
                </c:pt>
                <c:pt idx="256">
                  <c:v>21.4920005798</c:v>
                </c:pt>
                <c:pt idx="257">
                  <c:v>21.6112003326</c:v>
                </c:pt>
                <c:pt idx="258">
                  <c:v>21.8864002228</c:v>
                </c:pt>
                <c:pt idx="259">
                  <c:v>21.6147003174</c:v>
                </c:pt>
                <c:pt idx="260">
                  <c:v>22.1560001373</c:v>
                </c:pt>
                <c:pt idx="261">
                  <c:v>22.0963001251</c:v>
                </c:pt>
                <c:pt idx="262">
                  <c:v>21.533700943</c:v>
                </c:pt>
                <c:pt idx="263">
                  <c:v>21.3344993591</c:v>
                </c:pt>
                <c:pt idx="264">
                  <c:v>21.3001003265</c:v>
                </c:pt>
                <c:pt idx="265">
                  <c:v>21.675699234</c:v>
                </c:pt>
                <c:pt idx="266">
                  <c:v>21.8488006592</c:v>
                </c:pt>
                <c:pt idx="267">
                  <c:v>22.1672000885</c:v>
                </c:pt>
                <c:pt idx="268">
                  <c:v>22.2658004761</c:v>
                </c:pt>
                <c:pt idx="269">
                  <c:v>22.3490009308</c:v>
                </c:pt>
                <c:pt idx="270">
                  <c:v>20.9062004089</c:v>
                </c:pt>
                <c:pt idx="271">
                  <c:v>20.9437007904</c:v>
                </c:pt>
                <c:pt idx="272">
                  <c:v>21.4263000488</c:v>
                </c:pt>
                <c:pt idx="273">
                  <c:v>21.6452007294</c:v>
                </c:pt>
                <c:pt idx="274">
                  <c:v>21.210899353</c:v>
                </c:pt>
                <c:pt idx="275">
                  <c:v>20.9717998505</c:v>
                </c:pt>
                <c:pt idx="276">
                  <c:v>21.4321994781</c:v>
                </c:pt>
                <c:pt idx="277">
                  <c:v>21.1716003418</c:v>
                </c:pt>
                <c:pt idx="278">
                  <c:v>21.2404994965</c:v>
                </c:pt>
                <c:pt idx="279">
                  <c:v>21.0536003113</c:v>
                </c:pt>
                <c:pt idx="280">
                  <c:v>20.3295001984</c:v>
                </c:pt>
                <c:pt idx="281">
                  <c:v>20.6270008087</c:v>
                </c:pt>
                <c:pt idx="282">
                  <c:v>21.081199646</c:v>
                </c:pt>
                <c:pt idx="283">
                  <c:v>20.7199993134</c:v>
                </c:pt>
                <c:pt idx="284">
                  <c:v>20.7887992859</c:v>
                </c:pt>
                <c:pt idx="285">
                  <c:v>20.6488990784</c:v>
                </c:pt>
                <c:pt idx="286">
                  <c:v>20.5788993835</c:v>
                </c:pt>
                <c:pt idx="287">
                  <c:v>20.5788993835</c:v>
                </c:pt>
                <c:pt idx="288">
                  <c:v>20.3623008728</c:v>
                </c:pt>
                <c:pt idx="289">
                  <c:v>20.4633998871</c:v>
                </c:pt>
                <c:pt idx="290">
                  <c:v>20.5146007538</c:v>
                </c:pt>
                <c:pt idx="291">
                  <c:v>20.7092990875</c:v>
                </c:pt>
                <c:pt idx="292">
                  <c:v>20.7590999603</c:v>
                </c:pt>
                <c:pt idx="293">
                  <c:v>21.0212001801</c:v>
                </c:pt>
                <c:pt idx="294">
                  <c:v>21.6347999573</c:v>
                </c:pt>
                <c:pt idx="295">
                  <c:v>21.8342990875</c:v>
                </c:pt>
                <c:pt idx="296">
                  <c:v>21.7742996216</c:v>
                </c:pt>
                <c:pt idx="297">
                  <c:v>22.879699707</c:v>
                </c:pt>
                <c:pt idx="298">
                  <c:v>22.9477996826</c:v>
                </c:pt>
                <c:pt idx="299">
                  <c:v>24.4848995209</c:v>
                </c:pt>
                <c:pt idx="300">
                  <c:v>25.5328998566</c:v>
                </c:pt>
                <c:pt idx="301">
                  <c:v>26.7227993011</c:v>
                </c:pt>
                <c:pt idx="302">
                  <c:v>26.2453994751</c:v>
                </c:pt>
                <c:pt idx="303">
                  <c:v>25.9671993256</c:v>
                </c:pt>
                <c:pt idx="304">
                  <c:v>26.5102005005</c:v>
                </c:pt>
                <c:pt idx="305">
                  <c:v>26.5102005005</c:v>
                </c:pt>
                <c:pt idx="306">
                  <c:v>26.1753005981</c:v>
                </c:pt>
                <c:pt idx="307">
                  <c:v>24.9381008148</c:v>
                </c:pt>
                <c:pt idx="308">
                  <c:v>24.7812995911</c:v>
                </c:pt>
                <c:pt idx="309">
                  <c:v>24.5487003326</c:v>
                </c:pt>
                <c:pt idx="310">
                  <c:v>25.7458000183</c:v>
                </c:pt>
                <c:pt idx="311">
                  <c:v>25.1278991699</c:v>
                </c:pt>
                <c:pt idx="312">
                  <c:v>25.2096004486</c:v>
                </c:pt>
                <c:pt idx="313">
                  <c:v>25.6410999298</c:v>
                </c:pt>
                <c:pt idx="314">
                  <c:v>25.0484008789</c:v>
                </c:pt>
                <c:pt idx="315">
                  <c:v>25.191400528</c:v>
                </c:pt>
                <c:pt idx="316">
                  <c:v>25.2273006439</c:v>
                </c:pt>
                <c:pt idx="317">
                  <c:v>25.4402008057</c:v>
                </c:pt>
                <c:pt idx="318">
                  <c:v>24.9270992279</c:v>
                </c:pt>
                <c:pt idx="319">
                  <c:v>24.6965007782</c:v>
                </c:pt>
                <c:pt idx="320">
                  <c:v>25.043800354</c:v>
                </c:pt>
                <c:pt idx="321">
                  <c:v>25.1833992004</c:v>
                </c:pt>
                <c:pt idx="322">
                  <c:v>25.8502998352</c:v>
                </c:pt>
                <c:pt idx="323">
                  <c:v>25.2045993805</c:v>
                </c:pt>
                <c:pt idx="324">
                  <c:v>25.7101993561</c:v>
                </c:pt>
                <c:pt idx="325">
                  <c:v>25.3598003387</c:v>
                </c:pt>
                <c:pt idx="326">
                  <c:v>25.1277999878</c:v>
                </c:pt>
                <c:pt idx="327">
                  <c:v>24.2756004333</c:v>
                </c:pt>
                <c:pt idx="328">
                  <c:v>23.1284008026</c:v>
                </c:pt>
                <c:pt idx="329">
                  <c:v>22.4167995453</c:v>
                </c:pt>
                <c:pt idx="330">
                  <c:v>21.5083007812</c:v>
                </c:pt>
                <c:pt idx="331">
                  <c:v>21.5634994507</c:v>
                </c:pt>
                <c:pt idx="332">
                  <c:v>21.4288005829</c:v>
                </c:pt>
                <c:pt idx="333">
                  <c:v>21.5081005096</c:v>
                </c:pt>
                <c:pt idx="334">
                  <c:v>21.3047008514</c:v>
                </c:pt>
                <c:pt idx="335">
                  <c:v>20.8066997528</c:v>
                </c:pt>
                <c:pt idx="336">
                  <c:v>20.6667995453</c:v>
                </c:pt>
                <c:pt idx="337">
                  <c:v>20.658000946</c:v>
                </c:pt>
                <c:pt idx="338">
                  <c:v>21.2952003479</c:v>
                </c:pt>
                <c:pt idx="339">
                  <c:v>21.0028991699</c:v>
                </c:pt>
                <c:pt idx="340">
                  <c:v>20.591299057</c:v>
                </c:pt>
                <c:pt idx="341">
                  <c:v>20.7677001953</c:v>
                </c:pt>
                <c:pt idx="342">
                  <c:v>20.8880996704</c:v>
                </c:pt>
                <c:pt idx="343">
                  <c:v>20.8463001251</c:v>
                </c:pt>
                <c:pt idx="344">
                  <c:v>20.7040996552</c:v>
                </c:pt>
                <c:pt idx="345">
                  <c:v>21.1233005524</c:v>
                </c:pt>
                <c:pt idx="346">
                  <c:v>21.3314990997</c:v>
                </c:pt>
                <c:pt idx="347">
                  <c:v>21.0704994202</c:v>
                </c:pt>
                <c:pt idx="348">
                  <c:v>20.8925991058</c:v>
                </c:pt>
                <c:pt idx="349">
                  <c:v>21.2143993378</c:v>
                </c:pt>
                <c:pt idx="350">
                  <c:v>20.7416992188</c:v>
                </c:pt>
                <c:pt idx="351">
                  <c:v>20.4517002106</c:v>
                </c:pt>
                <c:pt idx="352">
                  <c:v>20.3213005066</c:v>
                </c:pt>
                <c:pt idx="353">
                  <c:v>20.5986003876</c:v>
                </c:pt>
                <c:pt idx="354">
                  <c:v>20.597700119</c:v>
                </c:pt>
                <c:pt idx="355">
                  <c:v>20.6972007751</c:v>
                </c:pt>
                <c:pt idx="356">
                  <c:v>20.6676998138</c:v>
                </c:pt>
                <c:pt idx="357">
                  <c:v>20.8546009064</c:v>
                </c:pt>
                <c:pt idx="358">
                  <c:v>20.8546009064</c:v>
                </c:pt>
                <c:pt idx="359">
                  <c:v>20.8546009064</c:v>
                </c:pt>
                <c:pt idx="360">
                  <c:v>20.8370990753</c:v>
                </c:pt>
                <c:pt idx="361">
                  <c:v>20.7119007111</c:v>
                </c:pt>
                <c:pt idx="362">
                  <c:v>20.6453990936</c:v>
                </c:pt>
                <c:pt idx="363">
                  <c:v>20.3512001038</c:v>
                </c:pt>
                <c:pt idx="364">
                  <c:v>20.5247001648</c:v>
                </c:pt>
                <c:pt idx="365">
                  <c:v>20.4125995636</c:v>
                </c:pt>
                <c:pt idx="366">
                  <c:v>19.7936992645</c:v>
                </c:pt>
                <c:pt idx="367">
                  <c:v>19.5389995575</c:v>
                </c:pt>
                <c:pt idx="368">
                  <c:v>19.6352005005</c:v>
                </c:pt>
                <c:pt idx="369">
                  <c:v>19.3670005798</c:v>
                </c:pt>
                <c:pt idx="370">
                  <c:v>19.127199173</c:v>
                </c:pt>
                <c:pt idx="371">
                  <c:v>19.6238994598</c:v>
                </c:pt>
                <c:pt idx="372">
                  <c:v>19.7380008698</c:v>
                </c:pt>
                <c:pt idx="373">
                  <c:v>19.9386005402</c:v>
                </c:pt>
                <c:pt idx="374">
                  <c:v>20.0335006714</c:v>
                </c:pt>
                <c:pt idx="375">
                  <c:v>20.5998001099</c:v>
                </c:pt>
                <c:pt idx="376">
                  <c:v>20.8062992096</c:v>
                </c:pt>
                <c:pt idx="377">
                  <c:v>20.3521003723</c:v>
                </c:pt>
                <c:pt idx="378">
                  <c:v>20.2038002014</c:v>
                </c:pt>
                <c:pt idx="379">
                  <c:v>20.7199001312</c:v>
                </c:pt>
                <c:pt idx="380">
                  <c:v>20.9451007843</c:v>
                </c:pt>
                <c:pt idx="381">
                  <c:v>21.9633998871</c:v>
                </c:pt>
                <c:pt idx="382">
                  <c:v>22.2933998108</c:v>
                </c:pt>
                <c:pt idx="383">
                  <c:v>22.6891002655</c:v>
                </c:pt>
                <c:pt idx="384">
                  <c:v>23.3498001099</c:v>
                </c:pt>
                <c:pt idx="385">
                  <c:v>22.8929004669</c:v>
                </c:pt>
                <c:pt idx="386">
                  <c:v>23.6366004944</c:v>
                </c:pt>
                <c:pt idx="387">
                  <c:v>23.5820007324</c:v>
                </c:pt>
                <c:pt idx="388">
                  <c:v>25.0282993317</c:v>
                </c:pt>
                <c:pt idx="389">
                  <c:v>25.1390991211</c:v>
                </c:pt>
                <c:pt idx="390">
                  <c:v>25.6760005951</c:v>
                </c:pt>
                <c:pt idx="391">
                  <c:v>25.5161991119</c:v>
                </c:pt>
                <c:pt idx="392">
                  <c:v>23.1037006378</c:v>
                </c:pt>
                <c:pt idx="393">
                  <c:v>24.6611995697</c:v>
                </c:pt>
                <c:pt idx="394">
                  <c:v>24.2311000824</c:v>
                </c:pt>
                <c:pt idx="395">
                  <c:v>23.6250991821</c:v>
                </c:pt>
                <c:pt idx="396">
                  <c:v>24.6912994385</c:v>
                </c:pt>
                <c:pt idx="397">
                  <c:v>24.3908996582</c:v>
                </c:pt>
                <c:pt idx="398">
                  <c:v>23.2889003754</c:v>
                </c:pt>
                <c:pt idx="399">
                  <c:v>23.3281002045</c:v>
                </c:pt>
                <c:pt idx="400">
                  <c:v>23.4023990631</c:v>
                </c:pt>
                <c:pt idx="401">
                  <c:v>24.1989994049</c:v>
                </c:pt>
                <c:pt idx="402">
                  <c:v>25.3029003143</c:v>
                </c:pt>
                <c:pt idx="403">
                  <c:v>25.0760002136</c:v>
                </c:pt>
                <c:pt idx="404">
                  <c:v>25.2082996368</c:v>
                </c:pt>
                <c:pt idx="405">
                  <c:v>25.3281002045</c:v>
                </c:pt>
                <c:pt idx="406">
                  <c:v>24.9617004395</c:v>
                </c:pt>
                <c:pt idx="407">
                  <c:v>24.633600235</c:v>
                </c:pt>
                <c:pt idx="408">
                  <c:v>25.4277992249</c:v>
                </c:pt>
                <c:pt idx="409">
                  <c:v>25.5067005157</c:v>
                </c:pt>
                <c:pt idx="410">
                  <c:v>26.4034004211</c:v>
                </c:pt>
                <c:pt idx="411">
                  <c:v>25.3267993927</c:v>
                </c:pt>
                <c:pt idx="412">
                  <c:v>24.4288005829</c:v>
                </c:pt>
                <c:pt idx="413">
                  <c:v>23.2255992889</c:v>
                </c:pt>
                <c:pt idx="414">
                  <c:v>23.503900528</c:v>
                </c:pt>
                <c:pt idx="415">
                  <c:v>22.7432003021</c:v>
                </c:pt>
                <c:pt idx="416">
                  <c:v>22.8936004639</c:v>
                </c:pt>
                <c:pt idx="417">
                  <c:v>22.9747009277</c:v>
                </c:pt>
                <c:pt idx="418">
                  <c:v>22.8293991089</c:v>
                </c:pt>
                <c:pt idx="419">
                  <c:v>22.3987998962</c:v>
                </c:pt>
                <c:pt idx="420">
                  <c:v>22.5058994293</c:v>
                </c:pt>
                <c:pt idx="421">
                  <c:v>22.4838008881</c:v>
                </c:pt>
                <c:pt idx="422">
                  <c:v>22.0324993134</c:v>
                </c:pt>
                <c:pt idx="423">
                  <c:v>18.5748996735</c:v>
                </c:pt>
                <c:pt idx="424">
                  <c:v>19.1261005402</c:v>
                </c:pt>
                <c:pt idx="425">
                  <c:v>19.4902992249</c:v>
                </c:pt>
                <c:pt idx="426">
                  <c:v>19.8181991577</c:v>
                </c:pt>
                <c:pt idx="427">
                  <c:v>19.9209003448</c:v>
                </c:pt>
                <c:pt idx="428">
                  <c:v>20.3598003387</c:v>
                </c:pt>
                <c:pt idx="429">
                  <c:v>20.3917999268</c:v>
                </c:pt>
                <c:pt idx="430">
                  <c:v>19.7409000397</c:v>
                </c:pt>
                <c:pt idx="431">
                  <c:v>20.1611995697</c:v>
                </c:pt>
                <c:pt idx="432">
                  <c:v>20.1611995697</c:v>
                </c:pt>
                <c:pt idx="433">
                  <c:v>20.1611995697</c:v>
                </c:pt>
                <c:pt idx="434">
                  <c:v>20.26720047</c:v>
                </c:pt>
                <c:pt idx="435">
                  <c:v>20.9608001709</c:v>
                </c:pt>
                <c:pt idx="436">
                  <c:v>20.7329006195</c:v>
                </c:pt>
                <c:pt idx="437">
                  <c:v>20.8983001709</c:v>
                </c:pt>
                <c:pt idx="438">
                  <c:v>20.9043006897</c:v>
                </c:pt>
                <c:pt idx="439">
                  <c:v>20.781999588</c:v>
                </c:pt>
                <c:pt idx="440">
                  <c:v>21.0652999878</c:v>
                </c:pt>
                <c:pt idx="441">
                  <c:v>21.8180007935</c:v>
                </c:pt>
                <c:pt idx="442">
                  <c:v>21.5692996979</c:v>
                </c:pt>
                <c:pt idx="443">
                  <c:v>21.7341995239</c:v>
                </c:pt>
                <c:pt idx="444">
                  <c:v>21.6895008087</c:v>
                </c:pt>
                <c:pt idx="445">
                  <c:v>22.6494007111</c:v>
                </c:pt>
                <c:pt idx="446">
                  <c:v>21.7268009186</c:v>
                </c:pt>
                <c:pt idx="447">
                  <c:v>22.0501003265</c:v>
                </c:pt>
                <c:pt idx="448">
                  <c:v>21.4207992554</c:v>
                </c:pt>
                <c:pt idx="449">
                  <c:v>21.1590003967</c:v>
                </c:pt>
                <c:pt idx="450">
                  <c:v>21.1721992493</c:v>
                </c:pt>
                <c:pt idx="451">
                  <c:v>21.4375991821</c:v>
                </c:pt>
                <c:pt idx="452">
                  <c:v>21.4456996918</c:v>
                </c:pt>
                <c:pt idx="453">
                  <c:v>21.1455001831</c:v>
                </c:pt>
                <c:pt idx="454">
                  <c:v>21.1558990479</c:v>
                </c:pt>
                <c:pt idx="455">
                  <c:v>20.6229000092</c:v>
                </c:pt>
                <c:pt idx="456">
                  <c:v>20.5263996124</c:v>
                </c:pt>
                <c:pt idx="457">
                  <c:v>20.4043006897</c:v>
                </c:pt>
                <c:pt idx="458">
                  <c:v>20.7635002136</c:v>
                </c:pt>
                <c:pt idx="459">
                  <c:v>20.2215995789</c:v>
                </c:pt>
                <c:pt idx="460">
                  <c:v>20.4270992279</c:v>
                </c:pt>
                <c:pt idx="461">
                  <c:v>20.5816993713</c:v>
                </c:pt>
                <c:pt idx="462">
                  <c:v>20.8740997314</c:v>
                </c:pt>
                <c:pt idx="463">
                  <c:v>20.7157001495</c:v>
                </c:pt>
                <c:pt idx="464">
                  <c:v>21.3521995544</c:v>
                </c:pt>
                <c:pt idx="465">
                  <c:v>20.5373001099</c:v>
                </c:pt>
                <c:pt idx="466">
                  <c:v>20.6984004974</c:v>
                </c:pt>
                <c:pt idx="467">
                  <c:v>20.2721004486</c:v>
                </c:pt>
                <c:pt idx="468">
                  <c:v>20.0212001801</c:v>
                </c:pt>
                <c:pt idx="469">
                  <c:v>20.1783008575</c:v>
                </c:pt>
                <c:pt idx="470">
                  <c:v>20.2497005463</c:v>
                </c:pt>
                <c:pt idx="471">
                  <c:v>19.9638996124</c:v>
                </c:pt>
                <c:pt idx="472">
                  <c:v>19.5543003082</c:v>
                </c:pt>
                <c:pt idx="473">
                  <c:v>19.7798995972</c:v>
                </c:pt>
                <c:pt idx="474">
                  <c:v>19.8488998413</c:v>
                </c:pt>
                <c:pt idx="475">
                  <c:v>20.1982002258</c:v>
                </c:pt>
                <c:pt idx="476">
                  <c:v>20.4120998383</c:v>
                </c:pt>
                <c:pt idx="477">
                  <c:v>20.297000885</c:v>
                </c:pt>
                <c:pt idx="478">
                  <c:v>20.3173999786</c:v>
                </c:pt>
                <c:pt idx="479">
                  <c:v>20.1007003784</c:v>
                </c:pt>
                <c:pt idx="480">
                  <c:v>20.1007995605</c:v>
                </c:pt>
                <c:pt idx="481">
                  <c:v>20.0440006256</c:v>
                </c:pt>
                <c:pt idx="482">
                  <c:v>19.8558006287</c:v>
                </c:pt>
                <c:pt idx="483">
                  <c:v>19.7651004791</c:v>
                </c:pt>
                <c:pt idx="484">
                  <c:v>19.8339996338</c:v>
                </c:pt>
                <c:pt idx="485">
                  <c:v>20.0988998413</c:v>
                </c:pt>
                <c:pt idx="486">
                  <c:v>19.7406997681</c:v>
                </c:pt>
                <c:pt idx="487">
                  <c:v>19.6907997131</c:v>
                </c:pt>
                <c:pt idx="488">
                  <c:v>19.8080997467</c:v>
                </c:pt>
                <c:pt idx="489">
                  <c:v>19.928899765</c:v>
                </c:pt>
                <c:pt idx="490">
                  <c:v>20.5949001312</c:v>
                </c:pt>
                <c:pt idx="491">
                  <c:v>20.5501995087</c:v>
                </c:pt>
                <c:pt idx="492">
                  <c:v>20.5573997498</c:v>
                </c:pt>
                <c:pt idx="493">
                  <c:v>20.8386001587</c:v>
                </c:pt>
                <c:pt idx="494">
                  <c:v>21.0247993469</c:v>
                </c:pt>
                <c:pt idx="495">
                  <c:v>21.135099411</c:v>
                </c:pt>
                <c:pt idx="496">
                  <c:v>21.7707004547</c:v>
                </c:pt>
                <c:pt idx="497">
                  <c:v>21.786699295</c:v>
                </c:pt>
                <c:pt idx="498">
                  <c:v>21.5069999695</c:v>
                </c:pt>
                <c:pt idx="499">
                  <c:v>21.5848007202</c:v>
                </c:pt>
                <c:pt idx="500">
                  <c:v>22.1632995605</c:v>
                </c:pt>
                <c:pt idx="501">
                  <c:v>21.7094993591</c:v>
                </c:pt>
                <c:pt idx="502">
                  <c:v>21.4610996246</c:v>
                </c:pt>
                <c:pt idx="503">
                  <c:v>21.2332000732</c:v>
                </c:pt>
                <c:pt idx="504">
                  <c:v>21.5498008728</c:v>
                </c:pt>
                <c:pt idx="505">
                  <c:v>21.7026004791</c:v>
                </c:pt>
                <c:pt idx="506">
                  <c:v>21.8320999146</c:v>
                </c:pt>
                <c:pt idx="507">
                  <c:v>21.8714008331</c:v>
                </c:pt>
                <c:pt idx="508">
                  <c:v>21.5760993958</c:v>
                </c:pt>
                <c:pt idx="509">
                  <c:v>21.6089992523</c:v>
                </c:pt>
                <c:pt idx="510">
                  <c:v>21.5468006134</c:v>
                </c:pt>
                <c:pt idx="511">
                  <c:v>22.1149997711</c:v>
                </c:pt>
                <c:pt idx="512">
                  <c:v>22.0748996735</c:v>
                </c:pt>
                <c:pt idx="513">
                  <c:v>21.9402999878</c:v>
                </c:pt>
                <c:pt idx="514">
                  <c:v>21.9734992981</c:v>
                </c:pt>
                <c:pt idx="515">
                  <c:v>21.6879997253</c:v>
                </c:pt>
                <c:pt idx="516">
                  <c:v>21.5543994904</c:v>
                </c:pt>
                <c:pt idx="517">
                  <c:v>21.3673000336</c:v>
                </c:pt>
                <c:pt idx="518">
                  <c:v>21.7700996399</c:v>
                </c:pt>
                <c:pt idx="519">
                  <c:v>22.4346008301</c:v>
                </c:pt>
                <c:pt idx="520">
                  <c:v>22.2437992096</c:v>
                </c:pt>
                <c:pt idx="521">
                  <c:v>22.2915000916</c:v>
                </c:pt>
                <c:pt idx="522">
                  <c:v>21.8864994049</c:v>
                </c:pt>
                <c:pt idx="523">
                  <c:v>21.3388996124</c:v>
                </c:pt>
                <c:pt idx="524">
                  <c:v>22.0531005859</c:v>
                </c:pt>
                <c:pt idx="525">
                  <c:v>21.9412994385</c:v>
                </c:pt>
                <c:pt idx="526">
                  <c:v>21.7605991364</c:v>
                </c:pt>
                <c:pt idx="527">
                  <c:v>21.3920001984</c:v>
                </c:pt>
                <c:pt idx="528">
                  <c:v>21.7968006134</c:v>
                </c:pt>
                <c:pt idx="529">
                  <c:v>22.1865997314</c:v>
                </c:pt>
                <c:pt idx="530">
                  <c:v>22.5358009338</c:v>
                </c:pt>
                <c:pt idx="531">
                  <c:v>22.727399826</c:v>
                </c:pt>
                <c:pt idx="532">
                  <c:v>22.6674995422</c:v>
                </c:pt>
                <c:pt idx="533">
                  <c:v>23.121099472</c:v>
                </c:pt>
                <c:pt idx="534">
                  <c:v>23.3160991669</c:v>
                </c:pt>
                <c:pt idx="535">
                  <c:v>23.3747005463</c:v>
                </c:pt>
                <c:pt idx="536">
                  <c:v>24.2406005859</c:v>
                </c:pt>
                <c:pt idx="537">
                  <c:v>23.8034000397</c:v>
                </c:pt>
                <c:pt idx="538">
                  <c:v>23.8644008636</c:v>
                </c:pt>
                <c:pt idx="539">
                  <c:v>23.7287998199</c:v>
                </c:pt>
                <c:pt idx="540">
                  <c:v>23.4724998474</c:v>
                </c:pt>
                <c:pt idx="541">
                  <c:v>24.1772994995</c:v>
                </c:pt>
                <c:pt idx="542">
                  <c:v>24.286699295</c:v>
                </c:pt>
                <c:pt idx="543">
                  <c:v>23.6893997192</c:v>
                </c:pt>
                <c:pt idx="544">
                  <c:v>24.2231006622</c:v>
                </c:pt>
                <c:pt idx="545">
                  <c:v>24.5627002716</c:v>
                </c:pt>
                <c:pt idx="546">
                  <c:v>24.6469993591</c:v>
                </c:pt>
                <c:pt idx="547">
                  <c:v>23.8330001831</c:v>
                </c:pt>
                <c:pt idx="548">
                  <c:v>23.357000351</c:v>
                </c:pt>
                <c:pt idx="549">
                  <c:v>22.6382007599</c:v>
                </c:pt>
                <c:pt idx="550">
                  <c:v>23.1371994019</c:v>
                </c:pt>
                <c:pt idx="551">
                  <c:v>22.8829994202</c:v>
                </c:pt>
                <c:pt idx="552">
                  <c:v>22.1312999725</c:v>
                </c:pt>
                <c:pt idx="553">
                  <c:v>22.8477993011</c:v>
                </c:pt>
                <c:pt idx="554">
                  <c:v>23.0464992523</c:v>
                </c:pt>
                <c:pt idx="555">
                  <c:v>22.7583007812</c:v>
                </c:pt>
                <c:pt idx="556">
                  <c:v>22.9878997803</c:v>
                </c:pt>
                <c:pt idx="557">
                  <c:v>23.2833003998</c:v>
                </c:pt>
                <c:pt idx="558">
                  <c:v>23.789899826</c:v>
                </c:pt>
                <c:pt idx="559">
                  <c:v>23.442199707</c:v>
                </c:pt>
                <c:pt idx="560">
                  <c:v>23.4090003967</c:v>
                </c:pt>
                <c:pt idx="561">
                  <c:v>23.5009994507</c:v>
                </c:pt>
                <c:pt idx="562">
                  <c:v>22.8540992737</c:v>
                </c:pt>
                <c:pt idx="563">
                  <c:v>22.8467998505</c:v>
                </c:pt>
                <c:pt idx="564">
                  <c:v>22.5941009521</c:v>
                </c:pt>
                <c:pt idx="565">
                  <c:v>22.5090999603</c:v>
                </c:pt>
                <c:pt idx="566">
                  <c:v>23.1194992065</c:v>
                </c:pt>
                <c:pt idx="567">
                  <c:v>22.6949005127</c:v>
                </c:pt>
                <c:pt idx="568">
                  <c:v>23.0918006897</c:v>
                </c:pt>
                <c:pt idx="569">
                  <c:v>23.0235996246</c:v>
                </c:pt>
                <c:pt idx="570">
                  <c:v>23.07970047</c:v>
                </c:pt>
                <c:pt idx="571">
                  <c:v>23.0914001465</c:v>
                </c:pt>
                <c:pt idx="572">
                  <c:v>22.470500946</c:v>
                </c:pt>
                <c:pt idx="573">
                  <c:v>22.263999939</c:v>
                </c:pt>
                <c:pt idx="574">
                  <c:v>21.8418998718</c:v>
                </c:pt>
                <c:pt idx="575">
                  <c:v>21.7418994904</c:v>
                </c:pt>
                <c:pt idx="576">
                  <c:v>21.5737991333</c:v>
                </c:pt>
                <c:pt idx="577">
                  <c:v>20.9710998535</c:v>
                </c:pt>
                <c:pt idx="578">
                  <c:v>21.5597000122</c:v>
                </c:pt>
                <c:pt idx="579">
                  <c:v>22.468000412</c:v>
                </c:pt>
                <c:pt idx="580">
                  <c:v>22.4710006714</c:v>
                </c:pt>
                <c:pt idx="581">
                  <c:v>22.2677993774</c:v>
                </c:pt>
                <c:pt idx="582">
                  <c:v>23.3791999817</c:v>
                </c:pt>
                <c:pt idx="583">
                  <c:v>23.6306991577</c:v>
                </c:pt>
                <c:pt idx="584">
                  <c:v>23.6410999298</c:v>
                </c:pt>
                <c:pt idx="585">
                  <c:v>23.323299408</c:v>
                </c:pt>
                <c:pt idx="586">
                  <c:v>23.545999527</c:v>
                </c:pt>
                <c:pt idx="587">
                  <c:v>23.6453990936</c:v>
                </c:pt>
                <c:pt idx="588">
                  <c:v>23.6261997223</c:v>
                </c:pt>
                <c:pt idx="589">
                  <c:v>23.2870998383</c:v>
                </c:pt>
                <c:pt idx="590">
                  <c:v>23.3987998962</c:v>
                </c:pt>
                <c:pt idx="591">
                  <c:v>23.2308998108</c:v>
                </c:pt>
                <c:pt idx="592">
                  <c:v>23.7152996063</c:v>
                </c:pt>
                <c:pt idx="593">
                  <c:v>23.132900238</c:v>
                </c:pt>
                <c:pt idx="594">
                  <c:v>22.7418994904</c:v>
                </c:pt>
                <c:pt idx="595">
                  <c:v>23.0023994446</c:v>
                </c:pt>
                <c:pt idx="596">
                  <c:v>22.85779953</c:v>
                </c:pt>
                <c:pt idx="597">
                  <c:v>23.1033992767</c:v>
                </c:pt>
                <c:pt idx="598">
                  <c:v>23.1965999603</c:v>
                </c:pt>
                <c:pt idx="599">
                  <c:v>22.9801998138</c:v>
                </c:pt>
                <c:pt idx="600">
                  <c:v>22.9769001007</c:v>
                </c:pt>
                <c:pt idx="601">
                  <c:v>22.9769001007</c:v>
                </c:pt>
                <c:pt idx="602">
                  <c:v>22.9769001007</c:v>
                </c:pt>
                <c:pt idx="603">
                  <c:v>22.7952003479</c:v>
                </c:pt>
                <c:pt idx="604">
                  <c:v>23.0813007355</c:v>
                </c:pt>
                <c:pt idx="605">
                  <c:v>22.8721008301</c:v>
                </c:pt>
                <c:pt idx="606">
                  <c:v>23.8486003876</c:v>
                </c:pt>
                <c:pt idx="607">
                  <c:v>24.0751991272</c:v>
                </c:pt>
                <c:pt idx="608">
                  <c:v>23.6802005768</c:v>
                </c:pt>
                <c:pt idx="609">
                  <c:v>23.3754005432</c:v>
                </c:pt>
                <c:pt idx="610">
                  <c:v>23.4307003021</c:v>
                </c:pt>
                <c:pt idx="611">
                  <c:v>24.0659999847</c:v>
                </c:pt>
                <c:pt idx="612">
                  <c:v>24.2327003479</c:v>
                </c:pt>
                <c:pt idx="613">
                  <c:v>24.5590000153</c:v>
                </c:pt>
                <c:pt idx="614">
                  <c:v>24.1522006989</c:v>
                </c:pt>
                <c:pt idx="615">
                  <c:v>24.1128997803</c:v>
                </c:pt>
                <c:pt idx="616">
                  <c:v>23.7707996368</c:v>
                </c:pt>
                <c:pt idx="617">
                  <c:v>23.5184001923</c:v>
                </c:pt>
                <c:pt idx="618">
                  <c:v>23.7268009186</c:v>
                </c:pt>
                <c:pt idx="619">
                  <c:v>23.7192001343</c:v>
                </c:pt>
                <c:pt idx="620">
                  <c:v>23.8409996033</c:v>
                </c:pt>
                <c:pt idx="621">
                  <c:v>23.6935005188</c:v>
                </c:pt>
                <c:pt idx="622">
                  <c:v>23.932800293</c:v>
                </c:pt>
                <c:pt idx="623">
                  <c:v>24.4817008972</c:v>
                </c:pt>
                <c:pt idx="624">
                  <c:v>24.3848991394</c:v>
                </c:pt>
                <c:pt idx="625">
                  <c:v>23.8411006927</c:v>
                </c:pt>
                <c:pt idx="626">
                  <c:v>23.220199585</c:v>
                </c:pt>
                <c:pt idx="627">
                  <c:v>22.8719005585</c:v>
                </c:pt>
                <c:pt idx="628">
                  <c:v>22.363899231</c:v>
                </c:pt>
                <c:pt idx="629">
                  <c:v>22.4719009399</c:v>
                </c:pt>
                <c:pt idx="630">
                  <c:v>22.1268005371</c:v>
                </c:pt>
                <c:pt idx="631">
                  <c:v>22.4890003204</c:v>
                </c:pt>
                <c:pt idx="632">
                  <c:v>22.5076999664</c:v>
                </c:pt>
                <c:pt idx="633">
                  <c:v>22.677400589</c:v>
                </c:pt>
                <c:pt idx="634">
                  <c:v>22.3306007385</c:v>
                </c:pt>
                <c:pt idx="635">
                  <c:v>22.0953998566</c:v>
                </c:pt>
                <c:pt idx="636">
                  <c:v>21.6205005646</c:v>
                </c:pt>
                <c:pt idx="637">
                  <c:v>21.6408996582</c:v>
                </c:pt>
                <c:pt idx="638">
                  <c:v>21.0925998688</c:v>
                </c:pt>
                <c:pt idx="639">
                  <c:v>21.2038002014</c:v>
                </c:pt>
                <c:pt idx="640">
                  <c:v>20.6912994385</c:v>
                </c:pt>
                <c:pt idx="641">
                  <c:v>20.346200943</c:v>
                </c:pt>
                <c:pt idx="642">
                  <c:v>20.0856990814</c:v>
                </c:pt>
                <c:pt idx="643">
                  <c:v>20.2399997711</c:v>
                </c:pt>
                <c:pt idx="644">
                  <c:v>20.888299942</c:v>
                </c:pt>
                <c:pt idx="645">
                  <c:v>20.7863998413</c:v>
                </c:pt>
                <c:pt idx="646">
                  <c:v>21.3460998535</c:v>
                </c:pt>
                <c:pt idx="647">
                  <c:v>21.3199996948</c:v>
                </c:pt>
                <c:pt idx="648">
                  <c:v>21.2812004089</c:v>
                </c:pt>
                <c:pt idx="649">
                  <c:v>21.2105998993</c:v>
                </c:pt>
                <c:pt idx="650">
                  <c:v>21.6942996979</c:v>
                </c:pt>
                <c:pt idx="651">
                  <c:v>21.5788993835</c:v>
                </c:pt>
                <c:pt idx="652">
                  <c:v>21.2863998413</c:v>
                </c:pt>
                <c:pt idx="653">
                  <c:v>22.0323009491</c:v>
                </c:pt>
                <c:pt idx="654">
                  <c:v>21.4193000793</c:v>
                </c:pt>
                <c:pt idx="655">
                  <c:v>20.807100296</c:v>
                </c:pt>
                <c:pt idx="656">
                  <c:v>21.4120998383</c:v>
                </c:pt>
                <c:pt idx="657">
                  <c:v>21.563999176</c:v>
                </c:pt>
                <c:pt idx="658">
                  <c:v>21.7506008148</c:v>
                </c:pt>
                <c:pt idx="659">
                  <c:v>22.0256004333</c:v>
                </c:pt>
                <c:pt idx="660">
                  <c:v>21.5373001099</c:v>
                </c:pt>
                <c:pt idx="661">
                  <c:v>21.4932003021</c:v>
                </c:pt>
                <c:pt idx="662">
                  <c:v>21.9811992645</c:v>
                </c:pt>
                <c:pt idx="663">
                  <c:v>21.5967006683</c:v>
                </c:pt>
                <c:pt idx="664">
                  <c:v>21.5967006683</c:v>
                </c:pt>
                <c:pt idx="665">
                  <c:v>21.6033000946</c:v>
                </c:pt>
                <c:pt idx="666">
                  <c:v>22.6280002594</c:v>
                </c:pt>
                <c:pt idx="667">
                  <c:v>22.2877006531</c:v>
                </c:pt>
                <c:pt idx="668">
                  <c:v>22.3899993896</c:v>
                </c:pt>
                <c:pt idx="669">
                  <c:v>22.0743999481</c:v>
                </c:pt>
                <c:pt idx="670">
                  <c:v>22.2247009277</c:v>
                </c:pt>
                <c:pt idx="671">
                  <c:v>22.545999527</c:v>
                </c:pt>
                <c:pt idx="672">
                  <c:v>23.3593006134</c:v>
                </c:pt>
                <c:pt idx="673">
                  <c:v>23.1832008362</c:v>
                </c:pt>
                <c:pt idx="674">
                  <c:v>23.4057006836</c:v>
                </c:pt>
                <c:pt idx="675">
                  <c:v>23.358499527</c:v>
                </c:pt>
                <c:pt idx="676">
                  <c:v>22.7936000824</c:v>
                </c:pt>
                <c:pt idx="677">
                  <c:v>22.4032001495</c:v>
                </c:pt>
                <c:pt idx="678">
                  <c:v>22.4785995483</c:v>
                </c:pt>
                <c:pt idx="679">
                  <c:v>22.3750991821</c:v>
                </c:pt>
                <c:pt idx="680">
                  <c:v>22.1299991608</c:v>
                </c:pt>
                <c:pt idx="681">
                  <c:v>22.4843006134</c:v>
                </c:pt>
                <c:pt idx="682">
                  <c:v>22.084400177</c:v>
                </c:pt>
                <c:pt idx="683">
                  <c:v>22.4234008789</c:v>
                </c:pt>
                <c:pt idx="684">
                  <c:v>23.1000003815</c:v>
                </c:pt>
                <c:pt idx="685">
                  <c:v>22.9218006134</c:v>
                </c:pt>
                <c:pt idx="686">
                  <c:v>22.7299003601</c:v>
                </c:pt>
                <c:pt idx="687">
                  <c:v>22.8465995789</c:v>
                </c:pt>
                <c:pt idx="688">
                  <c:v>21.7150001526</c:v>
                </c:pt>
                <c:pt idx="689">
                  <c:v>21.7872009277</c:v>
                </c:pt>
                <c:pt idx="690">
                  <c:v>21.3117008209</c:v>
                </c:pt>
                <c:pt idx="691">
                  <c:v>21.1478996277</c:v>
                </c:pt>
                <c:pt idx="692">
                  <c:v>21.3229007721</c:v>
                </c:pt>
                <c:pt idx="693">
                  <c:v>21.2506999969</c:v>
                </c:pt>
                <c:pt idx="694">
                  <c:v>20.3798007965</c:v>
                </c:pt>
                <c:pt idx="695">
                  <c:v>20.5335006714</c:v>
                </c:pt>
                <c:pt idx="696">
                  <c:v>20.5335006714</c:v>
                </c:pt>
                <c:pt idx="697">
                  <c:v>20.8507995605</c:v>
                </c:pt>
                <c:pt idx="698">
                  <c:v>20.6117992401</c:v>
                </c:pt>
                <c:pt idx="699">
                  <c:v>20.5331993103</c:v>
                </c:pt>
                <c:pt idx="700">
                  <c:v>20.5384998322</c:v>
                </c:pt>
                <c:pt idx="701">
                  <c:v>21.5548000336</c:v>
                </c:pt>
                <c:pt idx="702">
                  <c:v>22.9001998901</c:v>
                </c:pt>
                <c:pt idx="703">
                  <c:v>22.2810993195</c:v>
                </c:pt>
                <c:pt idx="704">
                  <c:v>21.8952999115</c:v>
                </c:pt>
                <c:pt idx="705">
                  <c:v>21.5697002411</c:v>
                </c:pt>
                <c:pt idx="706">
                  <c:v>22.9284992218</c:v>
                </c:pt>
                <c:pt idx="707">
                  <c:v>22.8894996643</c:v>
                </c:pt>
                <c:pt idx="708">
                  <c:v>22.782699585</c:v>
                </c:pt>
                <c:pt idx="709">
                  <c:v>22.3698997498</c:v>
                </c:pt>
                <c:pt idx="710">
                  <c:v>22.6606998444</c:v>
                </c:pt>
                <c:pt idx="711">
                  <c:v>22.986700058</c:v>
                </c:pt>
                <c:pt idx="712">
                  <c:v>22.5013008118</c:v>
                </c:pt>
                <c:pt idx="713">
                  <c:v>22.6065998077</c:v>
                </c:pt>
                <c:pt idx="714">
                  <c:v>22.5983009338</c:v>
                </c:pt>
                <c:pt idx="715">
                  <c:v>22.5582008362</c:v>
                </c:pt>
                <c:pt idx="716">
                  <c:v>21.7082996368</c:v>
                </c:pt>
                <c:pt idx="717">
                  <c:v>22.092300415</c:v>
                </c:pt>
                <c:pt idx="718">
                  <c:v>21.8554992676</c:v>
                </c:pt>
                <c:pt idx="719">
                  <c:v>21.0006999969</c:v>
                </c:pt>
                <c:pt idx="720">
                  <c:v>21.5338001251</c:v>
                </c:pt>
                <c:pt idx="721">
                  <c:v>21.8992996216</c:v>
                </c:pt>
                <c:pt idx="722">
                  <c:v>21.8992996216</c:v>
                </c:pt>
                <c:pt idx="723">
                  <c:v>21.6781005859</c:v>
                </c:pt>
                <c:pt idx="724">
                  <c:v>21.8528995514</c:v>
                </c:pt>
              </c:numCache>
            </c:numRef>
          </c:val>
          <c:smooth val="0"/>
        </c:ser>
        <c:axId val="48650112"/>
        <c:axId val="48672768"/>
      </c:lineChart>
      <c:catAx>
        <c:axId val="48650112"/>
        <c:scaling>
          <c:orientation val="minMax"/>
        </c:scaling>
        <c:delete val="1"/>
        <c:axPos val="b"/>
        <c:numFmt formatCode="General"/>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72768"/>
        <c:crosses val="autoZero"/>
        <c:lblAlgn val="ctr"/>
        <c:lblOffset val="100"/>
        <c:noMultiLvlLbl val="0"/>
      </c:catAx>
      <c:valAx>
        <c:axId val="48672768"/>
        <c:scaling>
          <c:orientation val="minMax"/>
        </c:scaling>
        <c:delete val="1"/>
        <c:axPos val="l"/>
        <c:numFmt formatCode="General" sourceLinked="1"/>
        <c:majorTickMark val="none"/>
        <c:minorTickMark val="none"/>
        <c:tickLblPos val="nextTo"/>
        <c:txPr>
          <a:bodyPr rot="-60000000" vert="horz" anchor="ctr" anchorCtr="1"/>
          <a:lstStyle/>
          <a:p>
            <a:pPr>
              <a:defRPr sz="1000" b="0" i="0" u="none">
                <a:solidFill>
                  <a:schemeClr val="tx1"/>
                </a:solidFill>
                <a:latin typeface="+mn-lt"/>
                <a:ea typeface="+mn-lt"/>
                <a:cs typeface="+mn-lt"/>
              </a:defRPr>
            </a:pPr>
          </a:p>
        </c:txPr>
        <c:crossAx val="48650112"/>
        <c:crosses val="autoZero"/>
        <c:crossBetween val="between"/>
      </c:valAx>
    </c:plotArea>
    <c:plotVisOnly val="1"/>
  </c:chart>
  <c:spPr>
    <a:noFill/>
    <a:ln w="12700" cmpd="sng">
      <a:noFill/>
      <a:prstDash val="solid"/>
    </a:ln>
  </c:spPr>
</c:chartSpace>
</file>

<file path=xl/drawings/drawing1.xml><?xml version="1.0" encoding="utf-8"?>
<xdr:wsDr xmlns:xdr="http://schemas.openxmlformats.org/drawingml/2006/spreadsheetDrawing">
  <xdr:oneCellAnchor>
    <xdr:from>
      <xdr:col>20</xdr:col>
      <xdr:colOff>50000</xdr:colOff>
      <xdr:row>38</xdr:row>
      <xdr:rowOff>30000</xdr:rowOff>
    </xdr:from>
    <xdr:ext cx="2500000" cy="85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24b0978fb748f5"/>
        </a:graphicData>
      </a:graphic>
    </xdr:graphicFrame>
    <xdr:clientData/>
  </xdr:oneCellAnchor>
  <xdr:oneCellAnchor>
    <xdr:from>
      <xdr:col>20</xdr:col>
      <xdr:colOff>50000</xdr:colOff>
      <xdr:row>39</xdr:row>
      <xdr:rowOff>30000</xdr:rowOff>
    </xdr:from>
    <xdr:ext cx="2500000" cy="850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80f5717fd7492e"/>
        </a:graphicData>
      </a:graphic>
    </xdr:graphicFrame>
    <xdr:clientData/>
  </xdr:oneCellAnchor>
  <xdr:oneCellAnchor>
    <xdr:from>
      <xdr:col>20</xdr:col>
      <xdr:colOff>50000</xdr:colOff>
      <xdr:row>40</xdr:row>
      <xdr:rowOff>30000</xdr:rowOff>
    </xdr:from>
    <xdr:ext cx="2500000" cy="8500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4d0779dfc54246"/>
        </a:graphicData>
      </a:graphic>
    </xdr:graphicFrame>
    <xdr:clientData/>
  </xdr:oneCellAnchor>
  <xdr:oneCellAnchor>
    <xdr:from>
      <xdr:col>20</xdr:col>
      <xdr:colOff>50000</xdr:colOff>
      <xdr:row>41</xdr:row>
      <xdr:rowOff>30000</xdr:rowOff>
    </xdr:from>
    <xdr:ext cx="2500000" cy="850000"/>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6646575dd64832"/>
        </a:graphicData>
      </a:graphic>
    </xdr:graphicFrame>
    <xdr:clientData/>
  </xdr:oneCellAnchor>
  <xdr:oneCellAnchor>
    <xdr:from>
      <xdr:col>20</xdr:col>
      <xdr:colOff>50000</xdr:colOff>
      <xdr:row>42</xdr:row>
      <xdr:rowOff>30000</xdr:rowOff>
    </xdr:from>
    <xdr:ext cx="2500000" cy="850000"/>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c90ba2100d40cb"/>
        </a:graphicData>
      </a:graphic>
    </xdr:graphicFrame>
    <xdr:clientData/>
  </xdr:oneCellAnchor>
  <xdr:oneCellAnchor>
    <xdr:from>
      <xdr:col>20</xdr:col>
      <xdr:colOff>50000</xdr:colOff>
      <xdr:row>43</xdr:row>
      <xdr:rowOff>30000</xdr:rowOff>
    </xdr:from>
    <xdr:ext cx="2500000" cy="850000"/>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2e4d4b888d4465"/>
        </a:graphicData>
      </a:graphic>
    </xdr:graphicFrame>
    <xdr:clientData/>
  </xdr:oneCellAnchor>
  <xdr:oneCellAnchor>
    <xdr:from>
      <xdr:col>20</xdr:col>
      <xdr:colOff>50000</xdr:colOff>
      <xdr:row>44</xdr:row>
      <xdr:rowOff>30000</xdr:rowOff>
    </xdr:from>
    <xdr:ext cx="2500000" cy="850000"/>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e54b8a804e48dd"/>
        </a:graphicData>
      </a:graphic>
    </xdr:graphicFrame>
    <xdr:clientData/>
  </xdr:oneCellAnchor>
  <xdr:oneCellAnchor>
    <xdr:from>
      <xdr:col>20</xdr:col>
      <xdr:colOff>50000</xdr:colOff>
      <xdr:row>45</xdr:row>
      <xdr:rowOff>30000</xdr:rowOff>
    </xdr:from>
    <xdr:ext cx="2500000" cy="850000"/>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369511294a42ce"/>
        </a:graphicData>
      </a:graphic>
    </xdr:graphicFrame>
    <xdr:clientData/>
  </xdr:oneCellAnchor>
  <xdr:oneCellAnchor>
    <xdr:from>
      <xdr:col>20</xdr:col>
      <xdr:colOff>50000</xdr:colOff>
      <xdr:row>46</xdr:row>
      <xdr:rowOff>30000</xdr:rowOff>
    </xdr:from>
    <xdr:ext cx="2500000" cy="850000"/>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9fc14ccc214f53"/>
        </a:graphicData>
      </a:graphic>
    </xdr:graphicFrame>
    <xdr:clientData/>
  </xdr:oneCellAnchor>
  <xdr:oneCellAnchor>
    <xdr:from>
      <xdr:col>20</xdr:col>
      <xdr:colOff>50000</xdr:colOff>
      <xdr:row>47</xdr:row>
      <xdr:rowOff>30000</xdr:rowOff>
    </xdr:from>
    <xdr:ext cx="2500000" cy="850000"/>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5c2d3f4d9a4921"/>
        </a:graphicData>
      </a:graphic>
    </xdr:graphicFrame>
    <xdr:clientData/>
  </xdr:oneCellAnchor>
  <xdr:oneCellAnchor>
    <xdr:from>
      <xdr:col>20</xdr:col>
      <xdr:colOff>50000</xdr:colOff>
      <xdr:row>48</xdr:row>
      <xdr:rowOff>30000</xdr:rowOff>
    </xdr:from>
    <xdr:ext cx="2500000" cy="850000"/>
    <xdr:graphicFrame macro="">
      <xdr:nvGraphicFramePr>
        <xdr:cNvPr id="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1edb11c7ab4571"/>
        </a:graphicData>
      </a:graphic>
    </xdr:graphicFrame>
    <xdr:clientData/>
  </xdr:oneCellAnchor>
  <xdr:oneCellAnchor>
    <xdr:from>
      <xdr:col>20</xdr:col>
      <xdr:colOff>50000</xdr:colOff>
      <xdr:row>49</xdr:row>
      <xdr:rowOff>30000</xdr:rowOff>
    </xdr:from>
    <xdr:ext cx="2500000" cy="850000"/>
    <xdr:graphicFrame macro="">
      <xdr:nvGraphicFramePr>
        <xdr:cNvPr id="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8d79ca123d4479"/>
        </a:graphicData>
      </a:graphic>
    </xdr:graphicFrame>
    <xdr:clientData/>
  </xdr:oneCellAnchor>
  <xdr:oneCellAnchor>
    <xdr:from>
      <xdr:col>20</xdr:col>
      <xdr:colOff>50000</xdr:colOff>
      <xdr:row>50</xdr:row>
      <xdr:rowOff>30000</xdr:rowOff>
    </xdr:from>
    <xdr:ext cx="2500000" cy="850000"/>
    <xdr:graphicFrame macro="">
      <xdr:nvGraphicFramePr>
        <xdr:cNvPr id="1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79b642aa38435f"/>
        </a:graphicData>
      </a:graphic>
    </xdr:graphicFrame>
    <xdr:clientData/>
  </xdr:oneCellAnchor>
  <xdr:oneCellAnchor>
    <xdr:from>
      <xdr:col>20</xdr:col>
      <xdr:colOff>50000</xdr:colOff>
      <xdr:row>52</xdr:row>
      <xdr:rowOff>30000</xdr:rowOff>
    </xdr:from>
    <xdr:ext cx="2500000" cy="850000"/>
    <xdr:graphicFrame macro="">
      <xdr:nvGraphicFramePr>
        <xdr:cNvPr id="1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21f5c084904258"/>
        </a:graphicData>
      </a:graphic>
    </xdr:graphicFrame>
    <xdr:clientData/>
  </xdr:oneCellAnchor>
  <xdr:oneCellAnchor>
    <xdr:from>
      <xdr:col>20</xdr:col>
      <xdr:colOff>50000</xdr:colOff>
      <xdr:row>53</xdr:row>
      <xdr:rowOff>30000</xdr:rowOff>
    </xdr:from>
    <xdr:ext cx="2500000" cy="850000"/>
    <xdr:graphicFrame macro="">
      <xdr:nvGraphicFramePr>
        <xdr:cNvPr id="1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6c357f6ffe4eeb"/>
        </a:graphicData>
      </a:graphic>
    </xdr:graphicFrame>
    <xdr:clientData/>
  </xdr:oneCellAnchor>
  <xdr:oneCellAnchor>
    <xdr:from>
      <xdr:col>20</xdr:col>
      <xdr:colOff>50000</xdr:colOff>
      <xdr:row>54</xdr:row>
      <xdr:rowOff>30000</xdr:rowOff>
    </xdr:from>
    <xdr:ext cx="2500000" cy="850000"/>
    <xdr:graphicFrame macro="">
      <xdr:nvGraphicFramePr>
        <xdr:cNvPr id="1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43ccf4e072471b"/>
        </a:graphicData>
      </a:graphic>
    </xdr:graphicFrame>
    <xdr:clientData/>
  </xdr:oneCellAnchor>
  <xdr:oneCellAnchor>
    <xdr:from>
      <xdr:col>20</xdr:col>
      <xdr:colOff>50000</xdr:colOff>
      <xdr:row>55</xdr:row>
      <xdr:rowOff>30000</xdr:rowOff>
    </xdr:from>
    <xdr:ext cx="2500000" cy="850000"/>
    <xdr:graphicFrame macro="">
      <xdr:nvGraphicFramePr>
        <xdr:cNvPr id="1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dadfe955cc4039"/>
        </a:graphicData>
      </a:graphic>
    </xdr:graphicFrame>
    <xdr:clientData/>
  </xdr:oneCellAnchor>
  <xdr:oneCellAnchor>
    <xdr:from>
      <xdr:col>20</xdr:col>
      <xdr:colOff>50000</xdr:colOff>
      <xdr:row>56</xdr:row>
      <xdr:rowOff>30000</xdr:rowOff>
    </xdr:from>
    <xdr:ext cx="2500000" cy="850000"/>
    <xdr:graphicFrame macro="">
      <xdr:nvGraphicFramePr>
        <xdr:cNvPr id="1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34e9156ee7e4585"/>
        </a:graphicData>
      </a:graphic>
    </xdr:graphicFrame>
    <xdr:clientData/>
  </xdr:oneCellAnchor>
  <xdr:oneCellAnchor>
    <xdr:from>
      <xdr:col>20</xdr:col>
      <xdr:colOff>50000</xdr:colOff>
      <xdr:row>57</xdr:row>
      <xdr:rowOff>30000</xdr:rowOff>
    </xdr:from>
    <xdr:ext cx="2500000" cy="850000"/>
    <xdr:graphicFrame macro="">
      <xdr:nvGraphicFramePr>
        <xdr:cNvPr id="1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33229cd7344434"/>
        </a:graphicData>
      </a:graphic>
    </xdr:graphicFrame>
    <xdr:clientData/>
  </xdr:oneCellAnchor>
  <xdr:oneCellAnchor>
    <xdr:from>
      <xdr:col>20</xdr:col>
      <xdr:colOff>50000</xdr:colOff>
      <xdr:row>58</xdr:row>
      <xdr:rowOff>30000</xdr:rowOff>
    </xdr:from>
    <xdr:ext cx="2500000" cy="850000"/>
    <xdr:graphicFrame macro="">
      <xdr:nvGraphicFramePr>
        <xdr:cNvPr id="2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7cc9704b0e4171"/>
        </a:graphicData>
      </a:graphic>
    </xdr:graphicFrame>
    <xdr:clientData/>
  </xdr:oneCellAnchor>
  <xdr:oneCellAnchor>
    <xdr:from>
      <xdr:col>20</xdr:col>
      <xdr:colOff>50000</xdr:colOff>
      <xdr:row>2</xdr:row>
      <xdr:rowOff>30000</xdr:rowOff>
    </xdr:from>
    <xdr:ext cx="2500000" cy="850000"/>
    <xdr:graphicFrame macro="">
      <xdr:nvGraphicFramePr>
        <xdr:cNvPr id="2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b8aefdde1a431e"/>
        </a:graphicData>
      </a:graphic>
    </xdr:graphicFrame>
    <xdr:clientData/>
  </xdr:oneCellAnchor>
  <xdr:oneCellAnchor>
    <xdr:from>
      <xdr:col>20</xdr:col>
      <xdr:colOff>50000</xdr:colOff>
      <xdr:row>9</xdr:row>
      <xdr:rowOff>30000</xdr:rowOff>
    </xdr:from>
    <xdr:ext cx="2500000" cy="850000"/>
    <xdr:graphicFrame macro="">
      <xdr:nvGraphicFramePr>
        <xdr:cNvPr id="2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fe09ed34e7406e"/>
        </a:graphicData>
      </a:graphic>
    </xdr:graphicFrame>
    <xdr:clientData/>
  </xdr:oneCellAnchor>
  <xdr:oneCellAnchor>
    <xdr:from>
      <xdr:col>20</xdr:col>
      <xdr:colOff>50000</xdr:colOff>
      <xdr:row>13</xdr:row>
      <xdr:rowOff>30000</xdr:rowOff>
    </xdr:from>
    <xdr:ext cx="2500000" cy="850000"/>
    <xdr:graphicFrame macro="">
      <xdr:nvGraphicFramePr>
        <xdr:cNvPr id="2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d5cff99e6d4813"/>
        </a:graphicData>
      </a:graphic>
    </xdr:graphicFrame>
    <xdr:clientData/>
  </xdr:oneCellAnchor>
  <xdr:oneCellAnchor>
    <xdr:from>
      <xdr:col>20</xdr:col>
      <xdr:colOff>50000</xdr:colOff>
      <xdr:row>14</xdr:row>
      <xdr:rowOff>30000</xdr:rowOff>
    </xdr:from>
    <xdr:ext cx="2500000" cy="850000"/>
    <xdr:graphicFrame macro="">
      <xdr:nvGraphicFramePr>
        <xdr:cNvPr id="2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6474ead7bf47e1"/>
        </a:graphicData>
      </a:graphic>
    </xdr:graphicFrame>
    <xdr:clientData/>
  </xdr:oneCellAnchor>
  <xdr:oneCellAnchor>
    <xdr:from>
      <xdr:col>20</xdr:col>
      <xdr:colOff>50000</xdr:colOff>
      <xdr:row>15</xdr:row>
      <xdr:rowOff>30000</xdr:rowOff>
    </xdr:from>
    <xdr:ext cx="2500000" cy="850000"/>
    <xdr:graphicFrame macro="">
      <xdr:nvGraphicFramePr>
        <xdr:cNvPr id="2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5bd89dd7d04f5c"/>
        </a:graphicData>
      </a:graphic>
    </xdr:graphicFrame>
    <xdr:clientData/>
  </xdr:oneCellAnchor>
  <xdr:oneCellAnchor>
    <xdr:from>
      <xdr:col>20</xdr:col>
      <xdr:colOff>50000</xdr:colOff>
      <xdr:row>19</xdr:row>
      <xdr:rowOff>30000</xdr:rowOff>
    </xdr:from>
    <xdr:ext cx="2500000" cy="850000"/>
    <xdr:graphicFrame macro="">
      <xdr:nvGraphicFramePr>
        <xdr:cNvPr id="2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a4385983e02473c"/>
        </a:graphicData>
      </a:graphic>
    </xdr:graphicFrame>
    <xdr:clientData/>
  </xdr:oneCellAnchor>
  <xdr:oneCellAnchor>
    <xdr:from>
      <xdr:col>20</xdr:col>
      <xdr:colOff>50000</xdr:colOff>
      <xdr:row>20</xdr:row>
      <xdr:rowOff>30000</xdr:rowOff>
    </xdr:from>
    <xdr:ext cx="2500000" cy="850000"/>
    <xdr:graphicFrame macro="">
      <xdr:nvGraphicFramePr>
        <xdr:cNvPr id="2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57af06b3854c00"/>
        </a:graphicData>
      </a:graphic>
    </xdr:graphicFrame>
    <xdr:clientData/>
  </xdr:oneCellAnchor>
  <xdr:oneCellAnchor>
    <xdr:from>
      <xdr:col>20</xdr:col>
      <xdr:colOff>50000</xdr:colOff>
      <xdr:row>21</xdr:row>
      <xdr:rowOff>30000</xdr:rowOff>
    </xdr:from>
    <xdr:ext cx="2500000" cy="850000"/>
    <xdr:graphicFrame macro="">
      <xdr:nvGraphicFramePr>
        <xdr:cNvPr id="2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29a9377e574502"/>
        </a:graphicData>
      </a:graphic>
    </xdr:graphicFrame>
    <xdr:clientData/>
  </xdr:oneCellAnchor>
  <xdr:oneCellAnchor>
    <xdr:from>
      <xdr:col>20</xdr:col>
      <xdr:colOff>50000</xdr:colOff>
      <xdr:row>22</xdr:row>
      <xdr:rowOff>30000</xdr:rowOff>
    </xdr:from>
    <xdr:ext cx="2500000" cy="850000"/>
    <xdr:graphicFrame macro="">
      <xdr:nvGraphicFramePr>
        <xdr:cNvPr id="2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1c6b49d2444dba"/>
        </a:graphicData>
      </a:graphic>
    </xdr:graphicFrame>
    <xdr:clientData/>
  </xdr:oneCellAnchor>
  <xdr:oneCellAnchor>
    <xdr:from>
      <xdr:col>20</xdr:col>
      <xdr:colOff>50000</xdr:colOff>
      <xdr:row>23</xdr:row>
      <xdr:rowOff>30000</xdr:rowOff>
    </xdr:from>
    <xdr:ext cx="2500000" cy="850000"/>
    <xdr:graphicFrame macro="">
      <xdr:nvGraphicFramePr>
        <xdr:cNvPr id="3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90e7294a3194b33"/>
        </a:graphicData>
      </a:graphic>
    </xdr:graphicFrame>
    <xdr:clientData/>
  </xdr:oneCellAnchor>
  <xdr:oneCellAnchor>
    <xdr:from>
      <xdr:col>20</xdr:col>
      <xdr:colOff>50000</xdr:colOff>
      <xdr:row>24</xdr:row>
      <xdr:rowOff>30000</xdr:rowOff>
    </xdr:from>
    <xdr:ext cx="2500000" cy="850000"/>
    <xdr:graphicFrame macro="">
      <xdr:nvGraphicFramePr>
        <xdr:cNvPr id="3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3026dea3d4411e"/>
        </a:graphicData>
      </a:graphic>
    </xdr:graphicFrame>
    <xdr:clientData/>
  </xdr:oneCellAnchor>
  <xdr:oneCellAnchor>
    <xdr:from>
      <xdr:col>20</xdr:col>
      <xdr:colOff>50000</xdr:colOff>
      <xdr:row>25</xdr:row>
      <xdr:rowOff>30000</xdr:rowOff>
    </xdr:from>
    <xdr:ext cx="2500000" cy="850000"/>
    <xdr:graphicFrame macro="">
      <xdr:nvGraphicFramePr>
        <xdr:cNvPr id="3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6878c4c54540a6"/>
        </a:graphicData>
      </a:graphic>
    </xdr:graphicFrame>
    <xdr:clientData/>
  </xdr:oneCellAnchor>
  <xdr:oneCellAnchor>
    <xdr:from>
      <xdr:col>20</xdr:col>
      <xdr:colOff>50000</xdr:colOff>
      <xdr:row>28</xdr:row>
      <xdr:rowOff>30000</xdr:rowOff>
    </xdr:from>
    <xdr:ext cx="2500000" cy="850000"/>
    <xdr:graphicFrame macro="">
      <xdr:nvGraphicFramePr>
        <xdr:cNvPr id="3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0257c351cb42a4"/>
        </a:graphicData>
      </a:graphic>
    </xdr:graphicFrame>
    <xdr:clientData/>
  </xdr:oneCellAnchor>
  <xdr:oneCellAnchor>
    <xdr:from>
      <xdr:col>20</xdr:col>
      <xdr:colOff>50000</xdr:colOff>
      <xdr:row>29</xdr:row>
      <xdr:rowOff>30000</xdr:rowOff>
    </xdr:from>
    <xdr:ext cx="2500000" cy="850000"/>
    <xdr:graphicFrame macro="">
      <xdr:nvGraphicFramePr>
        <xdr:cNvPr id="3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e88f270fd64917"/>
        </a:graphicData>
      </a:graphic>
    </xdr:graphicFrame>
    <xdr:clientData/>
  </xdr:oneCellAnchor>
  <xdr:oneCellAnchor>
    <xdr:from>
      <xdr:col>20</xdr:col>
      <xdr:colOff>50000</xdr:colOff>
      <xdr:row>74</xdr:row>
      <xdr:rowOff>30000</xdr:rowOff>
    </xdr:from>
    <xdr:ext cx="2500000" cy="850000"/>
    <xdr:graphicFrame macro="">
      <xdr:nvGraphicFramePr>
        <xdr:cNvPr id="3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78facec0d94923"/>
        </a:graphicData>
      </a:graphic>
    </xdr:graphicFrame>
    <xdr:clientData/>
  </xdr:oneCellAnchor>
  <xdr:oneCellAnchor>
    <xdr:from>
      <xdr:col>20</xdr:col>
      <xdr:colOff>50000</xdr:colOff>
      <xdr:row>75</xdr:row>
      <xdr:rowOff>30000</xdr:rowOff>
    </xdr:from>
    <xdr:ext cx="2500000" cy="850000"/>
    <xdr:graphicFrame macro="">
      <xdr:nvGraphicFramePr>
        <xdr:cNvPr id="3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547c8be1ea4ef3"/>
        </a:graphicData>
      </a:graphic>
    </xdr:graphicFrame>
    <xdr:clientData/>
  </xdr:oneCellAnchor>
  <xdr:oneCellAnchor>
    <xdr:from>
      <xdr:col>20</xdr:col>
      <xdr:colOff>50000</xdr:colOff>
      <xdr:row>76</xdr:row>
      <xdr:rowOff>30000</xdr:rowOff>
    </xdr:from>
    <xdr:ext cx="2500000" cy="850000"/>
    <xdr:graphicFrame macro="">
      <xdr:nvGraphicFramePr>
        <xdr:cNvPr id="3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75b0aad3934404"/>
        </a:graphicData>
      </a:graphic>
    </xdr:graphicFrame>
    <xdr:clientData/>
  </xdr:oneCellAnchor>
  <xdr:oneCellAnchor>
    <xdr:from>
      <xdr:col>20</xdr:col>
      <xdr:colOff>50000</xdr:colOff>
      <xdr:row>77</xdr:row>
      <xdr:rowOff>30000</xdr:rowOff>
    </xdr:from>
    <xdr:ext cx="2500000" cy="850000"/>
    <xdr:graphicFrame macro="">
      <xdr:nvGraphicFramePr>
        <xdr:cNvPr id="3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018f3a87584a7d"/>
        </a:graphicData>
      </a:graphic>
    </xdr:graphicFrame>
    <xdr:clientData/>
  </xdr:oneCellAnchor>
  <xdr:oneCellAnchor>
    <xdr:from>
      <xdr:col>20</xdr:col>
      <xdr:colOff>50000</xdr:colOff>
      <xdr:row>70</xdr:row>
      <xdr:rowOff>30000</xdr:rowOff>
    </xdr:from>
    <xdr:ext cx="2500000" cy="850000"/>
    <xdr:graphicFrame macro="">
      <xdr:nvGraphicFramePr>
        <xdr:cNvPr id="3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564a4034174629"/>
        </a:graphicData>
      </a:graphic>
    </xdr:graphicFrame>
    <xdr:clientData/>
  </xdr:oneCellAnchor>
  <xdr:oneCellAnchor>
    <xdr:from>
      <xdr:col>20</xdr:col>
      <xdr:colOff>50000</xdr:colOff>
      <xdr:row>71</xdr:row>
      <xdr:rowOff>30000</xdr:rowOff>
    </xdr:from>
    <xdr:ext cx="2500000" cy="850000"/>
    <xdr:graphicFrame macro="">
      <xdr:nvGraphicFramePr>
        <xdr:cNvPr id="4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68810fe5074ba6"/>
        </a:graphicData>
      </a:graphic>
    </xdr:graphicFrame>
    <xdr:clientData/>
  </xdr:oneCellAnchor>
  <xdr:oneCellAnchor>
    <xdr:from>
      <xdr:col>20</xdr:col>
      <xdr:colOff>50000</xdr:colOff>
      <xdr:row>72</xdr:row>
      <xdr:rowOff>30000</xdr:rowOff>
    </xdr:from>
    <xdr:ext cx="2500000" cy="850000"/>
    <xdr:graphicFrame macro="">
      <xdr:nvGraphicFramePr>
        <xdr:cNvPr id="4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875421677e41cd"/>
        </a:graphicData>
      </a:graphic>
    </xdr:graphicFrame>
    <xdr:clientData/>
  </xdr:oneCellAnchor>
  <xdr:oneCellAnchor>
    <xdr:from>
      <xdr:col>20</xdr:col>
      <xdr:colOff>50000</xdr:colOff>
      <xdr:row>73</xdr:row>
      <xdr:rowOff>30000</xdr:rowOff>
    </xdr:from>
    <xdr:ext cx="2500000" cy="850000"/>
    <xdr:graphicFrame macro="">
      <xdr:nvGraphicFramePr>
        <xdr:cNvPr id="4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323027d73f465e"/>
        </a:graphicData>
      </a:graphic>
    </xdr:graphicFrame>
    <xdr:clientData/>
  </xdr:oneCellAnchor>
  <xdr:oneCellAnchor>
    <xdr:from>
      <xdr:col>20</xdr:col>
      <xdr:colOff>50000</xdr:colOff>
      <xdr:row>173</xdr:row>
      <xdr:rowOff>30000</xdr:rowOff>
    </xdr:from>
    <xdr:ext cx="2500000" cy="850000"/>
    <xdr:graphicFrame macro="">
      <xdr:nvGraphicFramePr>
        <xdr:cNvPr id="4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6e20ca760240f4"/>
        </a:graphicData>
      </a:graphic>
    </xdr:graphicFrame>
    <xdr:clientData/>
  </xdr:oneCellAnchor>
  <xdr:oneCellAnchor>
    <xdr:from>
      <xdr:col>20</xdr:col>
      <xdr:colOff>50000</xdr:colOff>
      <xdr:row>174</xdr:row>
      <xdr:rowOff>30000</xdr:rowOff>
    </xdr:from>
    <xdr:ext cx="2500000" cy="850000"/>
    <xdr:graphicFrame macro="">
      <xdr:nvGraphicFramePr>
        <xdr:cNvPr id="4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01e0b8981f4711"/>
        </a:graphicData>
      </a:graphic>
    </xdr:graphicFrame>
    <xdr:clientData/>
  </xdr:oneCellAnchor>
  <xdr:oneCellAnchor>
    <xdr:from>
      <xdr:col>20</xdr:col>
      <xdr:colOff>50000</xdr:colOff>
      <xdr:row>175</xdr:row>
      <xdr:rowOff>30000</xdr:rowOff>
    </xdr:from>
    <xdr:ext cx="2500000" cy="850000"/>
    <xdr:graphicFrame macro="">
      <xdr:nvGraphicFramePr>
        <xdr:cNvPr id="4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014b9427fa48e0"/>
        </a:graphicData>
      </a:graphic>
    </xdr:graphicFrame>
    <xdr:clientData/>
  </xdr:oneCellAnchor>
  <xdr:oneCellAnchor>
    <xdr:from>
      <xdr:col>20</xdr:col>
      <xdr:colOff>50000</xdr:colOff>
      <xdr:row>178</xdr:row>
      <xdr:rowOff>30000</xdr:rowOff>
    </xdr:from>
    <xdr:ext cx="2500000" cy="850000"/>
    <xdr:graphicFrame macro="">
      <xdr:nvGraphicFramePr>
        <xdr:cNvPr id="4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b709e29fac442b4"/>
        </a:graphicData>
      </a:graphic>
    </xdr:graphicFrame>
    <xdr:clientData/>
  </xdr:oneCellAnchor>
  <xdr:oneCellAnchor>
    <xdr:from>
      <xdr:col>20</xdr:col>
      <xdr:colOff>50000</xdr:colOff>
      <xdr:row>179</xdr:row>
      <xdr:rowOff>30000</xdr:rowOff>
    </xdr:from>
    <xdr:ext cx="2500000" cy="850000"/>
    <xdr:graphicFrame macro="">
      <xdr:nvGraphicFramePr>
        <xdr:cNvPr id="4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82d8e535004b34"/>
        </a:graphicData>
      </a:graphic>
    </xdr:graphicFrame>
    <xdr:clientData/>
  </xdr:oneCellAnchor>
  <xdr:oneCellAnchor>
    <xdr:from>
      <xdr:col>20</xdr:col>
      <xdr:colOff>50000</xdr:colOff>
      <xdr:row>180</xdr:row>
      <xdr:rowOff>30000</xdr:rowOff>
    </xdr:from>
    <xdr:ext cx="2500000" cy="850000"/>
    <xdr:graphicFrame macro="">
      <xdr:nvGraphicFramePr>
        <xdr:cNvPr id="4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88d0ffd9424f97"/>
        </a:graphicData>
      </a:graphic>
    </xdr:graphicFrame>
    <xdr:clientData/>
  </xdr:oneCellAnchor>
  <xdr:oneCellAnchor>
    <xdr:from>
      <xdr:col>20</xdr:col>
      <xdr:colOff>50000</xdr:colOff>
      <xdr:row>181</xdr:row>
      <xdr:rowOff>30000</xdr:rowOff>
    </xdr:from>
    <xdr:ext cx="2500000" cy="850000"/>
    <xdr:graphicFrame macro="">
      <xdr:nvGraphicFramePr>
        <xdr:cNvPr id="4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1604ba2ae04586"/>
        </a:graphicData>
      </a:graphic>
    </xdr:graphicFrame>
    <xdr:clientData/>
  </xdr:oneCellAnchor>
  <xdr:oneCellAnchor>
    <xdr:from>
      <xdr:col>20</xdr:col>
      <xdr:colOff>50000</xdr:colOff>
      <xdr:row>183</xdr:row>
      <xdr:rowOff>30000</xdr:rowOff>
    </xdr:from>
    <xdr:ext cx="2500000" cy="850000"/>
    <xdr:graphicFrame macro="">
      <xdr:nvGraphicFramePr>
        <xdr:cNvPr id="5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cff9eb55614e42"/>
        </a:graphicData>
      </a:graphic>
    </xdr:graphicFrame>
    <xdr:clientData/>
  </xdr:oneCellAnchor>
  <xdr:oneCellAnchor>
    <xdr:from>
      <xdr:col>20</xdr:col>
      <xdr:colOff>50000</xdr:colOff>
      <xdr:row>184</xdr:row>
      <xdr:rowOff>30000</xdr:rowOff>
    </xdr:from>
    <xdr:ext cx="2500000" cy="850000"/>
    <xdr:graphicFrame macro="">
      <xdr:nvGraphicFramePr>
        <xdr:cNvPr id="5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30cdbf746148c5"/>
        </a:graphicData>
      </a:graphic>
    </xdr:graphicFrame>
    <xdr:clientData/>
  </xdr:oneCellAnchor>
  <xdr:oneCellAnchor>
    <xdr:from>
      <xdr:col>20</xdr:col>
      <xdr:colOff>50000</xdr:colOff>
      <xdr:row>185</xdr:row>
      <xdr:rowOff>30000</xdr:rowOff>
    </xdr:from>
    <xdr:ext cx="2500000" cy="850000"/>
    <xdr:graphicFrame macro="">
      <xdr:nvGraphicFramePr>
        <xdr:cNvPr id="5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640bd236f3421f"/>
        </a:graphicData>
      </a:graphic>
    </xdr:graphicFrame>
    <xdr:clientData/>
  </xdr:oneCellAnchor>
  <xdr:oneCellAnchor>
    <xdr:from>
      <xdr:col>20</xdr:col>
      <xdr:colOff>50000</xdr:colOff>
      <xdr:row>186</xdr:row>
      <xdr:rowOff>30000</xdr:rowOff>
    </xdr:from>
    <xdr:ext cx="2500000" cy="850000"/>
    <xdr:graphicFrame macro="">
      <xdr:nvGraphicFramePr>
        <xdr:cNvPr id="5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28dd2c604248c4"/>
        </a:graphicData>
      </a:graphic>
    </xdr:graphicFrame>
    <xdr:clientData/>
  </xdr:oneCellAnchor>
  <xdr:oneCellAnchor>
    <xdr:from>
      <xdr:col>20</xdr:col>
      <xdr:colOff>50000</xdr:colOff>
      <xdr:row>187</xdr:row>
      <xdr:rowOff>30000</xdr:rowOff>
    </xdr:from>
    <xdr:ext cx="2500000" cy="850000"/>
    <xdr:graphicFrame macro="">
      <xdr:nvGraphicFramePr>
        <xdr:cNvPr id="5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263e4ff4b44538"/>
        </a:graphicData>
      </a:graphic>
    </xdr:graphicFrame>
    <xdr:clientData/>
  </xdr:oneCellAnchor>
  <xdr:oneCellAnchor>
    <xdr:from>
      <xdr:col>20</xdr:col>
      <xdr:colOff>50000</xdr:colOff>
      <xdr:row>188</xdr:row>
      <xdr:rowOff>30000</xdr:rowOff>
    </xdr:from>
    <xdr:ext cx="2500000" cy="850000"/>
    <xdr:graphicFrame macro="">
      <xdr:nvGraphicFramePr>
        <xdr:cNvPr id="5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20160aa92e490d"/>
        </a:graphicData>
      </a:graphic>
    </xdr:graphicFrame>
    <xdr:clientData/>
  </xdr:oneCellAnchor>
  <xdr:oneCellAnchor>
    <xdr:from>
      <xdr:col>20</xdr:col>
      <xdr:colOff>50000</xdr:colOff>
      <xdr:row>153</xdr:row>
      <xdr:rowOff>30000</xdr:rowOff>
    </xdr:from>
    <xdr:ext cx="2500000" cy="850000"/>
    <xdr:graphicFrame macro="">
      <xdr:nvGraphicFramePr>
        <xdr:cNvPr id="5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15b5fbfea54516"/>
        </a:graphicData>
      </a:graphic>
    </xdr:graphicFrame>
    <xdr:clientData/>
  </xdr:oneCellAnchor>
  <xdr:oneCellAnchor>
    <xdr:from>
      <xdr:col>20</xdr:col>
      <xdr:colOff>50000</xdr:colOff>
      <xdr:row>154</xdr:row>
      <xdr:rowOff>30000</xdr:rowOff>
    </xdr:from>
    <xdr:ext cx="2500000" cy="850000"/>
    <xdr:graphicFrame macro="">
      <xdr:nvGraphicFramePr>
        <xdr:cNvPr id="5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794dcdcbae4761"/>
        </a:graphicData>
      </a:graphic>
    </xdr:graphicFrame>
    <xdr:clientData/>
  </xdr:oneCellAnchor>
  <xdr:oneCellAnchor>
    <xdr:from>
      <xdr:col>20</xdr:col>
      <xdr:colOff>50000</xdr:colOff>
      <xdr:row>156</xdr:row>
      <xdr:rowOff>30000</xdr:rowOff>
    </xdr:from>
    <xdr:ext cx="2500000" cy="850000"/>
    <xdr:graphicFrame macro="">
      <xdr:nvGraphicFramePr>
        <xdr:cNvPr id="5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f794b1c494643b7"/>
        </a:graphicData>
      </a:graphic>
    </xdr:graphicFrame>
    <xdr:clientData/>
  </xdr:oneCellAnchor>
  <xdr:oneCellAnchor>
    <xdr:from>
      <xdr:col>20</xdr:col>
      <xdr:colOff>50000</xdr:colOff>
      <xdr:row>158</xdr:row>
      <xdr:rowOff>30000</xdr:rowOff>
    </xdr:from>
    <xdr:ext cx="2500000" cy="850000"/>
    <xdr:graphicFrame macro="">
      <xdr:nvGraphicFramePr>
        <xdr:cNvPr id="5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6b19c6ac9e4abc"/>
        </a:graphicData>
      </a:graphic>
    </xdr:graphicFrame>
    <xdr:clientData/>
  </xdr:oneCellAnchor>
  <xdr:oneCellAnchor>
    <xdr:from>
      <xdr:col>20</xdr:col>
      <xdr:colOff>50000</xdr:colOff>
      <xdr:row>159</xdr:row>
      <xdr:rowOff>30000</xdr:rowOff>
    </xdr:from>
    <xdr:ext cx="2500000" cy="850000"/>
    <xdr:graphicFrame macro="">
      <xdr:nvGraphicFramePr>
        <xdr:cNvPr id="6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d9c413b60654d87"/>
        </a:graphicData>
      </a:graphic>
    </xdr:graphicFrame>
    <xdr:clientData/>
  </xdr:oneCellAnchor>
  <xdr:oneCellAnchor>
    <xdr:from>
      <xdr:col>20</xdr:col>
      <xdr:colOff>50000</xdr:colOff>
      <xdr:row>160</xdr:row>
      <xdr:rowOff>30000</xdr:rowOff>
    </xdr:from>
    <xdr:ext cx="2500000" cy="850000"/>
    <xdr:graphicFrame macro="">
      <xdr:nvGraphicFramePr>
        <xdr:cNvPr id="6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f01fb6968f41dd"/>
        </a:graphicData>
      </a:graphic>
    </xdr:graphicFrame>
    <xdr:clientData/>
  </xdr:oneCellAnchor>
  <xdr:oneCellAnchor>
    <xdr:from>
      <xdr:col>20</xdr:col>
      <xdr:colOff>50000</xdr:colOff>
      <xdr:row>163</xdr:row>
      <xdr:rowOff>30000</xdr:rowOff>
    </xdr:from>
    <xdr:ext cx="2500000" cy="850000"/>
    <xdr:graphicFrame macro="">
      <xdr:nvGraphicFramePr>
        <xdr:cNvPr id="6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cb73b78a55447d"/>
        </a:graphicData>
      </a:graphic>
    </xdr:graphicFrame>
    <xdr:clientData/>
  </xdr:oneCellAnchor>
  <xdr:oneCellAnchor>
    <xdr:from>
      <xdr:col>20</xdr:col>
      <xdr:colOff>50000</xdr:colOff>
      <xdr:row>164</xdr:row>
      <xdr:rowOff>30000</xdr:rowOff>
    </xdr:from>
    <xdr:ext cx="2500000" cy="850000"/>
    <xdr:graphicFrame macro="">
      <xdr:nvGraphicFramePr>
        <xdr:cNvPr id="6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549efae5e9545b8"/>
        </a:graphicData>
      </a:graphic>
    </xdr:graphicFrame>
    <xdr:clientData/>
  </xdr:oneCellAnchor>
  <xdr:oneCellAnchor>
    <xdr:from>
      <xdr:col>20</xdr:col>
      <xdr:colOff>50000</xdr:colOff>
      <xdr:row>166</xdr:row>
      <xdr:rowOff>30000</xdr:rowOff>
    </xdr:from>
    <xdr:ext cx="2500000" cy="850000"/>
    <xdr:graphicFrame macro="">
      <xdr:nvGraphicFramePr>
        <xdr:cNvPr id="6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34e81abe6345d1"/>
        </a:graphicData>
      </a:graphic>
    </xdr:graphicFrame>
    <xdr:clientData/>
  </xdr:oneCellAnchor>
  <xdr:oneCellAnchor>
    <xdr:from>
      <xdr:col>20</xdr:col>
      <xdr:colOff>50000</xdr:colOff>
      <xdr:row>167</xdr:row>
      <xdr:rowOff>30000</xdr:rowOff>
    </xdr:from>
    <xdr:ext cx="2500000" cy="850000"/>
    <xdr:graphicFrame macro="">
      <xdr:nvGraphicFramePr>
        <xdr:cNvPr id="6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5af8d326eb4f74"/>
        </a:graphicData>
      </a:graphic>
    </xdr:graphicFrame>
    <xdr:clientData/>
  </xdr:oneCellAnchor>
  <xdr:oneCellAnchor>
    <xdr:from>
      <xdr:col>20</xdr:col>
      <xdr:colOff>50000</xdr:colOff>
      <xdr:row>168</xdr:row>
      <xdr:rowOff>30000</xdr:rowOff>
    </xdr:from>
    <xdr:ext cx="2500000" cy="850000"/>
    <xdr:graphicFrame macro="">
      <xdr:nvGraphicFramePr>
        <xdr:cNvPr id="6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1eb64e35d045bd"/>
        </a:graphicData>
      </a:graphic>
    </xdr:graphicFrame>
    <xdr:clientData/>
  </xdr:oneCellAnchor>
  <xdr:oneCellAnchor>
    <xdr:from>
      <xdr:col>20</xdr:col>
      <xdr:colOff>50000</xdr:colOff>
      <xdr:row>169</xdr:row>
      <xdr:rowOff>30000</xdr:rowOff>
    </xdr:from>
    <xdr:ext cx="2500000" cy="850000"/>
    <xdr:graphicFrame macro="">
      <xdr:nvGraphicFramePr>
        <xdr:cNvPr id="6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412417df0140d0"/>
        </a:graphicData>
      </a:graphic>
    </xdr:graphicFrame>
    <xdr:clientData/>
  </xdr:oneCellAnchor>
  <xdr:oneCellAnchor>
    <xdr:from>
      <xdr:col>20</xdr:col>
      <xdr:colOff>50000</xdr:colOff>
      <xdr:row>171</xdr:row>
      <xdr:rowOff>30000</xdr:rowOff>
    </xdr:from>
    <xdr:ext cx="2500000" cy="850000"/>
    <xdr:graphicFrame macro="">
      <xdr:nvGraphicFramePr>
        <xdr:cNvPr id="6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59ddf8ce764b2c"/>
        </a:graphicData>
      </a:graphic>
    </xdr:graphicFrame>
    <xdr:clientData/>
  </xdr:oneCellAnchor>
  <xdr:oneCellAnchor>
    <xdr:from>
      <xdr:col>20</xdr:col>
      <xdr:colOff>50000</xdr:colOff>
      <xdr:row>172</xdr:row>
      <xdr:rowOff>30000</xdr:rowOff>
    </xdr:from>
    <xdr:ext cx="2500000" cy="850000"/>
    <xdr:graphicFrame macro="">
      <xdr:nvGraphicFramePr>
        <xdr:cNvPr id="6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921cb84e714f9b"/>
        </a:graphicData>
      </a:graphic>
    </xdr:graphicFrame>
    <xdr:clientData/>
  </xdr:oneCellAnchor>
  <xdr:oneCellAnchor>
    <xdr:from>
      <xdr:col>20</xdr:col>
      <xdr:colOff>50000</xdr:colOff>
      <xdr:row>68</xdr:row>
      <xdr:rowOff>30000</xdr:rowOff>
    </xdr:from>
    <xdr:ext cx="2500000" cy="850000"/>
    <xdr:graphicFrame macro="">
      <xdr:nvGraphicFramePr>
        <xdr:cNvPr id="7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5974eee9c741b0"/>
        </a:graphicData>
      </a:graphic>
    </xdr:graphicFrame>
    <xdr:clientData/>
  </xdr:oneCellAnchor>
  <xdr:oneCellAnchor>
    <xdr:from>
      <xdr:col>20</xdr:col>
      <xdr:colOff>50000</xdr:colOff>
      <xdr:row>157</xdr:row>
      <xdr:rowOff>30000</xdr:rowOff>
    </xdr:from>
    <xdr:ext cx="2500000" cy="850000"/>
    <xdr:graphicFrame macro="">
      <xdr:nvGraphicFramePr>
        <xdr:cNvPr id="7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dfa23e6dd54bbb"/>
        </a:graphicData>
      </a:graphic>
    </xdr:graphicFrame>
    <xdr:clientData/>
  </xdr:oneCellAnchor>
  <xdr:oneCellAnchor>
    <xdr:from>
      <xdr:col>20</xdr:col>
      <xdr:colOff>50000</xdr:colOff>
      <xdr:row>170</xdr:row>
      <xdr:rowOff>30000</xdr:rowOff>
    </xdr:from>
    <xdr:ext cx="2500000" cy="850000"/>
    <xdr:graphicFrame macro="">
      <xdr:nvGraphicFramePr>
        <xdr:cNvPr id="7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cf10c62da644c6"/>
        </a:graphicData>
      </a:graphic>
    </xdr:graphicFrame>
    <xdr:clientData/>
  </xdr:oneCellAnchor>
  <xdr:oneCellAnchor>
    <xdr:from>
      <xdr:col>20</xdr:col>
      <xdr:colOff>50000</xdr:colOff>
      <xdr:row>63</xdr:row>
      <xdr:rowOff>30000</xdr:rowOff>
    </xdr:from>
    <xdr:ext cx="2500000" cy="850000"/>
    <xdr:graphicFrame macro="">
      <xdr:nvGraphicFramePr>
        <xdr:cNvPr id="7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d93137009a4c30"/>
        </a:graphicData>
      </a:graphic>
    </xdr:graphicFrame>
    <xdr:clientData/>
  </xdr:oneCellAnchor>
  <xdr:oneCellAnchor>
    <xdr:from>
      <xdr:col>20</xdr:col>
      <xdr:colOff>50000</xdr:colOff>
      <xdr:row>177</xdr:row>
      <xdr:rowOff>30000</xdr:rowOff>
    </xdr:from>
    <xdr:ext cx="2500000" cy="850000"/>
    <xdr:graphicFrame macro="">
      <xdr:nvGraphicFramePr>
        <xdr:cNvPr id="7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26714d49ea4054"/>
        </a:graphicData>
      </a:graphic>
    </xdr:graphicFrame>
    <xdr:clientData/>
  </xdr:oneCellAnchor>
  <xdr:oneCellAnchor>
    <xdr:from>
      <xdr:col>20</xdr:col>
      <xdr:colOff>50000</xdr:colOff>
      <xdr:row>30</xdr:row>
      <xdr:rowOff>30000</xdr:rowOff>
    </xdr:from>
    <xdr:ext cx="2500000" cy="850000"/>
    <xdr:graphicFrame macro="">
      <xdr:nvGraphicFramePr>
        <xdr:cNvPr id="7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f823b029f24963"/>
        </a:graphicData>
      </a:graphic>
    </xdr:graphicFrame>
    <xdr:clientData/>
  </xdr:oneCellAnchor>
  <xdr:oneCellAnchor>
    <xdr:from>
      <xdr:col>20</xdr:col>
      <xdr:colOff>50000</xdr:colOff>
      <xdr:row>51</xdr:row>
      <xdr:rowOff>30000</xdr:rowOff>
    </xdr:from>
    <xdr:ext cx="2500000" cy="850000"/>
    <xdr:graphicFrame macro="">
      <xdr:nvGraphicFramePr>
        <xdr:cNvPr id="7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50000a18874e31"/>
        </a:graphicData>
      </a:graphic>
    </xdr:graphicFrame>
    <xdr:clientData/>
  </xdr:oneCellAnchor>
  <xdr:oneCellAnchor>
    <xdr:from>
      <xdr:col>20</xdr:col>
      <xdr:colOff>50000</xdr:colOff>
      <xdr:row>59</xdr:row>
      <xdr:rowOff>30000</xdr:rowOff>
    </xdr:from>
    <xdr:ext cx="2500000" cy="850000"/>
    <xdr:graphicFrame macro="">
      <xdr:nvGraphicFramePr>
        <xdr:cNvPr id="7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18f0f3e557470e"/>
        </a:graphicData>
      </a:graphic>
    </xdr:graphicFrame>
    <xdr:clientData/>
  </xdr:oneCellAnchor>
  <xdr:oneCellAnchor>
    <xdr:from>
      <xdr:col>20</xdr:col>
      <xdr:colOff>50000</xdr:colOff>
      <xdr:row>60</xdr:row>
      <xdr:rowOff>30000</xdr:rowOff>
    </xdr:from>
    <xdr:ext cx="2500000" cy="850000"/>
    <xdr:graphicFrame macro="">
      <xdr:nvGraphicFramePr>
        <xdr:cNvPr id="7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09cfc0ca5f4699"/>
        </a:graphicData>
      </a:graphic>
    </xdr:graphicFrame>
    <xdr:clientData/>
  </xdr:oneCellAnchor>
  <xdr:oneCellAnchor>
    <xdr:from>
      <xdr:col>20</xdr:col>
      <xdr:colOff>50000</xdr:colOff>
      <xdr:row>61</xdr:row>
      <xdr:rowOff>30000</xdr:rowOff>
    </xdr:from>
    <xdr:ext cx="2500000" cy="850000"/>
    <xdr:graphicFrame macro="">
      <xdr:nvGraphicFramePr>
        <xdr:cNvPr id="7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7b126227ed49fd"/>
        </a:graphicData>
      </a:graphic>
    </xdr:graphicFrame>
    <xdr:clientData/>
  </xdr:oneCellAnchor>
  <xdr:oneCellAnchor>
    <xdr:from>
      <xdr:col>20</xdr:col>
      <xdr:colOff>50000</xdr:colOff>
      <xdr:row>62</xdr:row>
      <xdr:rowOff>30000</xdr:rowOff>
    </xdr:from>
    <xdr:ext cx="2500000" cy="850000"/>
    <xdr:graphicFrame macro="">
      <xdr:nvGraphicFramePr>
        <xdr:cNvPr id="8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e9bf265e184bb6"/>
        </a:graphicData>
      </a:graphic>
    </xdr:graphicFrame>
    <xdr:clientData/>
  </xdr:oneCellAnchor>
  <xdr:oneCellAnchor>
    <xdr:from>
      <xdr:col>20</xdr:col>
      <xdr:colOff>50000</xdr:colOff>
      <xdr:row>64</xdr:row>
      <xdr:rowOff>30000</xdr:rowOff>
    </xdr:from>
    <xdr:ext cx="2500000" cy="850000"/>
    <xdr:graphicFrame macro="">
      <xdr:nvGraphicFramePr>
        <xdr:cNvPr id="8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090b20de61430e"/>
        </a:graphicData>
      </a:graphic>
    </xdr:graphicFrame>
    <xdr:clientData/>
  </xdr:oneCellAnchor>
  <xdr:oneCellAnchor>
    <xdr:from>
      <xdr:col>20</xdr:col>
      <xdr:colOff>50000</xdr:colOff>
      <xdr:row>65</xdr:row>
      <xdr:rowOff>30000</xdr:rowOff>
    </xdr:from>
    <xdr:ext cx="2500000" cy="850000"/>
    <xdr:graphicFrame macro="">
      <xdr:nvGraphicFramePr>
        <xdr:cNvPr id="8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cc18a18df7435a"/>
        </a:graphicData>
      </a:graphic>
    </xdr:graphicFrame>
    <xdr:clientData/>
  </xdr:oneCellAnchor>
  <xdr:oneCellAnchor>
    <xdr:from>
      <xdr:col>20</xdr:col>
      <xdr:colOff>50000</xdr:colOff>
      <xdr:row>31</xdr:row>
      <xdr:rowOff>30000</xdr:rowOff>
    </xdr:from>
    <xdr:ext cx="2500000" cy="850000"/>
    <xdr:graphicFrame macro="">
      <xdr:nvGraphicFramePr>
        <xdr:cNvPr id="8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23796cbe7b4df1"/>
        </a:graphicData>
      </a:graphic>
    </xdr:graphicFrame>
    <xdr:clientData/>
  </xdr:oneCellAnchor>
  <xdr:oneCellAnchor>
    <xdr:from>
      <xdr:col>20</xdr:col>
      <xdr:colOff>50000</xdr:colOff>
      <xdr:row>32</xdr:row>
      <xdr:rowOff>30000</xdr:rowOff>
    </xdr:from>
    <xdr:ext cx="2500000" cy="850000"/>
    <xdr:graphicFrame macro="">
      <xdr:nvGraphicFramePr>
        <xdr:cNvPr id="8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52b8f46e5644fb"/>
        </a:graphicData>
      </a:graphic>
    </xdr:graphicFrame>
    <xdr:clientData/>
  </xdr:oneCellAnchor>
  <xdr:oneCellAnchor>
    <xdr:from>
      <xdr:col>20</xdr:col>
      <xdr:colOff>50000</xdr:colOff>
      <xdr:row>34</xdr:row>
      <xdr:rowOff>30000</xdr:rowOff>
    </xdr:from>
    <xdr:ext cx="2500000" cy="850000"/>
    <xdr:graphicFrame macro="">
      <xdr:nvGraphicFramePr>
        <xdr:cNvPr id="8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06515f4e664422"/>
        </a:graphicData>
      </a:graphic>
    </xdr:graphicFrame>
    <xdr:clientData/>
  </xdr:oneCellAnchor>
  <xdr:oneCellAnchor>
    <xdr:from>
      <xdr:col>20</xdr:col>
      <xdr:colOff>50000</xdr:colOff>
      <xdr:row>35</xdr:row>
      <xdr:rowOff>30000</xdr:rowOff>
    </xdr:from>
    <xdr:ext cx="2500000" cy="850000"/>
    <xdr:graphicFrame macro="">
      <xdr:nvGraphicFramePr>
        <xdr:cNvPr id="8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d19b67114746ac"/>
        </a:graphicData>
      </a:graphic>
    </xdr:graphicFrame>
    <xdr:clientData/>
  </xdr:oneCellAnchor>
  <xdr:oneCellAnchor>
    <xdr:from>
      <xdr:col>20</xdr:col>
      <xdr:colOff>50000</xdr:colOff>
      <xdr:row>36</xdr:row>
      <xdr:rowOff>30000</xdr:rowOff>
    </xdr:from>
    <xdr:ext cx="2500000" cy="850000"/>
    <xdr:graphicFrame macro="">
      <xdr:nvGraphicFramePr>
        <xdr:cNvPr id="8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46cfff917e4517"/>
        </a:graphicData>
      </a:graphic>
    </xdr:graphicFrame>
    <xdr:clientData/>
  </xdr:oneCellAnchor>
  <xdr:oneCellAnchor>
    <xdr:from>
      <xdr:col>20</xdr:col>
      <xdr:colOff>50000</xdr:colOff>
      <xdr:row>3</xdr:row>
      <xdr:rowOff>30000</xdr:rowOff>
    </xdr:from>
    <xdr:ext cx="2500000" cy="850000"/>
    <xdr:graphicFrame macro="">
      <xdr:nvGraphicFramePr>
        <xdr:cNvPr id="8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f60c0fde6b34fef"/>
        </a:graphicData>
      </a:graphic>
    </xdr:graphicFrame>
    <xdr:clientData/>
  </xdr:oneCellAnchor>
  <xdr:oneCellAnchor>
    <xdr:from>
      <xdr:col>20</xdr:col>
      <xdr:colOff>50000</xdr:colOff>
      <xdr:row>5</xdr:row>
      <xdr:rowOff>30000</xdr:rowOff>
    </xdr:from>
    <xdr:ext cx="2500000" cy="850000"/>
    <xdr:graphicFrame macro="">
      <xdr:nvGraphicFramePr>
        <xdr:cNvPr id="8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8e5fa987e54ab8"/>
        </a:graphicData>
      </a:graphic>
    </xdr:graphicFrame>
    <xdr:clientData/>
  </xdr:oneCellAnchor>
  <xdr:oneCellAnchor>
    <xdr:from>
      <xdr:col>20</xdr:col>
      <xdr:colOff>50000</xdr:colOff>
      <xdr:row>6</xdr:row>
      <xdr:rowOff>30000</xdr:rowOff>
    </xdr:from>
    <xdr:ext cx="2500000" cy="850000"/>
    <xdr:graphicFrame macro="">
      <xdr:nvGraphicFramePr>
        <xdr:cNvPr id="9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253b3267b24060"/>
        </a:graphicData>
      </a:graphic>
    </xdr:graphicFrame>
    <xdr:clientData/>
  </xdr:oneCellAnchor>
  <xdr:oneCellAnchor>
    <xdr:from>
      <xdr:col>20</xdr:col>
      <xdr:colOff>50000</xdr:colOff>
      <xdr:row>7</xdr:row>
      <xdr:rowOff>30000</xdr:rowOff>
    </xdr:from>
    <xdr:ext cx="2500000" cy="850000"/>
    <xdr:graphicFrame macro="">
      <xdr:nvGraphicFramePr>
        <xdr:cNvPr id="9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d4a00ca3484137"/>
        </a:graphicData>
      </a:graphic>
    </xdr:graphicFrame>
    <xdr:clientData/>
  </xdr:oneCellAnchor>
  <xdr:oneCellAnchor>
    <xdr:from>
      <xdr:col>20</xdr:col>
      <xdr:colOff>50000</xdr:colOff>
      <xdr:row>10</xdr:row>
      <xdr:rowOff>30000</xdr:rowOff>
    </xdr:from>
    <xdr:ext cx="2500000" cy="850000"/>
    <xdr:graphicFrame macro="">
      <xdr:nvGraphicFramePr>
        <xdr:cNvPr id="9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ed9434a0b34644"/>
        </a:graphicData>
      </a:graphic>
    </xdr:graphicFrame>
    <xdr:clientData/>
  </xdr:oneCellAnchor>
  <xdr:oneCellAnchor>
    <xdr:from>
      <xdr:col>20</xdr:col>
      <xdr:colOff>50000</xdr:colOff>
      <xdr:row>11</xdr:row>
      <xdr:rowOff>30000</xdr:rowOff>
    </xdr:from>
    <xdr:ext cx="2500000" cy="850000"/>
    <xdr:graphicFrame macro="">
      <xdr:nvGraphicFramePr>
        <xdr:cNvPr id="9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0867c6ad37414d"/>
        </a:graphicData>
      </a:graphic>
    </xdr:graphicFrame>
    <xdr:clientData/>
  </xdr:oneCellAnchor>
  <xdr:oneCellAnchor>
    <xdr:from>
      <xdr:col>20</xdr:col>
      <xdr:colOff>50000</xdr:colOff>
      <xdr:row>12</xdr:row>
      <xdr:rowOff>30000</xdr:rowOff>
    </xdr:from>
    <xdr:ext cx="2500000" cy="850000"/>
    <xdr:graphicFrame macro="">
      <xdr:nvGraphicFramePr>
        <xdr:cNvPr id="9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96e3ce6cf448d0"/>
        </a:graphicData>
      </a:graphic>
    </xdr:graphicFrame>
    <xdr:clientData/>
  </xdr:oneCellAnchor>
  <xdr:oneCellAnchor>
    <xdr:from>
      <xdr:col>20</xdr:col>
      <xdr:colOff>50000</xdr:colOff>
      <xdr:row>16</xdr:row>
      <xdr:rowOff>30000</xdr:rowOff>
    </xdr:from>
    <xdr:ext cx="2500000" cy="850000"/>
    <xdr:graphicFrame macro="">
      <xdr:nvGraphicFramePr>
        <xdr:cNvPr id="9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bc871702b2429a"/>
        </a:graphicData>
      </a:graphic>
    </xdr:graphicFrame>
    <xdr:clientData/>
  </xdr:oneCellAnchor>
  <xdr:oneCellAnchor>
    <xdr:from>
      <xdr:col>20</xdr:col>
      <xdr:colOff>50000</xdr:colOff>
      <xdr:row>17</xdr:row>
      <xdr:rowOff>30000</xdr:rowOff>
    </xdr:from>
    <xdr:ext cx="2500000" cy="850000"/>
    <xdr:graphicFrame macro="">
      <xdr:nvGraphicFramePr>
        <xdr:cNvPr id="9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92e818462b484b"/>
        </a:graphicData>
      </a:graphic>
    </xdr:graphicFrame>
    <xdr:clientData/>
  </xdr:oneCellAnchor>
  <xdr:oneCellAnchor>
    <xdr:from>
      <xdr:col>20</xdr:col>
      <xdr:colOff>50000</xdr:colOff>
      <xdr:row>18</xdr:row>
      <xdr:rowOff>30000</xdr:rowOff>
    </xdr:from>
    <xdr:ext cx="2500000" cy="850000"/>
    <xdr:graphicFrame macro="">
      <xdr:nvGraphicFramePr>
        <xdr:cNvPr id="9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b5e495c0b6490a"/>
        </a:graphicData>
      </a:graphic>
    </xdr:graphicFrame>
    <xdr:clientData/>
  </xdr:oneCellAnchor>
  <xdr:oneCellAnchor>
    <xdr:from>
      <xdr:col>20</xdr:col>
      <xdr:colOff>50000</xdr:colOff>
      <xdr:row>26</xdr:row>
      <xdr:rowOff>30000</xdr:rowOff>
    </xdr:from>
    <xdr:ext cx="2500000" cy="850000"/>
    <xdr:graphicFrame macro="">
      <xdr:nvGraphicFramePr>
        <xdr:cNvPr id="9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b0a151707549e1"/>
        </a:graphicData>
      </a:graphic>
    </xdr:graphicFrame>
    <xdr:clientData/>
  </xdr:oneCellAnchor>
  <xdr:oneCellAnchor>
    <xdr:from>
      <xdr:col>20</xdr:col>
      <xdr:colOff>50000</xdr:colOff>
      <xdr:row>27</xdr:row>
      <xdr:rowOff>30000</xdr:rowOff>
    </xdr:from>
    <xdr:ext cx="2500000" cy="850000"/>
    <xdr:graphicFrame macro="">
      <xdr:nvGraphicFramePr>
        <xdr:cNvPr id="9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b48ab1aec5420e"/>
        </a:graphicData>
      </a:graphic>
    </xdr:graphicFrame>
    <xdr:clientData/>
  </xdr:oneCellAnchor>
  <xdr:oneCellAnchor>
    <xdr:from>
      <xdr:col>20</xdr:col>
      <xdr:colOff>50000</xdr:colOff>
      <xdr:row>67</xdr:row>
      <xdr:rowOff>30000</xdr:rowOff>
    </xdr:from>
    <xdr:ext cx="2500000" cy="850000"/>
    <xdr:graphicFrame macro="">
      <xdr:nvGraphicFramePr>
        <xdr:cNvPr id="10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4a970b6579423b"/>
        </a:graphicData>
      </a:graphic>
    </xdr:graphicFrame>
    <xdr:clientData/>
  </xdr:oneCellAnchor>
  <xdr:oneCellAnchor>
    <xdr:from>
      <xdr:col>20</xdr:col>
      <xdr:colOff>50000</xdr:colOff>
      <xdr:row>162</xdr:row>
      <xdr:rowOff>30000</xdr:rowOff>
    </xdr:from>
    <xdr:ext cx="2500000" cy="850000"/>
    <xdr:graphicFrame macro="">
      <xdr:nvGraphicFramePr>
        <xdr:cNvPr id="10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9f5779fd7684113"/>
        </a:graphicData>
      </a:graphic>
    </xdr:graphicFrame>
    <xdr:clientData/>
  </xdr:oneCellAnchor>
  <xdr:oneCellAnchor>
    <xdr:from>
      <xdr:col>20</xdr:col>
      <xdr:colOff>50000</xdr:colOff>
      <xdr:row>33</xdr:row>
      <xdr:rowOff>30000</xdr:rowOff>
    </xdr:from>
    <xdr:ext cx="2500000" cy="850000"/>
    <xdr:graphicFrame macro="">
      <xdr:nvGraphicFramePr>
        <xdr:cNvPr id="10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d9b861b5ab4806"/>
        </a:graphicData>
      </a:graphic>
    </xdr:graphicFrame>
    <xdr:clientData/>
  </xdr:oneCellAnchor>
  <xdr:oneCellAnchor>
    <xdr:from>
      <xdr:col>20</xdr:col>
      <xdr:colOff>50000</xdr:colOff>
      <xdr:row>37</xdr:row>
      <xdr:rowOff>30000</xdr:rowOff>
    </xdr:from>
    <xdr:ext cx="2500000" cy="850000"/>
    <xdr:graphicFrame macro="">
      <xdr:nvGraphicFramePr>
        <xdr:cNvPr id="10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3a30c23c9b4c26"/>
        </a:graphicData>
      </a:graphic>
    </xdr:graphicFrame>
    <xdr:clientData/>
  </xdr:oneCellAnchor>
  <xdr:oneCellAnchor>
    <xdr:from>
      <xdr:col>20</xdr:col>
      <xdr:colOff>50000</xdr:colOff>
      <xdr:row>1</xdr:row>
      <xdr:rowOff>30000</xdr:rowOff>
    </xdr:from>
    <xdr:ext cx="2500000" cy="850000"/>
    <xdr:graphicFrame macro="">
      <xdr:nvGraphicFramePr>
        <xdr:cNvPr id="10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a5fcf9d3694347"/>
        </a:graphicData>
      </a:graphic>
    </xdr:graphicFrame>
    <xdr:clientData/>
  </xdr:oneCellAnchor>
  <xdr:oneCellAnchor>
    <xdr:from>
      <xdr:col>20</xdr:col>
      <xdr:colOff>50000</xdr:colOff>
      <xdr:row>4</xdr:row>
      <xdr:rowOff>30000</xdr:rowOff>
    </xdr:from>
    <xdr:ext cx="2500000" cy="850000"/>
    <xdr:graphicFrame macro="">
      <xdr:nvGraphicFramePr>
        <xdr:cNvPr id="10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fd200d4ec54111"/>
        </a:graphicData>
      </a:graphic>
    </xdr:graphicFrame>
    <xdr:clientData/>
  </xdr:oneCellAnchor>
  <xdr:oneCellAnchor>
    <xdr:from>
      <xdr:col>20</xdr:col>
      <xdr:colOff>50000</xdr:colOff>
      <xdr:row>8</xdr:row>
      <xdr:rowOff>30000</xdr:rowOff>
    </xdr:from>
    <xdr:ext cx="2500000" cy="850000"/>
    <xdr:graphicFrame macro="">
      <xdr:nvGraphicFramePr>
        <xdr:cNvPr id="10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ba237369f041b6"/>
        </a:graphicData>
      </a:graphic>
    </xdr:graphicFrame>
    <xdr:clientData/>
  </xdr:oneCellAnchor>
  <xdr:oneCellAnchor>
    <xdr:from>
      <xdr:col>20</xdr:col>
      <xdr:colOff>50000</xdr:colOff>
      <xdr:row>182</xdr:row>
      <xdr:rowOff>30000</xdr:rowOff>
    </xdr:from>
    <xdr:ext cx="2500000" cy="850000"/>
    <xdr:graphicFrame macro="">
      <xdr:nvGraphicFramePr>
        <xdr:cNvPr id="10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31146cb0f2440d"/>
        </a:graphicData>
      </a:graphic>
    </xdr:graphicFrame>
    <xdr:clientData/>
  </xdr:oneCellAnchor>
  <xdr:oneCellAnchor>
    <xdr:from>
      <xdr:col>20</xdr:col>
      <xdr:colOff>50000</xdr:colOff>
      <xdr:row>161</xdr:row>
      <xdr:rowOff>30000</xdr:rowOff>
    </xdr:from>
    <xdr:ext cx="2500000" cy="850000"/>
    <xdr:graphicFrame macro="">
      <xdr:nvGraphicFramePr>
        <xdr:cNvPr id="10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67ecfe1303405b"/>
        </a:graphicData>
      </a:graphic>
    </xdr:graphicFrame>
    <xdr:clientData/>
  </xdr:oneCellAnchor>
  <xdr:oneCellAnchor>
    <xdr:from>
      <xdr:col>20</xdr:col>
      <xdr:colOff>50000</xdr:colOff>
      <xdr:row>165</xdr:row>
      <xdr:rowOff>30000</xdr:rowOff>
    </xdr:from>
    <xdr:ext cx="2500000" cy="850000"/>
    <xdr:graphicFrame macro="">
      <xdr:nvGraphicFramePr>
        <xdr:cNvPr id="10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61dd901150b45a2"/>
        </a:graphicData>
      </a:graphic>
    </xdr:graphicFrame>
    <xdr:clientData/>
  </xdr:oneCellAnchor>
  <xdr:oneCellAnchor>
    <xdr:from>
      <xdr:col>20</xdr:col>
      <xdr:colOff>50000</xdr:colOff>
      <xdr:row>78</xdr:row>
      <xdr:rowOff>30000</xdr:rowOff>
    </xdr:from>
    <xdr:ext cx="2500000" cy="850000"/>
    <xdr:graphicFrame macro="">
      <xdr:nvGraphicFramePr>
        <xdr:cNvPr id="1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5aa08270e54eab"/>
        </a:graphicData>
      </a:graphic>
    </xdr:graphicFrame>
    <xdr:clientData/>
  </xdr:oneCellAnchor>
  <xdr:oneCellAnchor>
    <xdr:from>
      <xdr:col>20</xdr:col>
      <xdr:colOff>50000</xdr:colOff>
      <xdr:row>79</xdr:row>
      <xdr:rowOff>30000</xdr:rowOff>
    </xdr:from>
    <xdr:ext cx="2500000" cy="850000"/>
    <xdr:graphicFrame macro="">
      <xdr:nvGraphicFramePr>
        <xdr:cNvPr id="1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f5b22b14534a5b"/>
        </a:graphicData>
      </a:graphic>
    </xdr:graphicFrame>
    <xdr:clientData/>
  </xdr:oneCellAnchor>
  <xdr:oneCellAnchor>
    <xdr:from>
      <xdr:col>20</xdr:col>
      <xdr:colOff>50000</xdr:colOff>
      <xdr:row>123</xdr:row>
      <xdr:rowOff>30000</xdr:rowOff>
    </xdr:from>
    <xdr:ext cx="2500000" cy="850000"/>
    <xdr:graphicFrame macro="">
      <xdr:nvGraphicFramePr>
        <xdr:cNvPr id="1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21fdd22f2c47b5"/>
        </a:graphicData>
      </a:graphic>
    </xdr:graphicFrame>
    <xdr:clientData/>
  </xdr:oneCellAnchor>
  <xdr:oneCellAnchor>
    <xdr:from>
      <xdr:col>20</xdr:col>
      <xdr:colOff>50000</xdr:colOff>
      <xdr:row>124</xdr:row>
      <xdr:rowOff>30000</xdr:rowOff>
    </xdr:from>
    <xdr:ext cx="2500000" cy="850000"/>
    <xdr:graphicFrame macro="">
      <xdr:nvGraphicFramePr>
        <xdr:cNvPr id="11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3a8482d1874b02"/>
        </a:graphicData>
      </a:graphic>
    </xdr:graphicFrame>
    <xdr:clientData/>
  </xdr:oneCellAnchor>
  <xdr:oneCellAnchor>
    <xdr:from>
      <xdr:col>20</xdr:col>
      <xdr:colOff>50000</xdr:colOff>
      <xdr:row>125</xdr:row>
      <xdr:rowOff>30000</xdr:rowOff>
    </xdr:from>
    <xdr:ext cx="2500000" cy="850000"/>
    <xdr:graphicFrame macro="">
      <xdr:nvGraphicFramePr>
        <xdr:cNvPr id="11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272ba243d34b13"/>
        </a:graphicData>
      </a:graphic>
    </xdr:graphicFrame>
    <xdr:clientData/>
  </xdr:oneCellAnchor>
  <xdr:oneCellAnchor>
    <xdr:from>
      <xdr:col>20</xdr:col>
      <xdr:colOff>50000</xdr:colOff>
      <xdr:row>126</xdr:row>
      <xdr:rowOff>30000</xdr:rowOff>
    </xdr:from>
    <xdr:ext cx="2500000" cy="850000"/>
    <xdr:graphicFrame macro="">
      <xdr:nvGraphicFramePr>
        <xdr:cNvPr id="11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14b63a41004e6f"/>
        </a:graphicData>
      </a:graphic>
    </xdr:graphicFrame>
    <xdr:clientData/>
  </xdr:oneCellAnchor>
  <xdr:oneCellAnchor>
    <xdr:from>
      <xdr:col>20</xdr:col>
      <xdr:colOff>50000</xdr:colOff>
      <xdr:row>127</xdr:row>
      <xdr:rowOff>30000</xdr:rowOff>
    </xdr:from>
    <xdr:ext cx="2500000" cy="850000"/>
    <xdr:graphicFrame macro="">
      <xdr:nvGraphicFramePr>
        <xdr:cNvPr id="11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b3566403bb4348"/>
        </a:graphicData>
      </a:graphic>
    </xdr:graphicFrame>
    <xdr:clientData/>
  </xdr:oneCellAnchor>
  <xdr:oneCellAnchor>
    <xdr:from>
      <xdr:col>20</xdr:col>
      <xdr:colOff>50000</xdr:colOff>
      <xdr:row>128</xdr:row>
      <xdr:rowOff>30000</xdr:rowOff>
    </xdr:from>
    <xdr:ext cx="2500000" cy="850000"/>
    <xdr:graphicFrame macro="">
      <xdr:nvGraphicFramePr>
        <xdr:cNvPr id="11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9eab946cbd4d35"/>
        </a:graphicData>
      </a:graphic>
    </xdr:graphicFrame>
    <xdr:clientData/>
  </xdr:oneCellAnchor>
  <xdr:oneCellAnchor>
    <xdr:from>
      <xdr:col>20</xdr:col>
      <xdr:colOff>50000</xdr:colOff>
      <xdr:row>129</xdr:row>
      <xdr:rowOff>30000</xdr:rowOff>
    </xdr:from>
    <xdr:ext cx="2500000" cy="850000"/>
    <xdr:graphicFrame macro="">
      <xdr:nvGraphicFramePr>
        <xdr:cNvPr id="11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2a33843b834996"/>
        </a:graphicData>
      </a:graphic>
    </xdr:graphicFrame>
    <xdr:clientData/>
  </xdr:oneCellAnchor>
  <xdr:oneCellAnchor>
    <xdr:from>
      <xdr:col>20</xdr:col>
      <xdr:colOff>50000</xdr:colOff>
      <xdr:row>130</xdr:row>
      <xdr:rowOff>30000</xdr:rowOff>
    </xdr:from>
    <xdr:ext cx="2500000" cy="850000"/>
    <xdr:graphicFrame macro="">
      <xdr:nvGraphicFramePr>
        <xdr:cNvPr id="11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df3e5c95314adc"/>
        </a:graphicData>
      </a:graphic>
    </xdr:graphicFrame>
    <xdr:clientData/>
  </xdr:oneCellAnchor>
  <xdr:oneCellAnchor>
    <xdr:from>
      <xdr:col>20</xdr:col>
      <xdr:colOff>50000</xdr:colOff>
      <xdr:row>131</xdr:row>
      <xdr:rowOff>30000</xdr:rowOff>
    </xdr:from>
    <xdr:ext cx="2500000" cy="850000"/>
    <xdr:graphicFrame macro="">
      <xdr:nvGraphicFramePr>
        <xdr:cNvPr id="12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c051fcf88a4b97"/>
        </a:graphicData>
      </a:graphic>
    </xdr:graphicFrame>
    <xdr:clientData/>
  </xdr:oneCellAnchor>
  <xdr:oneCellAnchor>
    <xdr:from>
      <xdr:col>20</xdr:col>
      <xdr:colOff>50000</xdr:colOff>
      <xdr:row>132</xdr:row>
      <xdr:rowOff>30000</xdr:rowOff>
    </xdr:from>
    <xdr:ext cx="2500000" cy="850000"/>
    <xdr:graphicFrame macro="">
      <xdr:nvGraphicFramePr>
        <xdr:cNvPr id="12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14eed7f8964d96"/>
        </a:graphicData>
      </a:graphic>
    </xdr:graphicFrame>
    <xdr:clientData/>
  </xdr:oneCellAnchor>
  <xdr:oneCellAnchor>
    <xdr:from>
      <xdr:col>20</xdr:col>
      <xdr:colOff>50000</xdr:colOff>
      <xdr:row>133</xdr:row>
      <xdr:rowOff>30000</xdr:rowOff>
    </xdr:from>
    <xdr:ext cx="2500000" cy="850000"/>
    <xdr:graphicFrame macro="">
      <xdr:nvGraphicFramePr>
        <xdr:cNvPr id="12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5fa04e014b45e3"/>
        </a:graphicData>
      </a:graphic>
    </xdr:graphicFrame>
    <xdr:clientData/>
  </xdr:oneCellAnchor>
  <xdr:oneCellAnchor>
    <xdr:from>
      <xdr:col>20</xdr:col>
      <xdr:colOff>50000</xdr:colOff>
      <xdr:row>134</xdr:row>
      <xdr:rowOff>30000</xdr:rowOff>
    </xdr:from>
    <xdr:ext cx="2500000" cy="850000"/>
    <xdr:graphicFrame macro="">
      <xdr:nvGraphicFramePr>
        <xdr:cNvPr id="12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b1693c2000426a"/>
        </a:graphicData>
      </a:graphic>
    </xdr:graphicFrame>
    <xdr:clientData/>
  </xdr:oneCellAnchor>
  <xdr:oneCellAnchor>
    <xdr:from>
      <xdr:col>20</xdr:col>
      <xdr:colOff>50000</xdr:colOff>
      <xdr:row>135</xdr:row>
      <xdr:rowOff>30000</xdr:rowOff>
    </xdr:from>
    <xdr:ext cx="2500000" cy="850000"/>
    <xdr:graphicFrame macro="">
      <xdr:nvGraphicFramePr>
        <xdr:cNvPr id="12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c83f48bd1a4cca"/>
        </a:graphicData>
      </a:graphic>
    </xdr:graphicFrame>
    <xdr:clientData/>
  </xdr:oneCellAnchor>
  <xdr:oneCellAnchor>
    <xdr:from>
      <xdr:col>20</xdr:col>
      <xdr:colOff>50000</xdr:colOff>
      <xdr:row>137</xdr:row>
      <xdr:rowOff>30000</xdr:rowOff>
    </xdr:from>
    <xdr:ext cx="2500000" cy="850000"/>
    <xdr:graphicFrame macro="">
      <xdr:nvGraphicFramePr>
        <xdr:cNvPr id="12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28a98b32bc4ef9"/>
        </a:graphicData>
      </a:graphic>
    </xdr:graphicFrame>
    <xdr:clientData/>
  </xdr:oneCellAnchor>
  <xdr:oneCellAnchor>
    <xdr:from>
      <xdr:col>20</xdr:col>
      <xdr:colOff>50000</xdr:colOff>
      <xdr:row>138</xdr:row>
      <xdr:rowOff>30000</xdr:rowOff>
    </xdr:from>
    <xdr:ext cx="2500000" cy="850000"/>
    <xdr:graphicFrame macro="">
      <xdr:nvGraphicFramePr>
        <xdr:cNvPr id="12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7a4249db5d45a0"/>
        </a:graphicData>
      </a:graphic>
    </xdr:graphicFrame>
    <xdr:clientData/>
  </xdr:oneCellAnchor>
  <xdr:oneCellAnchor>
    <xdr:from>
      <xdr:col>20</xdr:col>
      <xdr:colOff>50000</xdr:colOff>
      <xdr:row>139</xdr:row>
      <xdr:rowOff>30000</xdr:rowOff>
    </xdr:from>
    <xdr:ext cx="2500000" cy="850000"/>
    <xdr:graphicFrame macro="">
      <xdr:nvGraphicFramePr>
        <xdr:cNvPr id="12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a5056669b9434e"/>
        </a:graphicData>
      </a:graphic>
    </xdr:graphicFrame>
    <xdr:clientData/>
  </xdr:oneCellAnchor>
  <xdr:oneCellAnchor>
    <xdr:from>
      <xdr:col>20</xdr:col>
      <xdr:colOff>50000</xdr:colOff>
      <xdr:row>140</xdr:row>
      <xdr:rowOff>30000</xdr:rowOff>
    </xdr:from>
    <xdr:ext cx="2500000" cy="850000"/>
    <xdr:graphicFrame macro="">
      <xdr:nvGraphicFramePr>
        <xdr:cNvPr id="12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3573bf9fc742e4"/>
        </a:graphicData>
      </a:graphic>
    </xdr:graphicFrame>
    <xdr:clientData/>
  </xdr:oneCellAnchor>
  <xdr:oneCellAnchor>
    <xdr:from>
      <xdr:col>20</xdr:col>
      <xdr:colOff>50000</xdr:colOff>
      <xdr:row>141</xdr:row>
      <xdr:rowOff>30000</xdr:rowOff>
    </xdr:from>
    <xdr:ext cx="2500000" cy="850000"/>
    <xdr:graphicFrame macro="">
      <xdr:nvGraphicFramePr>
        <xdr:cNvPr id="12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fff2c8086b4ba9"/>
        </a:graphicData>
      </a:graphic>
    </xdr:graphicFrame>
    <xdr:clientData/>
  </xdr:oneCellAnchor>
  <xdr:oneCellAnchor>
    <xdr:from>
      <xdr:col>20</xdr:col>
      <xdr:colOff>50000</xdr:colOff>
      <xdr:row>142</xdr:row>
      <xdr:rowOff>30000</xdr:rowOff>
    </xdr:from>
    <xdr:ext cx="2500000" cy="850000"/>
    <xdr:graphicFrame macro="">
      <xdr:nvGraphicFramePr>
        <xdr:cNvPr id="13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fba82dcf284542"/>
        </a:graphicData>
      </a:graphic>
    </xdr:graphicFrame>
    <xdr:clientData/>
  </xdr:oneCellAnchor>
  <xdr:oneCellAnchor>
    <xdr:from>
      <xdr:col>20</xdr:col>
      <xdr:colOff>50000</xdr:colOff>
      <xdr:row>143</xdr:row>
      <xdr:rowOff>30000</xdr:rowOff>
    </xdr:from>
    <xdr:ext cx="2500000" cy="850000"/>
    <xdr:graphicFrame macro="">
      <xdr:nvGraphicFramePr>
        <xdr:cNvPr id="13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4191acd66f4fcc"/>
        </a:graphicData>
      </a:graphic>
    </xdr:graphicFrame>
    <xdr:clientData/>
  </xdr:oneCellAnchor>
  <xdr:oneCellAnchor>
    <xdr:from>
      <xdr:col>20</xdr:col>
      <xdr:colOff>50000</xdr:colOff>
      <xdr:row>87</xdr:row>
      <xdr:rowOff>30000</xdr:rowOff>
    </xdr:from>
    <xdr:ext cx="2500000" cy="850000"/>
    <xdr:graphicFrame macro="">
      <xdr:nvGraphicFramePr>
        <xdr:cNvPr id="13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2976d1e4a9478d"/>
        </a:graphicData>
      </a:graphic>
    </xdr:graphicFrame>
    <xdr:clientData/>
  </xdr:oneCellAnchor>
  <xdr:oneCellAnchor>
    <xdr:from>
      <xdr:col>20</xdr:col>
      <xdr:colOff>50000</xdr:colOff>
      <xdr:row>94</xdr:row>
      <xdr:rowOff>30000</xdr:rowOff>
    </xdr:from>
    <xdr:ext cx="2500000" cy="850000"/>
    <xdr:graphicFrame macro="">
      <xdr:nvGraphicFramePr>
        <xdr:cNvPr id="13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04786ec08542e1"/>
        </a:graphicData>
      </a:graphic>
    </xdr:graphicFrame>
    <xdr:clientData/>
  </xdr:oneCellAnchor>
  <xdr:oneCellAnchor>
    <xdr:from>
      <xdr:col>20</xdr:col>
      <xdr:colOff>50000</xdr:colOff>
      <xdr:row>98</xdr:row>
      <xdr:rowOff>30000</xdr:rowOff>
    </xdr:from>
    <xdr:ext cx="2500000" cy="850000"/>
    <xdr:graphicFrame macro="">
      <xdr:nvGraphicFramePr>
        <xdr:cNvPr id="13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ac355923154b25"/>
        </a:graphicData>
      </a:graphic>
    </xdr:graphicFrame>
    <xdr:clientData/>
  </xdr:oneCellAnchor>
  <xdr:oneCellAnchor>
    <xdr:from>
      <xdr:col>20</xdr:col>
      <xdr:colOff>50000</xdr:colOff>
      <xdr:row>99</xdr:row>
      <xdr:rowOff>30000</xdr:rowOff>
    </xdr:from>
    <xdr:ext cx="2500000" cy="850000"/>
    <xdr:graphicFrame macro="">
      <xdr:nvGraphicFramePr>
        <xdr:cNvPr id="13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cc443d10894f9a"/>
        </a:graphicData>
      </a:graphic>
    </xdr:graphicFrame>
    <xdr:clientData/>
  </xdr:oneCellAnchor>
  <xdr:oneCellAnchor>
    <xdr:from>
      <xdr:col>20</xdr:col>
      <xdr:colOff>50000</xdr:colOff>
      <xdr:row>100</xdr:row>
      <xdr:rowOff>30000</xdr:rowOff>
    </xdr:from>
    <xdr:ext cx="2500000" cy="850000"/>
    <xdr:graphicFrame macro="">
      <xdr:nvGraphicFramePr>
        <xdr:cNvPr id="13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22cc2775774b94"/>
        </a:graphicData>
      </a:graphic>
    </xdr:graphicFrame>
    <xdr:clientData/>
  </xdr:oneCellAnchor>
  <xdr:oneCellAnchor>
    <xdr:from>
      <xdr:col>20</xdr:col>
      <xdr:colOff>50000</xdr:colOff>
      <xdr:row>104</xdr:row>
      <xdr:rowOff>30000</xdr:rowOff>
    </xdr:from>
    <xdr:ext cx="2500000" cy="850000"/>
    <xdr:graphicFrame macro="">
      <xdr:nvGraphicFramePr>
        <xdr:cNvPr id="13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f0dd9833884396"/>
        </a:graphicData>
      </a:graphic>
    </xdr:graphicFrame>
    <xdr:clientData/>
  </xdr:oneCellAnchor>
  <xdr:oneCellAnchor>
    <xdr:from>
      <xdr:col>20</xdr:col>
      <xdr:colOff>50000</xdr:colOff>
      <xdr:row>105</xdr:row>
      <xdr:rowOff>30000</xdr:rowOff>
    </xdr:from>
    <xdr:ext cx="2500000" cy="850000"/>
    <xdr:graphicFrame macro="">
      <xdr:nvGraphicFramePr>
        <xdr:cNvPr id="13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c420777e20444b"/>
        </a:graphicData>
      </a:graphic>
    </xdr:graphicFrame>
    <xdr:clientData/>
  </xdr:oneCellAnchor>
  <xdr:oneCellAnchor>
    <xdr:from>
      <xdr:col>20</xdr:col>
      <xdr:colOff>50000</xdr:colOff>
      <xdr:row>106</xdr:row>
      <xdr:rowOff>30000</xdr:rowOff>
    </xdr:from>
    <xdr:ext cx="2500000" cy="850000"/>
    <xdr:graphicFrame macro="">
      <xdr:nvGraphicFramePr>
        <xdr:cNvPr id="13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1bb4543fa34fa7"/>
        </a:graphicData>
      </a:graphic>
    </xdr:graphicFrame>
    <xdr:clientData/>
  </xdr:oneCellAnchor>
  <xdr:oneCellAnchor>
    <xdr:from>
      <xdr:col>20</xdr:col>
      <xdr:colOff>50000</xdr:colOff>
      <xdr:row>107</xdr:row>
      <xdr:rowOff>30000</xdr:rowOff>
    </xdr:from>
    <xdr:ext cx="2500000" cy="850000"/>
    <xdr:graphicFrame macro="">
      <xdr:nvGraphicFramePr>
        <xdr:cNvPr id="14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12c82fc006541fa"/>
        </a:graphicData>
      </a:graphic>
    </xdr:graphicFrame>
    <xdr:clientData/>
  </xdr:oneCellAnchor>
  <xdr:oneCellAnchor>
    <xdr:from>
      <xdr:col>20</xdr:col>
      <xdr:colOff>50000</xdr:colOff>
      <xdr:row>108</xdr:row>
      <xdr:rowOff>30000</xdr:rowOff>
    </xdr:from>
    <xdr:ext cx="2500000" cy="850000"/>
    <xdr:graphicFrame macro="">
      <xdr:nvGraphicFramePr>
        <xdr:cNvPr id="14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7d70952bab4a7a"/>
        </a:graphicData>
      </a:graphic>
    </xdr:graphicFrame>
    <xdr:clientData/>
  </xdr:oneCellAnchor>
  <xdr:oneCellAnchor>
    <xdr:from>
      <xdr:col>20</xdr:col>
      <xdr:colOff>50000</xdr:colOff>
      <xdr:row>109</xdr:row>
      <xdr:rowOff>30000</xdr:rowOff>
    </xdr:from>
    <xdr:ext cx="2500000" cy="850000"/>
    <xdr:graphicFrame macro="">
      <xdr:nvGraphicFramePr>
        <xdr:cNvPr id="14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b0807269d5b4638"/>
        </a:graphicData>
      </a:graphic>
    </xdr:graphicFrame>
    <xdr:clientData/>
  </xdr:oneCellAnchor>
  <xdr:oneCellAnchor>
    <xdr:from>
      <xdr:col>20</xdr:col>
      <xdr:colOff>50000</xdr:colOff>
      <xdr:row>110</xdr:row>
      <xdr:rowOff>30000</xdr:rowOff>
    </xdr:from>
    <xdr:ext cx="2500000" cy="850000"/>
    <xdr:graphicFrame macro="">
      <xdr:nvGraphicFramePr>
        <xdr:cNvPr id="14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e1408fd65945fc"/>
        </a:graphicData>
      </a:graphic>
    </xdr:graphicFrame>
    <xdr:clientData/>
  </xdr:oneCellAnchor>
  <xdr:oneCellAnchor>
    <xdr:from>
      <xdr:col>20</xdr:col>
      <xdr:colOff>50000</xdr:colOff>
      <xdr:row>113</xdr:row>
      <xdr:rowOff>30000</xdr:rowOff>
    </xdr:from>
    <xdr:ext cx="2500000" cy="850000"/>
    <xdr:graphicFrame macro="">
      <xdr:nvGraphicFramePr>
        <xdr:cNvPr id="14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659dc3beed4621"/>
        </a:graphicData>
      </a:graphic>
    </xdr:graphicFrame>
    <xdr:clientData/>
  </xdr:oneCellAnchor>
  <xdr:oneCellAnchor>
    <xdr:from>
      <xdr:col>20</xdr:col>
      <xdr:colOff>50000</xdr:colOff>
      <xdr:row>114</xdr:row>
      <xdr:rowOff>30000</xdr:rowOff>
    </xdr:from>
    <xdr:ext cx="2500000" cy="850000"/>
    <xdr:graphicFrame macro="">
      <xdr:nvGraphicFramePr>
        <xdr:cNvPr id="14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e47395766ec4213"/>
        </a:graphicData>
      </a:graphic>
    </xdr:graphicFrame>
    <xdr:clientData/>
  </xdr:oneCellAnchor>
  <xdr:oneCellAnchor>
    <xdr:from>
      <xdr:col>20</xdr:col>
      <xdr:colOff>50000</xdr:colOff>
      <xdr:row>115</xdr:row>
      <xdr:rowOff>30000</xdr:rowOff>
    </xdr:from>
    <xdr:ext cx="2500000" cy="850000"/>
    <xdr:graphicFrame macro="">
      <xdr:nvGraphicFramePr>
        <xdr:cNvPr id="14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0a6906e71f4c1f"/>
        </a:graphicData>
      </a:graphic>
    </xdr:graphicFrame>
    <xdr:clientData/>
  </xdr:oneCellAnchor>
  <xdr:oneCellAnchor>
    <xdr:from>
      <xdr:col>20</xdr:col>
      <xdr:colOff>50000</xdr:colOff>
      <xdr:row>136</xdr:row>
      <xdr:rowOff>30000</xdr:rowOff>
    </xdr:from>
    <xdr:ext cx="2500000" cy="850000"/>
    <xdr:graphicFrame macro="">
      <xdr:nvGraphicFramePr>
        <xdr:cNvPr id="14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f479f7ffa4f4ea1"/>
        </a:graphicData>
      </a:graphic>
    </xdr:graphicFrame>
    <xdr:clientData/>
  </xdr:oneCellAnchor>
  <xdr:oneCellAnchor>
    <xdr:from>
      <xdr:col>20</xdr:col>
      <xdr:colOff>50000</xdr:colOff>
      <xdr:row>144</xdr:row>
      <xdr:rowOff>30000</xdr:rowOff>
    </xdr:from>
    <xdr:ext cx="2500000" cy="850000"/>
    <xdr:graphicFrame macro="">
      <xdr:nvGraphicFramePr>
        <xdr:cNvPr id="14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2b55cd31e44cba"/>
        </a:graphicData>
      </a:graphic>
    </xdr:graphicFrame>
    <xdr:clientData/>
  </xdr:oneCellAnchor>
  <xdr:oneCellAnchor>
    <xdr:from>
      <xdr:col>20</xdr:col>
      <xdr:colOff>50000</xdr:colOff>
      <xdr:row>145</xdr:row>
      <xdr:rowOff>30000</xdr:rowOff>
    </xdr:from>
    <xdr:ext cx="2500000" cy="850000"/>
    <xdr:graphicFrame macro="">
      <xdr:nvGraphicFramePr>
        <xdr:cNvPr id="14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bc9f5fd3a7487f"/>
        </a:graphicData>
      </a:graphic>
    </xdr:graphicFrame>
    <xdr:clientData/>
  </xdr:oneCellAnchor>
  <xdr:oneCellAnchor>
    <xdr:from>
      <xdr:col>20</xdr:col>
      <xdr:colOff>50000</xdr:colOff>
      <xdr:row>146</xdr:row>
      <xdr:rowOff>30000</xdr:rowOff>
    </xdr:from>
    <xdr:ext cx="2500000" cy="850000"/>
    <xdr:graphicFrame macro="">
      <xdr:nvGraphicFramePr>
        <xdr:cNvPr id="15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2b0a554a194438"/>
        </a:graphicData>
      </a:graphic>
    </xdr:graphicFrame>
    <xdr:clientData/>
  </xdr:oneCellAnchor>
  <xdr:oneCellAnchor>
    <xdr:from>
      <xdr:col>20</xdr:col>
      <xdr:colOff>50000</xdr:colOff>
      <xdr:row>147</xdr:row>
      <xdr:rowOff>30000</xdr:rowOff>
    </xdr:from>
    <xdr:ext cx="2500000" cy="850000"/>
    <xdr:graphicFrame macro="">
      <xdr:nvGraphicFramePr>
        <xdr:cNvPr id="15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72b199fd774cc4"/>
        </a:graphicData>
      </a:graphic>
    </xdr:graphicFrame>
    <xdr:clientData/>
  </xdr:oneCellAnchor>
  <xdr:oneCellAnchor>
    <xdr:from>
      <xdr:col>20</xdr:col>
      <xdr:colOff>50000</xdr:colOff>
      <xdr:row>116</xdr:row>
      <xdr:rowOff>30000</xdr:rowOff>
    </xdr:from>
    <xdr:ext cx="2500000" cy="850000"/>
    <xdr:graphicFrame macro="">
      <xdr:nvGraphicFramePr>
        <xdr:cNvPr id="15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d69449a32b40cc"/>
        </a:graphicData>
      </a:graphic>
    </xdr:graphicFrame>
    <xdr:clientData/>
  </xdr:oneCellAnchor>
  <xdr:oneCellAnchor>
    <xdr:from>
      <xdr:col>20</xdr:col>
      <xdr:colOff>50000</xdr:colOff>
      <xdr:row>117</xdr:row>
      <xdr:rowOff>30000</xdr:rowOff>
    </xdr:from>
    <xdr:ext cx="2500000" cy="850000"/>
    <xdr:graphicFrame macro="">
      <xdr:nvGraphicFramePr>
        <xdr:cNvPr id="15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0f75d75ab04236"/>
        </a:graphicData>
      </a:graphic>
    </xdr:graphicFrame>
    <xdr:clientData/>
  </xdr:oneCellAnchor>
  <xdr:oneCellAnchor>
    <xdr:from>
      <xdr:col>20</xdr:col>
      <xdr:colOff>50000</xdr:colOff>
      <xdr:row>119</xdr:row>
      <xdr:rowOff>30000</xdr:rowOff>
    </xdr:from>
    <xdr:ext cx="2500000" cy="850000"/>
    <xdr:graphicFrame macro="">
      <xdr:nvGraphicFramePr>
        <xdr:cNvPr id="15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de982f4d644d16"/>
        </a:graphicData>
      </a:graphic>
    </xdr:graphicFrame>
    <xdr:clientData/>
  </xdr:oneCellAnchor>
  <xdr:oneCellAnchor>
    <xdr:from>
      <xdr:col>20</xdr:col>
      <xdr:colOff>50000</xdr:colOff>
      <xdr:row>120</xdr:row>
      <xdr:rowOff>30000</xdr:rowOff>
    </xdr:from>
    <xdr:ext cx="2500000" cy="850000"/>
    <xdr:graphicFrame macro="">
      <xdr:nvGraphicFramePr>
        <xdr:cNvPr id="15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8c9bc62b524dbd"/>
        </a:graphicData>
      </a:graphic>
    </xdr:graphicFrame>
    <xdr:clientData/>
  </xdr:oneCellAnchor>
  <xdr:oneCellAnchor>
    <xdr:from>
      <xdr:col>20</xdr:col>
      <xdr:colOff>50000</xdr:colOff>
      <xdr:row>121</xdr:row>
      <xdr:rowOff>30000</xdr:rowOff>
    </xdr:from>
    <xdr:ext cx="2500000" cy="850000"/>
    <xdr:graphicFrame macro="">
      <xdr:nvGraphicFramePr>
        <xdr:cNvPr id="15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9545531b1843f2"/>
        </a:graphicData>
      </a:graphic>
    </xdr:graphicFrame>
    <xdr:clientData/>
  </xdr:oneCellAnchor>
  <xdr:oneCellAnchor>
    <xdr:from>
      <xdr:col>20</xdr:col>
      <xdr:colOff>50000</xdr:colOff>
      <xdr:row>88</xdr:row>
      <xdr:rowOff>30000</xdr:rowOff>
    </xdr:from>
    <xdr:ext cx="2500000" cy="850000"/>
    <xdr:graphicFrame macro="">
      <xdr:nvGraphicFramePr>
        <xdr:cNvPr id="15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913f9abefe4316"/>
        </a:graphicData>
      </a:graphic>
    </xdr:graphicFrame>
    <xdr:clientData/>
  </xdr:oneCellAnchor>
  <xdr:oneCellAnchor>
    <xdr:from>
      <xdr:col>20</xdr:col>
      <xdr:colOff>50000</xdr:colOff>
      <xdr:row>90</xdr:row>
      <xdr:rowOff>30000</xdr:rowOff>
    </xdr:from>
    <xdr:ext cx="2500000" cy="850000"/>
    <xdr:graphicFrame macro="">
      <xdr:nvGraphicFramePr>
        <xdr:cNvPr id="15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130c5d52b91416a"/>
        </a:graphicData>
      </a:graphic>
    </xdr:graphicFrame>
    <xdr:clientData/>
  </xdr:oneCellAnchor>
  <xdr:oneCellAnchor>
    <xdr:from>
      <xdr:col>20</xdr:col>
      <xdr:colOff>50000</xdr:colOff>
      <xdr:row>91</xdr:row>
      <xdr:rowOff>30000</xdr:rowOff>
    </xdr:from>
    <xdr:ext cx="2500000" cy="850000"/>
    <xdr:graphicFrame macro="">
      <xdr:nvGraphicFramePr>
        <xdr:cNvPr id="15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b797a6d8854b4e"/>
        </a:graphicData>
      </a:graphic>
    </xdr:graphicFrame>
    <xdr:clientData/>
  </xdr:oneCellAnchor>
  <xdr:oneCellAnchor>
    <xdr:from>
      <xdr:col>20</xdr:col>
      <xdr:colOff>50000</xdr:colOff>
      <xdr:row>92</xdr:row>
      <xdr:rowOff>30000</xdr:rowOff>
    </xdr:from>
    <xdr:ext cx="2500000" cy="850000"/>
    <xdr:graphicFrame macro="">
      <xdr:nvGraphicFramePr>
        <xdr:cNvPr id="16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d50bf07db54e2d"/>
        </a:graphicData>
      </a:graphic>
    </xdr:graphicFrame>
    <xdr:clientData/>
  </xdr:oneCellAnchor>
  <xdr:oneCellAnchor>
    <xdr:from>
      <xdr:col>20</xdr:col>
      <xdr:colOff>50000</xdr:colOff>
      <xdr:row>95</xdr:row>
      <xdr:rowOff>30000</xdr:rowOff>
    </xdr:from>
    <xdr:ext cx="2500000" cy="850000"/>
    <xdr:graphicFrame macro="">
      <xdr:nvGraphicFramePr>
        <xdr:cNvPr id="16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c0df0c816e47e9"/>
        </a:graphicData>
      </a:graphic>
    </xdr:graphicFrame>
    <xdr:clientData/>
  </xdr:oneCellAnchor>
  <xdr:oneCellAnchor>
    <xdr:from>
      <xdr:col>20</xdr:col>
      <xdr:colOff>50000</xdr:colOff>
      <xdr:row>96</xdr:row>
      <xdr:rowOff>30000</xdr:rowOff>
    </xdr:from>
    <xdr:ext cx="2500000" cy="850000"/>
    <xdr:graphicFrame macro="">
      <xdr:nvGraphicFramePr>
        <xdr:cNvPr id="16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da38366770413f"/>
        </a:graphicData>
      </a:graphic>
    </xdr:graphicFrame>
    <xdr:clientData/>
  </xdr:oneCellAnchor>
  <xdr:oneCellAnchor>
    <xdr:from>
      <xdr:col>20</xdr:col>
      <xdr:colOff>50000</xdr:colOff>
      <xdr:row>97</xdr:row>
      <xdr:rowOff>30000</xdr:rowOff>
    </xdr:from>
    <xdr:ext cx="2500000" cy="850000"/>
    <xdr:graphicFrame macro="">
      <xdr:nvGraphicFramePr>
        <xdr:cNvPr id="16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6e84ea5c06432c"/>
        </a:graphicData>
      </a:graphic>
    </xdr:graphicFrame>
    <xdr:clientData/>
  </xdr:oneCellAnchor>
  <xdr:oneCellAnchor>
    <xdr:from>
      <xdr:col>20</xdr:col>
      <xdr:colOff>50000</xdr:colOff>
      <xdr:row>101</xdr:row>
      <xdr:rowOff>30000</xdr:rowOff>
    </xdr:from>
    <xdr:ext cx="2500000" cy="850000"/>
    <xdr:graphicFrame macro="">
      <xdr:nvGraphicFramePr>
        <xdr:cNvPr id="16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e2bc2d1cba4e76"/>
        </a:graphicData>
      </a:graphic>
    </xdr:graphicFrame>
    <xdr:clientData/>
  </xdr:oneCellAnchor>
  <xdr:oneCellAnchor>
    <xdr:from>
      <xdr:col>20</xdr:col>
      <xdr:colOff>50000</xdr:colOff>
      <xdr:row>102</xdr:row>
      <xdr:rowOff>30000</xdr:rowOff>
    </xdr:from>
    <xdr:ext cx="2500000" cy="850000"/>
    <xdr:graphicFrame macro="">
      <xdr:nvGraphicFramePr>
        <xdr:cNvPr id="16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79ee672d694933"/>
        </a:graphicData>
      </a:graphic>
    </xdr:graphicFrame>
    <xdr:clientData/>
  </xdr:oneCellAnchor>
  <xdr:oneCellAnchor>
    <xdr:from>
      <xdr:col>20</xdr:col>
      <xdr:colOff>50000</xdr:colOff>
      <xdr:row>103</xdr:row>
      <xdr:rowOff>30000</xdr:rowOff>
    </xdr:from>
    <xdr:ext cx="2500000" cy="850000"/>
    <xdr:graphicFrame macro="">
      <xdr:nvGraphicFramePr>
        <xdr:cNvPr id="16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f73e7e83f44040"/>
        </a:graphicData>
      </a:graphic>
    </xdr:graphicFrame>
    <xdr:clientData/>
  </xdr:oneCellAnchor>
  <xdr:oneCellAnchor>
    <xdr:from>
      <xdr:col>20</xdr:col>
      <xdr:colOff>50000</xdr:colOff>
      <xdr:row>111</xdr:row>
      <xdr:rowOff>30000</xdr:rowOff>
    </xdr:from>
    <xdr:ext cx="2500000" cy="850000"/>
    <xdr:graphicFrame macro="">
      <xdr:nvGraphicFramePr>
        <xdr:cNvPr id="16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8253935ff540df"/>
        </a:graphicData>
      </a:graphic>
    </xdr:graphicFrame>
    <xdr:clientData/>
  </xdr:oneCellAnchor>
  <xdr:oneCellAnchor>
    <xdr:from>
      <xdr:col>20</xdr:col>
      <xdr:colOff>50000</xdr:colOff>
      <xdr:row>112</xdr:row>
      <xdr:rowOff>30000</xdr:rowOff>
    </xdr:from>
    <xdr:ext cx="2500000" cy="850000"/>
    <xdr:graphicFrame macro="">
      <xdr:nvGraphicFramePr>
        <xdr:cNvPr id="16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aef9227606449c"/>
        </a:graphicData>
      </a:graphic>
    </xdr:graphicFrame>
    <xdr:clientData/>
  </xdr:oneCellAnchor>
  <xdr:oneCellAnchor>
    <xdr:from>
      <xdr:col>20</xdr:col>
      <xdr:colOff>50000</xdr:colOff>
      <xdr:row>118</xdr:row>
      <xdr:rowOff>30000</xdr:rowOff>
    </xdr:from>
    <xdr:ext cx="2500000" cy="850000"/>
    <xdr:graphicFrame macro="">
      <xdr:nvGraphicFramePr>
        <xdr:cNvPr id="16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f6b153e5764b4a"/>
        </a:graphicData>
      </a:graphic>
    </xdr:graphicFrame>
    <xdr:clientData/>
  </xdr:oneCellAnchor>
  <xdr:oneCellAnchor>
    <xdr:from>
      <xdr:col>20</xdr:col>
      <xdr:colOff>50000</xdr:colOff>
      <xdr:row>122</xdr:row>
      <xdr:rowOff>30000</xdr:rowOff>
    </xdr:from>
    <xdr:ext cx="2500000" cy="850000"/>
    <xdr:graphicFrame macro="">
      <xdr:nvGraphicFramePr>
        <xdr:cNvPr id="17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3418ad0cd2471d"/>
        </a:graphicData>
      </a:graphic>
    </xdr:graphicFrame>
    <xdr:clientData/>
  </xdr:oneCellAnchor>
  <xdr:oneCellAnchor>
    <xdr:from>
      <xdr:col>20</xdr:col>
      <xdr:colOff>50000</xdr:colOff>
      <xdr:row>86</xdr:row>
      <xdr:rowOff>30000</xdr:rowOff>
    </xdr:from>
    <xdr:ext cx="2500000" cy="850000"/>
    <xdr:graphicFrame macro="">
      <xdr:nvGraphicFramePr>
        <xdr:cNvPr id="17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c0222d735648e4"/>
        </a:graphicData>
      </a:graphic>
    </xdr:graphicFrame>
    <xdr:clientData/>
  </xdr:oneCellAnchor>
  <xdr:oneCellAnchor>
    <xdr:from>
      <xdr:col>20</xdr:col>
      <xdr:colOff>50000</xdr:colOff>
      <xdr:row>89</xdr:row>
      <xdr:rowOff>30000</xdr:rowOff>
    </xdr:from>
    <xdr:ext cx="2500000" cy="850000"/>
    <xdr:graphicFrame macro="">
      <xdr:nvGraphicFramePr>
        <xdr:cNvPr id="17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52ad63ead9453a"/>
        </a:graphicData>
      </a:graphic>
    </xdr:graphicFrame>
    <xdr:clientData/>
  </xdr:oneCellAnchor>
  <xdr:oneCellAnchor>
    <xdr:from>
      <xdr:col>20</xdr:col>
      <xdr:colOff>50000</xdr:colOff>
      <xdr:row>93</xdr:row>
      <xdr:rowOff>30000</xdr:rowOff>
    </xdr:from>
    <xdr:ext cx="2500000" cy="850000"/>
    <xdr:graphicFrame macro="">
      <xdr:nvGraphicFramePr>
        <xdr:cNvPr id="17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b71dd49cea4d4b"/>
        </a:graphicData>
      </a:graphic>
    </xdr:graphicFrame>
    <xdr:clientData/>
  </xdr:oneCellAnchor>
  <xdr:oneCellAnchor>
    <xdr:from>
      <xdr:col>20</xdr:col>
      <xdr:colOff>50000</xdr:colOff>
      <xdr:row>148</xdr:row>
      <xdr:rowOff>30000</xdr:rowOff>
    </xdr:from>
    <xdr:ext cx="2500000" cy="850000"/>
    <xdr:graphicFrame macro="">
      <xdr:nvGraphicFramePr>
        <xdr:cNvPr id="17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fc28f0034a473d"/>
        </a:graphicData>
      </a:graphic>
    </xdr:graphicFrame>
    <xdr:clientData/>
  </xdr:oneCellAnchor>
  <xdr:oneCellAnchor>
    <xdr:from>
      <xdr:col>20</xdr:col>
      <xdr:colOff>50000</xdr:colOff>
      <xdr:row>149</xdr:row>
      <xdr:rowOff>30000</xdr:rowOff>
    </xdr:from>
    <xdr:ext cx="2500000" cy="850000"/>
    <xdr:graphicFrame macro="">
      <xdr:nvGraphicFramePr>
        <xdr:cNvPr id="17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50fe91c1c74ffe"/>
        </a:graphicData>
      </a:graphic>
    </xdr:graphicFrame>
    <xdr:clientData/>
  </xdr:oneCellAnchor>
  <xdr:oneCellAnchor>
    <xdr:from>
      <xdr:col>20</xdr:col>
      <xdr:colOff>50000</xdr:colOff>
      <xdr:row>150</xdr:row>
      <xdr:rowOff>30000</xdr:rowOff>
    </xdr:from>
    <xdr:ext cx="2500000" cy="850000"/>
    <xdr:graphicFrame macro="">
      <xdr:nvGraphicFramePr>
        <xdr:cNvPr id="17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538a9ee5334399"/>
        </a:graphicData>
      </a:graphic>
    </xdr:graphicFrame>
    <xdr:clientData/>
  </xdr:oneCellAnchor>
  <xdr:oneCellAnchor>
    <xdr:from>
      <xdr:col>20</xdr:col>
      <xdr:colOff>50000</xdr:colOff>
      <xdr:row>151</xdr:row>
      <xdr:rowOff>30000</xdr:rowOff>
    </xdr:from>
    <xdr:ext cx="2500000" cy="850000"/>
    <xdr:graphicFrame macro="">
      <xdr:nvGraphicFramePr>
        <xdr:cNvPr id="17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52e21e585c4c54"/>
        </a:graphicData>
      </a:graphic>
    </xdr:graphicFrame>
    <xdr:clientData/>
  </xdr:oneCellAnchor>
  <xdr:oneCellAnchor>
    <xdr:from>
      <xdr:col>20</xdr:col>
      <xdr:colOff>50000</xdr:colOff>
      <xdr:row>152</xdr:row>
      <xdr:rowOff>30000</xdr:rowOff>
    </xdr:from>
    <xdr:ext cx="2500000" cy="850000"/>
    <xdr:graphicFrame macro="">
      <xdr:nvGraphicFramePr>
        <xdr:cNvPr id="17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1edcbafa3b44d8"/>
        </a:graphicData>
      </a:graphic>
    </xdr:graphicFrame>
    <xdr:clientData/>
  </xdr:oneCellAnchor>
  <xdr:oneCellAnchor>
    <xdr:from>
      <xdr:col>20</xdr:col>
      <xdr:colOff>50000</xdr:colOff>
      <xdr:row>80</xdr:row>
      <xdr:rowOff>30000</xdr:rowOff>
    </xdr:from>
    <xdr:ext cx="2500000" cy="850000"/>
    <xdr:graphicFrame macro="">
      <xdr:nvGraphicFramePr>
        <xdr:cNvPr id="17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fbfd3fd0ea4f04"/>
        </a:graphicData>
      </a:graphic>
    </xdr:graphicFrame>
    <xdr:clientData/>
  </xdr:oneCellAnchor>
  <xdr:oneCellAnchor>
    <xdr:from>
      <xdr:col>20</xdr:col>
      <xdr:colOff>50000</xdr:colOff>
      <xdr:row>81</xdr:row>
      <xdr:rowOff>30000</xdr:rowOff>
    </xdr:from>
    <xdr:ext cx="2500000" cy="850000"/>
    <xdr:graphicFrame macro="">
      <xdr:nvGraphicFramePr>
        <xdr:cNvPr id="18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3b3b8b653f4bdb"/>
        </a:graphicData>
      </a:graphic>
    </xdr:graphicFrame>
    <xdr:clientData/>
  </xdr:oneCellAnchor>
  <xdr:oneCellAnchor>
    <xdr:from>
      <xdr:col>20</xdr:col>
      <xdr:colOff>50000</xdr:colOff>
      <xdr:row>82</xdr:row>
      <xdr:rowOff>30000</xdr:rowOff>
    </xdr:from>
    <xdr:ext cx="2500000" cy="850000"/>
    <xdr:graphicFrame macro="">
      <xdr:nvGraphicFramePr>
        <xdr:cNvPr id="18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488b3bca4645e5"/>
        </a:graphicData>
      </a:graphic>
    </xdr:graphicFrame>
    <xdr:clientData/>
  </xdr:oneCellAnchor>
  <xdr:oneCellAnchor>
    <xdr:from>
      <xdr:col>20</xdr:col>
      <xdr:colOff>50000</xdr:colOff>
      <xdr:row>83</xdr:row>
      <xdr:rowOff>30000</xdr:rowOff>
    </xdr:from>
    <xdr:ext cx="2500000" cy="850000"/>
    <xdr:graphicFrame macro="">
      <xdr:nvGraphicFramePr>
        <xdr:cNvPr id="18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ba03291c9541d1"/>
        </a:graphicData>
      </a:graphic>
    </xdr:graphicFrame>
    <xdr:clientData/>
  </xdr:oneCellAnchor>
  <xdr:oneCellAnchor>
    <xdr:from>
      <xdr:col>20</xdr:col>
      <xdr:colOff>50000</xdr:colOff>
      <xdr:row>84</xdr:row>
      <xdr:rowOff>30000</xdr:rowOff>
    </xdr:from>
    <xdr:ext cx="2500000" cy="850000"/>
    <xdr:graphicFrame macro="">
      <xdr:nvGraphicFramePr>
        <xdr:cNvPr id="18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ffb9d9f8bd43d9"/>
        </a:graphicData>
      </a:graphic>
    </xdr:graphicFrame>
    <xdr:clientData/>
  </xdr:oneCellAnchor>
  <xdr:oneCellAnchor>
    <xdr:from>
      <xdr:col>20</xdr:col>
      <xdr:colOff>50000</xdr:colOff>
      <xdr:row>85</xdr:row>
      <xdr:rowOff>30000</xdr:rowOff>
    </xdr:from>
    <xdr:ext cx="2500000" cy="850000"/>
    <xdr:graphicFrame macro="">
      <xdr:nvGraphicFramePr>
        <xdr:cNvPr id="18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c986bd8ba44044"/>
        </a:graphicData>
      </a:graphic>
    </xdr:graphicFrame>
    <xdr:clientData/>
  </xdr:oneCellAnchor>
</xdr:wsDr>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1c26df2c1644050" /></Relationships>
</file>

<file path=xl/worksheets/sheet1.xml><?xml version="1.0" encoding="utf-8"?>
<worksheet xmlns="http://schemas.openxmlformats.org/spreadsheetml/2006/main" xmlns:ns1="http://schemas.openxmlformats.org/officeDocument/2006/relationships">
  <sheetFormatPr defaultColWidth="14" defaultRowHeight="18"/>
  <cols>
    <col min="1" max="2" width="27.91891860961914" style="5" customWidth="1"/>
    <col min="3" max="3" width="27.91891860961914" style="6" customWidth="1"/>
    <col min="4" max="4" width="60.990989685058594" style="7" customWidth="1"/>
    <col min="5" max="5" width="32.23423385620117" style="8" customWidth="1"/>
    <col min="6" max="6" width="32.23423385620117" style="9" customWidth="1"/>
    <col min="7" max="7" width="40.76576614379883" style="10" customWidth="1"/>
    <col min="8" max="8" width="21.468467712402344" style="10" customWidth="1"/>
    <col min="9" max="9" width="38.4954948425293" style="11" customWidth="1"/>
    <col min="10" max="10" width="50.71171188354492" style="11" customWidth="1"/>
    <col min="11" max="11" width="44.783782958984375" style="11" customWidth="1"/>
    <col min="12" max="12" width="17.93693733215332" style="12" customWidth="1"/>
    <col min="13" max="13" width="13" style="10" customWidth="1"/>
    <col min="14" max="16" width="18.216217041015625" style="13" customWidth="1"/>
    <col min="17" max="17" width="18" style="12" customWidth="1"/>
    <col min="18" max="18" width="18.216217041015625" style="12" customWidth="1"/>
    <col min="19" max="19" width="18.216217041015625" style="10" customWidth="1"/>
    <col min="20" max="20" width="18.216217041015625" style="13" customWidth="1"/>
    <col min="21" max="21" width="40.378379821777344" style="10" customWidth="1"/>
    <col min="22" max="22" width="39.576576232910156" customWidth="1"/>
  </cols>
  <sheetData>
    <row r="1" s="1" customFormat="1" ht="58" customHeight="1">
      <c r="A1" s="14"/>
      <c r="B1" s="14"/>
      <c r="C1" s="15" t="s">
        <v>0</v>
      </c>
      <c r="D1" s="15" t="s">
        <v>1</v>
      </c>
      <c r="E1" s="15" t="s">
        <v>2</v>
      </c>
      <c r="F1" s="15" t="s">
        <v>3</v>
      </c>
      <c r="G1" s="16" t="s">
        <v>4</v>
      </c>
      <c r="H1" s="17" t="s">
        <v>5</v>
      </c>
      <c r="I1" s="18" t="s">
        <v>6</v>
      </c>
      <c r="J1" s="16" t="s">
        <v>7</v>
      </c>
      <c r="K1" s="16" t="s">
        <v>8</v>
      </c>
      <c r="L1" s="16" t="s">
        <v>9</v>
      </c>
      <c r="M1" s="16" t="s">
        <v>10</v>
      </c>
      <c r="N1" s="16" t="s">
        <v>11</v>
      </c>
      <c r="O1" s="16" t="s">
        <v>12</v>
      </c>
      <c r="P1" s="16" t="s">
        <v>13</v>
      </c>
      <c r="Q1" s="16" t="inlineStr">
        <is>
          <t xml:space="preserve">写入时间</t>
        </is>
      </c>
      <c r="R1" s="16" t="s">
        <v>14</v>
      </c>
      <c r="S1" s="16" t="s">
        <v>15</v>
      </c>
      <c r="T1" s="16" t="s">
        <v>16</v>
      </c>
      <c r="U1" s="16" t="s">
        <v>17</v>
      </c>
      <c r="V1" s="16" t="s">
        <v>17</v>
      </c>
    </row>
    <row r="2" ht="127.5" customHeight="1">
      <c r="A2" s="19" t="s">
        <v>18</v>
      </c>
      <c r="B2" s="19" t="s">
        <v>19</v>
      </c>
      <c r="C2" s="19" t="s">
        <v>20</v>
      </c>
      <c r="D2" s="20" t="s">
        <v>21</v>
      </c>
      <c r="E2" s="21" t="s">
        <v>22</v>
      </c>
      <c r="F2" s="22" t="s">
        <v>23</v>
      </c>
      <c r="G2" s="23" t="s">
        <v>24</v>
      </c>
      <c r="H2" s="24">
        <v>0.02</v>
      </c>
      <c r="I2" s="25" t="s">
        <v>25</v>
      </c>
      <c r="J2" s="26" t="s">
        <v>26</v>
      </c>
      <c r="K2" s="26" t="s">
        <v>27</v>
      </c>
      <c r="L2" s="27" t="s">
        <v>28</v>
      </c>
      <c r="M2" s="28" t="s">
        <v>15</v>
      </c>
      <c r="N2" s="29" t="s">
        <v>29</v>
      </c>
      <c r="O2" s="1636">
        <v>41090</v>
      </c>
      <c r="P2" s="31">
        <v>46173</v>
      </c>
      <c r="Q2" s="31" t="inlineStr">
        <is>
          <t xml:space="preserve">2026-07-02 09:15</t>
        </is>
      </c>
      <c r="R2" s="1637">
        <v>3843.5</v>
      </c>
      <c r="S2" s="1638">
        <v>-0.00570587865208</v>
      </c>
      <c r="T2" s="1639">
        <v>-235.8</v>
      </c>
      <c r="U2" s="35"/>
      <c r="V2" s="36" t="inlineStr">
        <is>
          <t>近期整体上行，最新较上期回升，社零当月值同比近零且环比回落，消费交易规模偏弱。</t>
        </is>
      </c>
    </row>
    <row r="3" ht="111" customHeight="1">
      <c r="A3" s="19"/>
      <c r="B3" s="19"/>
      <c r="C3" s="37"/>
      <c r="D3" s="20"/>
      <c r="E3" s="38"/>
      <c r="F3" s="22" t="s">
        <v>30</v>
      </c>
      <c r="G3" s="39" t="s">
        <v>31</v>
      </c>
      <c r="H3" s="40">
        <v>0.0388888888888889</v>
      </c>
      <c r="I3" s="25" t="s">
        <v>32</v>
      </c>
      <c r="J3" s="26" t="s">
        <v>33</v>
      </c>
      <c r="K3" s="26" t="s">
        <v>34</v>
      </c>
      <c r="L3" s="41" t="s">
        <v>28</v>
      </c>
      <c r="M3" s="28" t="s">
        <v>15</v>
      </c>
      <c r="N3" s="42" t="s">
        <v>35</v>
      </c>
      <c r="O3" s="1640">
        <v>-0.006</v>
      </c>
      <c r="P3" s="31">
        <v>46173</v>
      </c>
      <c r="Q3" s="31" t="inlineStr">
        <is>
          <t xml:space="preserve">2026-07-02 09:15</t>
        </is>
      </c>
      <c r="R3" s="1638">
        <v>-0.008</v>
      </c>
      <c r="S3" s="1640">
        <v>-0.006</v>
      </c>
      <c r="T3" s="1638">
        <v>-0.07</v>
      </c>
      <c r="U3" s="35"/>
      <c r="V3" s="36" t="inlineStr">
        <is>
          <t>近期整体下行，最新较上期回落，社零同比仅0.2%且较上月降1.5pct，消费动能明显降温。</t>
        </is>
      </c>
    </row>
    <row r="4" ht="111" customHeight="1">
      <c r="A4" s="19"/>
      <c r="B4" s="19"/>
      <c r="C4" s="37"/>
      <c r="D4" s="20"/>
      <c r="E4" s="38"/>
      <c r="F4" s="22" t="s">
        <v>36</v>
      </c>
      <c r="G4" s="23" t="s">
        <v>37</v>
      </c>
      <c r="H4" s="24">
        <v>0.0222222222222</v>
      </c>
      <c r="I4" s="25" t="s">
        <v>38</v>
      </c>
      <c r="J4" s="26" t="s">
        <v>39</v>
      </c>
      <c r="K4" s="26" t="s">
        <v>40</v>
      </c>
      <c r="L4" s="27" t="s">
        <v>41</v>
      </c>
      <c r="M4" s="28" t="s">
        <v>15</v>
      </c>
      <c r="N4" s="29" t="s">
        <v>42</v>
      </c>
      <c r="O4" s="1636">
        <v>334192.9</v>
      </c>
      <c r="P4" s="31">
        <v>46112</v>
      </c>
      <c r="Q4" s="31" t="inlineStr">
        <is>
          <t xml:space="preserve">2026-07-02 09:15</t>
        </is>
      </c>
      <c r="R4" s="1639">
        <v>-53718.4</v>
      </c>
      <c r="S4" s="1638">
        <v>0.0493819756181</v>
      </c>
      <c r="T4" s="1639">
        <v>15726.5</v>
      </c>
      <c r="U4" s="35"/>
      <c r="V4" s="36" t="inlineStr">
        <is>
          <t>近期整体上行，最新较上期回落，名义GDP同比约4.94%，经济规模仍扩张但季度数据偏滞后。</t>
        </is>
      </c>
    </row>
    <row r="5" ht="111" customHeight="1">
      <c r="A5" s="19"/>
      <c r="B5" s="19"/>
      <c r="C5" s="37"/>
      <c r="D5" s="20"/>
      <c r="E5" s="38"/>
      <c r="F5" s="22" t="s">
        <v>43</v>
      </c>
      <c r="G5" s="23" t="s">
        <v>44</v>
      </c>
      <c r="H5" s="44">
        <v>0.0333333333333</v>
      </c>
      <c r="I5" s="25" t="s">
        <v>45</v>
      </c>
      <c r="J5" s="26" t="s">
        <v>46</v>
      </c>
      <c r="K5" s="26" t="s">
        <v>47</v>
      </c>
      <c r="L5" s="41" t="s">
        <v>41</v>
      </c>
      <c r="M5" s="28" t="s">
        <v>15</v>
      </c>
      <c r="N5" s="42" t="s">
        <v>48</v>
      </c>
      <c r="O5" s="1638">
        <v>0.05</v>
      </c>
      <c r="P5" s="31">
        <v>46112</v>
      </c>
      <c r="Q5" s="31" t="inlineStr">
        <is>
          <t xml:space="preserve">2026-07-02 09:15</t>
        </is>
      </c>
      <c r="R5" s="1638">
        <v>0.005</v>
      </c>
      <c r="S5" s="1638">
        <v>0.05</v>
      </c>
      <c r="T5" s="1638">
        <v>-0.004</v>
      </c>
      <c r="U5" s="35"/>
      <c r="V5" s="36" t="inlineStr">
        <is>
          <t>近期整体下行，最新较上期回升，实际GDP同比5.0%、环比改善0.5pct，增长总体平稳。</t>
        </is>
      </c>
    </row>
    <row r="6" ht="111" customHeight="1">
      <c r="A6" s="19"/>
      <c r="B6" s="19"/>
      <c r="C6" s="37"/>
      <c r="D6" s="20"/>
      <c r="E6" s="38"/>
      <c r="F6" s="22" t="s">
        <v>49</v>
      </c>
      <c r="G6" s="45" t="s">
        <v>50</v>
      </c>
      <c r="H6" s="46">
        <v>0.0166666666667</v>
      </c>
      <c r="I6" s="25" t="s">
        <v>51</v>
      </c>
      <c r="J6" s="26" t="s">
        <v>52</v>
      </c>
      <c r="K6" s="26" t="s">
        <v>53</v>
      </c>
      <c r="L6" s="27" t="s">
        <v>41</v>
      </c>
      <c r="M6" s="28" t="s">
        <v>16</v>
      </c>
      <c r="N6" s="29" t="s">
        <v>54</v>
      </c>
      <c r="O6" s="1641">
        <v>0.467</v>
      </c>
      <c r="P6" s="31">
        <v>46112</v>
      </c>
      <c r="Q6" s="31" t="inlineStr">
        <is>
          <t xml:space="preserve">2026-07-02 09:15</t>
        </is>
      </c>
      <c r="R6" s="1638">
        <v>-0.053</v>
      </c>
      <c r="S6" s="1641">
        <v>0.467</v>
      </c>
      <c r="T6" s="1638">
        <v>-0.034</v>
      </c>
      <c r="U6" s="35"/>
      <c r="V6" s="36" t="inlineStr">
        <is>
          <t>近期整体下行，最新较上期回落，消费贡献率46.7%且环比回落，内需主动力减弱。</t>
        </is>
      </c>
    </row>
    <row r="7" ht="111" customHeight="1">
      <c r="A7" s="19"/>
      <c r="B7" s="19"/>
      <c r="C7" s="37"/>
      <c r="D7" s="20"/>
      <c r="E7" s="38"/>
      <c r="F7" s="22" t="s">
        <v>55</v>
      </c>
      <c r="G7" s="45" t="s">
        <v>56</v>
      </c>
      <c r="H7" s="46">
        <v>0.0166666666667</v>
      </c>
      <c r="I7" s="25" t="s">
        <v>57</v>
      </c>
      <c r="J7" s="26" t="s">
        <v>58</v>
      </c>
      <c r="K7" s="26" t="s">
        <v>59</v>
      </c>
      <c r="L7" s="27" t="s">
        <v>41</v>
      </c>
      <c r="M7" s="28" t="s">
        <v>16</v>
      </c>
      <c r="N7" s="29" t="s">
        <v>60</v>
      </c>
      <c r="O7" s="1642">
        <v>0.38</v>
      </c>
      <c r="P7" s="31">
        <v>46112</v>
      </c>
      <c r="Q7" s="31" t="inlineStr">
        <is>
          <t xml:space="preserve">2026-07-02 09:15</t>
        </is>
      </c>
      <c r="R7" s="1638">
        <v>0.227</v>
      </c>
      <c r="S7" s="1642">
        <v>0.38</v>
      </c>
      <c r="T7" s="1638">
        <v>0.333</v>
      </c>
      <c r="U7" s="35"/>
      <c r="V7" s="36" t="inlineStr">
        <is>
          <t>近期整体上行，最新较上期回升，资本形成贡献率38.0%且大幅上升，增长更依赖投资拉动。</t>
        </is>
      </c>
    </row>
    <row r="8" ht="111" customHeight="1">
      <c r="A8" s="19"/>
      <c r="B8" s="19"/>
      <c r="C8" s="37"/>
      <c r="D8" s="20"/>
      <c r="E8" s="38"/>
      <c r="F8" s="22" t="s">
        <v>61</v>
      </c>
      <c r="G8" s="45" t="s">
        <v>62</v>
      </c>
      <c r="H8" s="49">
        <v>0.0111111111111</v>
      </c>
      <c r="I8" s="25" t="s">
        <v>63</v>
      </c>
      <c r="J8" s="26" t="s">
        <v>64</v>
      </c>
      <c r="K8" s="26" t="s">
        <v>65</v>
      </c>
      <c r="L8" s="27" t="s">
        <v>41</v>
      </c>
      <c r="M8" s="28" t="s">
        <v>16</v>
      </c>
      <c r="N8" s="29" t="s">
        <v>66</v>
      </c>
      <c r="O8" s="1641">
        <v>0.153</v>
      </c>
      <c r="P8" s="31">
        <v>46112</v>
      </c>
      <c r="Q8" s="31" t="inlineStr">
        <is>
          <t xml:space="preserve">2026-07-02 09:15</t>
        </is>
      </c>
      <c r="R8" s="1638">
        <v>-0.174</v>
      </c>
      <c r="S8" s="1641">
        <v>0.153</v>
      </c>
      <c r="T8" s="1638">
        <v>-0.299</v>
      </c>
      <c r="U8" s="35"/>
      <c r="V8" s="36" t="inlineStr">
        <is>
          <t>近期整体下行，最新较上期回落，净出口贡献率15.3%但明显回落，外需拉动边际减弱。</t>
        </is>
      </c>
    </row>
    <row r="9" ht="111" customHeight="1">
      <c r="A9" s="19"/>
      <c r="B9" s="19"/>
      <c r="C9" s="37"/>
      <c r="D9" s="20"/>
      <c r="E9" s="38"/>
      <c r="F9" s="22" t="s">
        <v>67</v>
      </c>
      <c r="G9" s="39" t="s">
        <v>68</v>
      </c>
      <c r="H9" s="24">
        <v>0.02</v>
      </c>
      <c r="I9" s="50" t="s">
        <v>69</v>
      </c>
      <c r="J9" s="26" t="s">
        <v>70</v>
      </c>
      <c r="K9" s="26" t="s">
        <v>71</v>
      </c>
      <c r="L9" s="27" t="s">
        <v>28</v>
      </c>
      <c r="M9" s="28" t="s">
        <v>15</v>
      </c>
      <c r="N9" s="29" t="s">
        <v>72</v>
      </c>
      <c r="O9" s="51">
        <v>-4.1</v>
      </c>
      <c r="P9" s="31">
        <v>46173</v>
      </c>
      <c r="Q9" s="31" t="inlineStr">
        <is>
          <t xml:space="preserve">2026-07-02 09:15</t>
        </is>
      </c>
      <c r="R9" s="34">
        <v>-2.5</v>
      </c>
      <c r="S9" s="33">
        <v>-0.0389800304712</v>
      </c>
      <c r="T9" s="34">
        <v>-5731</v>
      </c>
      <c r="U9" s="35"/>
      <c r="V9" s="52" t="inlineStr">
        <is>
          <t>近期整体下行，最新较上期回落，固投累计值同比下降3.9%，投资总量偏弱。</t>
        </is>
      </c>
    </row>
    <row r="10" ht="111" customHeight="1">
      <c r="A10" s="19"/>
      <c r="B10" s="19"/>
      <c r="C10" s="37"/>
      <c r="D10" s="20"/>
      <c r="E10" s="38"/>
      <c r="F10" s="22" t="s">
        <v>73</v>
      </c>
      <c r="G10" s="39" t="s">
        <v>74</v>
      </c>
      <c r="H10" s="53">
        <v>0.0444444444444444</v>
      </c>
      <c r="I10" s="25" t="s">
        <v>75</v>
      </c>
      <c r="J10" s="26" t="s">
        <v>76</v>
      </c>
      <c r="K10" s="26" t="s">
        <v>77</v>
      </c>
      <c r="L10" s="41" t="s">
        <v>28</v>
      </c>
      <c r="M10" s="28" t="s">
        <v>15</v>
      </c>
      <c r="N10" s="42" t="s">
        <v>78</v>
      </c>
      <c r="O10" s="1640">
        <v>-0.041</v>
      </c>
      <c r="P10" s="31">
        <v>46173</v>
      </c>
      <c r="Q10" s="31" t="inlineStr">
        <is>
          <t xml:space="preserve">2026-07-02 09:15</t>
        </is>
      </c>
      <c r="R10" s="1643">
        <v>-0.025</v>
      </c>
      <c r="S10" s="1640">
        <v>-0.041</v>
      </c>
      <c r="T10" s="1638">
        <v>-0.078</v>
      </c>
      <c r="U10" s="35"/>
      <c r="V10" s="36" t="inlineStr">
        <is>
          <t>近期整体下行，最新较上期回落，固投同比-1.6%且环比回落3.3pct，投资动能走弱。</t>
        </is>
      </c>
    </row>
    <row r="11" ht="79.5" customHeight="1">
      <c r="A11" s="19"/>
      <c r="B11" s="19"/>
      <c r="C11" s="37"/>
      <c r="D11" s="20"/>
      <c r="E11" s="38"/>
      <c r="F11" s="22" t="s">
        <v>79</v>
      </c>
      <c r="G11" s="39" t="s">
        <v>80</v>
      </c>
      <c r="H11" s="24">
        <v>0.0222222222222</v>
      </c>
      <c r="I11" s="50" t="s">
        <v>81</v>
      </c>
      <c r="J11" s="26" t="s">
        <v>82</v>
      </c>
      <c r="K11" s="26" t="s">
        <v>83</v>
      </c>
      <c r="L11" s="27" t="s">
        <v>28</v>
      </c>
      <c r="M11" s="28" t="s">
        <v>15</v>
      </c>
      <c r="N11" s="29" t="s">
        <v>84</v>
      </c>
      <c r="O11" s="1644">
        <v>-0.162</v>
      </c>
      <c r="P11" s="31">
        <v>46173</v>
      </c>
      <c r="Q11" s="31" t="inlineStr">
        <is>
          <t xml:space="preserve">2026-07-02 09:15</t>
        </is>
      </c>
      <c r="R11" s="1641">
        <v>-0.025</v>
      </c>
      <c r="S11" s="1644">
        <v>-0.162</v>
      </c>
      <c r="T11" s="1638">
        <v>-0.055</v>
      </c>
      <c r="U11" s="35"/>
      <c r="V11" s="36" t="inlineStr">
        <is>
          <t>近期整体下行，最新较上期回落，地产投资同比-13.7%且降幅扩大，地产仍是主要拖累。</t>
        </is>
      </c>
    </row>
    <row r="12" ht="79.5" customHeight="1">
      <c r="A12" s="19"/>
      <c r="B12" s="19"/>
      <c r="C12" s="37"/>
      <c r="D12" s="20"/>
      <c r="E12" s="38"/>
      <c r="F12" s="22" t="s">
        <v>85</v>
      </c>
      <c r="G12" s="26" t="s">
        <v>86</v>
      </c>
      <c r="H12" s="56">
        <v>0.018</v>
      </c>
      <c r="I12" s="50" t="s">
        <v>87</v>
      </c>
      <c r="J12" s="26" t="s">
        <v>88</v>
      </c>
      <c r="K12" s="26" t="s">
        <v>89</v>
      </c>
      <c r="L12" s="27" t="s">
        <v>28</v>
      </c>
      <c r="M12" s="28" t="s">
        <v>15</v>
      </c>
      <c r="N12" s="29" t="s">
        <v>90</v>
      </c>
      <c r="O12" s="1640">
        <v>-0.004</v>
      </c>
      <c r="P12" s="31">
        <v>46173</v>
      </c>
      <c r="Q12" s="31" t="inlineStr">
        <is>
          <t xml:space="preserve">2026-07-02 09:15</t>
        </is>
      </c>
      <c r="R12" s="1643">
        <v>-0.016</v>
      </c>
      <c r="S12" s="1640">
        <v>-0.004</v>
      </c>
      <c r="T12" s="1638">
        <v>-0.089</v>
      </c>
      <c r="U12" s="35"/>
      <c r="V12" s="36" t="inlineStr">
        <is>
          <t>近期整体下行，最新较上期回落，制造业投资同比1.2%但回落2.9pct，扩张动能放缓。</t>
        </is>
      </c>
    </row>
    <row r="13" ht="79.5" customHeight="1">
      <c r="A13" s="19"/>
      <c r="B13" s="19"/>
      <c r="C13" s="37"/>
      <c r="D13" s="20"/>
      <c r="E13" s="38"/>
      <c r="F13" s="22" t="s">
        <v>91</v>
      </c>
      <c r="G13" s="26" t="s">
        <v>92</v>
      </c>
      <c r="H13" s="56">
        <v>0.018</v>
      </c>
      <c r="I13" s="50" t="s">
        <v>93</v>
      </c>
      <c r="J13" s="26" t="s">
        <v>94</v>
      </c>
      <c r="K13" s="26" t="s">
        <v>95</v>
      </c>
      <c r="L13" s="27" t="s">
        <v>28</v>
      </c>
      <c r="M13" s="28" t="s">
        <v>15</v>
      </c>
      <c r="N13" s="29" t="s">
        <v>96</v>
      </c>
      <c r="O13" s="1645">
        <v>0.0075</v>
      </c>
      <c r="P13" s="31">
        <v>46173</v>
      </c>
      <c r="Q13" s="31" t="inlineStr">
        <is>
          <t xml:space="preserve">2026-07-02 09:15</t>
        </is>
      </c>
      <c r="R13" s="1643">
        <v>-0.0417</v>
      </c>
      <c r="S13" s="1645">
        <v>0.0075</v>
      </c>
      <c r="T13" s="1638">
        <v>-0.0967</v>
      </c>
      <c r="U13" s="35"/>
      <c r="V13" s="36" t="inlineStr">
        <is>
          <t>近期整体下行，最新较上期回落，基建投资同比4.3%但回落4.6pct，财政托底边际减弱。</t>
        </is>
      </c>
    </row>
    <row r="14" ht="79.5" customHeight="1">
      <c r="A14" s="19"/>
      <c r="B14" s="19"/>
      <c r="C14" s="37"/>
      <c r="D14" s="20"/>
      <c r="E14" s="38"/>
      <c r="F14" s="22" t="s">
        <v>97</v>
      </c>
      <c r="G14" s="39" t="s">
        <v>98</v>
      </c>
      <c r="H14" s="58">
        <v>0.0277777777777778</v>
      </c>
      <c r="I14" s="50" t="s">
        <v>99</v>
      </c>
      <c r="J14" s="26" t="s">
        <v>100</v>
      </c>
      <c r="K14" s="26" t="s">
        <v>101</v>
      </c>
      <c r="L14" s="41" t="s">
        <v>28</v>
      </c>
      <c r="M14" s="28" t="s">
        <v>15</v>
      </c>
      <c r="N14" s="29" t="s">
        <v>102</v>
      </c>
      <c r="O14" s="1644">
        <v>-0.108</v>
      </c>
      <c r="P14" s="31">
        <v>46173</v>
      </c>
      <c r="Q14" s="31" t="inlineStr">
        <is>
          <t xml:space="preserve">2026-07-02 09:15</t>
        </is>
      </c>
      <c r="R14" s="1638">
        <v>-0.006</v>
      </c>
      <c r="S14" s="1644">
        <v>-0.108</v>
      </c>
      <c r="T14" s="1638">
        <v>-0.079</v>
      </c>
      <c r="U14" s="35"/>
      <c r="V14" s="36" t="inlineStr">
        <is>
          <t>近期整体下行，最新较上期回落，房屋销售同比-10.2%，边际微修复但地产需求仍弱。</t>
        </is>
      </c>
    </row>
    <row r="15" ht="147.75" customHeight="1">
      <c r="A15" s="19"/>
      <c r="B15" s="19"/>
      <c r="C15" s="37"/>
      <c r="D15" s="20"/>
      <c r="E15" s="38"/>
      <c r="F15" s="22" t="s">
        <v>103</v>
      </c>
      <c r="G15" s="45" t="s">
        <v>104</v>
      </c>
      <c r="H15" s="59">
        <v>0.0166666666666667</v>
      </c>
      <c r="I15" s="25" t="s">
        <v>105</v>
      </c>
      <c r="J15" s="45" t="s">
        <v>106</v>
      </c>
      <c r="K15" s="26" t="s">
        <v>107</v>
      </c>
      <c r="L15" s="27" t="s">
        <v>28</v>
      </c>
      <c r="M15" s="28" t="s">
        <v>15</v>
      </c>
      <c r="N15" s="29" t="s">
        <v>108</v>
      </c>
      <c r="O15" s="1638">
        <v>-0.059</v>
      </c>
      <c r="P15" s="31">
        <v>46173</v>
      </c>
      <c r="Q15" s="31" t="inlineStr">
        <is>
          <t xml:space="preserve">2026-07-02 09:15</t>
        </is>
      </c>
      <c r="R15" s="1646">
        <v>0.003</v>
      </c>
      <c r="S15" s="1638">
        <v>-0.059</v>
      </c>
      <c r="T15" s="1638">
        <v>0.004</v>
      </c>
      <c r="U15" s="35"/>
      <c r="V15" s="36" t="inlineStr">
        <is>
          <t>近期整体下行，最新较上期回升，70城二手房价同比-6.2%，仍在下跌但降幅略收窄。</t>
        </is>
      </c>
    </row>
    <row r="16" ht="81.75" customHeight="1">
      <c r="A16" s="19"/>
      <c r="B16" s="19"/>
      <c r="C16" s="37"/>
      <c r="D16" s="20"/>
      <c r="E16" s="38"/>
      <c r="F16" s="22" t="s">
        <v>109</v>
      </c>
      <c r="G16" s="23" t="s">
        <v>110</v>
      </c>
      <c r="H16" s="61">
        <v>0.0333333333333333</v>
      </c>
      <c r="I16" s="25" t="s">
        <v>111</v>
      </c>
      <c r="J16" s="45" t="s">
        <v>112</v>
      </c>
      <c r="K16" s="26" t="s">
        <v>113</v>
      </c>
      <c r="L16" s="27" t="s">
        <v>28</v>
      </c>
      <c r="M16" s="28" t="s">
        <v>15</v>
      </c>
      <c r="N16" s="42" t="s">
        <v>114</v>
      </c>
      <c r="O16" s="1647">
        <v>0.194</v>
      </c>
      <c r="P16" s="31">
        <v>46173</v>
      </c>
      <c r="Q16" s="31" t="inlineStr">
        <is>
          <t xml:space="preserve">2026-07-02 09:15</t>
        </is>
      </c>
      <c r="R16" s="1638">
        <v>0.054</v>
      </c>
      <c r="S16" s="1647">
        <v>0.194</v>
      </c>
      <c r="T16" s="1638">
        <v>0.1474722</v>
      </c>
      <c r="U16" s="35"/>
      <c r="V16" s="36" t="inlineStr">
        <is>
          <t>近期整体上行，最新较上期回升，出口同比19.4%且继续改善，外需和抢出口支撑较强。</t>
        </is>
      </c>
    </row>
    <row r="17" ht="99" customHeight="1">
      <c r="A17" s="19"/>
      <c r="B17" s="19"/>
      <c r="C17" s="37"/>
      <c r="D17" s="20"/>
      <c r="E17" s="38"/>
      <c r="F17" s="22" t="s">
        <v>115</v>
      </c>
      <c r="G17" s="45" t="s">
        <v>116</v>
      </c>
      <c r="H17" s="49">
        <v>0.0111111111111</v>
      </c>
      <c r="I17" s="25" t="s">
        <v>117</v>
      </c>
      <c r="J17" s="45" t="s">
        <v>118</v>
      </c>
      <c r="K17" s="45" t="s">
        <v>119</v>
      </c>
      <c r="L17" s="27" t="s">
        <v>28</v>
      </c>
      <c r="M17" s="28" t="s">
        <v>15</v>
      </c>
      <c r="N17" s="29" t="s">
        <v>120</v>
      </c>
      <c r="O17" s="1648">
        <v>-0.027</v>
      </c>
      <c r="P17" s="31">
        <v>46173</v>
      </c>
      <c r="Q17" s="31" t="inlineStr">
        <is>
          <t xml:space="preserve">2026-07-02 09:15</t>
        </is>
      </c>
      <c r="R17" s="1649">
        <v>0.075</v>
      </c>
      <c r="S17" s="1648">
        <v>-0.027</v>
      </c>
      <c r="T17" s="1638">
        <v>0.07</v>
      </c>
      <c r="U17" s="35"/>
      <c r="V17" s="36" t="inlineStr">
        <is>
          <t>近期整体上行，最新较上期回升，对美出口累计同比-2.7%，仍负增长但边际明显修复。</t>
        </is>
      </c>
    </row>
    <row r="18" ht="99" customHeight="1">
      <c r="A18" s="19"/>
      <c r="B18" s="19"/>
      <c r="C18" s="37"/>
      <c r="D18" s="20"/>
      <c r="E18" s="38"/>
      <c r="F18" s="22" t="s">
        <v>121</v>
      </c>
      <c r="G18" s="45" t="s">
        <v>122</v>
      </c>
      <c r="H18" s="49">
        <v>0.0111111111111</v>
      </c>
      <c r="I18" s="25" t="s">
        <v>123</v>
      </c>
      <c r="J18" s="45" t="s">
        <v>124</v>
      </c>
      <c r="K18" s="45" t="s">
        <v>125</v>
      </c>
      <c r="L18" s="27" t="s">
        <v>28</v>
      </c>
      <c r="M18" s="28" t="s">
        <v>15</v>
      </c>
      <c r="N18" s="29" t="s">
        <v>126</v>
      </c>
      <c r="O18" s="1650">
        <v>0.203</v>
      </c>
      <c r="P18" s="31">
        <v>46173</v>
      </c>
      <c r="Q18" s="31" t="inlineStr">
        <is>
          <t xml:space="preserve">2026-07-02 09:15</t>
        </is>
      </c>
      <c r="R18" s="1638">
        <v>0.012</v>
      </c>
      <c r="S18" s="1650">
        <v>0.203</v>
      </c>
      <c r="T18" s="1638">
        <v>0.081</v>
      </c>
      <c r="U18" s="35"/>
      <c r="V18" s="36" t="inlineStr">
        <is>
          <t>近期整体上行，最新较上期回升，对东盟出口累计同比20.3%，区域外需支撑较强。</t>
        </is>
      </c>
    </row>
    <row r="19" ht="99" customHeight="1">
      <c r="A19" s="19"/>
      <c r="B19" s="19"/>
      <c r="C19" s="37"/>
      <c r="D19" s="20"/>
      <c r="E19" s="38"/>
      <c r="F19" s="22" t="s">
        <v>127</v>
      </c>
      <c r="G19" s="45" t="s">
        <v>128</v>
      </c>
      <c r="H19" s="66">
        <v>0.014</v>
      </c>
      <c r="I19" s="25" t="s">
        <v>129</v>
      </c>
      <c r="J19" s="45" t="s">
        <v>130</v>
      </c>
      <c r="K19" s="26" t="s">
        <v>131</v>
      </c>
      <c r="L19" s="27" t="s">
        <v>28</v>
      </c>
      <c r="M19" s="28" t="s">
        <v>16</v>
      </c>
      <c r="N19" s="29" t="s">
        <v>132</v>
      </c>
      <c r="O19" s="1651">
        <v>1054.335842</v>
      </c>
      <c r="P19" s="31">
        <v>46173</v>
      </c>
      <c r="Q19" s="31" t="inlineStr">
        <is>
          <t xml:space="preserve">2026-07-02 09:15</t>
        </is>
      </c>
      <c r="R19" s="1639">
        <v>207.478127</v>
      </c>
      <c r="S19" s="1652">
        <v>0.026468876924</v>
      </c>
      <c r="T19" s="1639">
        <v>27.187464</v>
      </c>
      <c r="U19" s="35"/>
      <c r="V19" s="36" t="inlineStr">
        <is>
          <t>近期整体下行，最新较上期回升，贸易顺差1054.3亿美元且环比扩大，净出口仍有支撑。</t>
        </is>
      </c>
    </row>
    <row r="20" ht="99" customHeight="1">
      <c r="A20" s="19"/>
      <c r="B20" s="19"/>
      <c r="C20" s="37"/>
      <c r="D20" s="20"/>
      <c r="E20" s="38"/>
      <c r="F20" s="22" t="s">
        <v>133</v>
      </c>
      <c r="G20" s="23" t="s">
        <v>134</v>
      </c>
      <c r="H20" s="58">
        <v>0.0277777777777778</v>
      </c>
      <c r="I20" s="25" t="s">
        <v>135</v>
      </c>
      <c r="J20" s="45" t="s">
        <v>136</v>
      </c>
      <c r="K20" s="26" t="s">
        <v>137</v>
      </c>
      <c r="L20" s="27" t="s">
        <v>28</v>
      </c>
      <c r="M20" s="28" t="s">
        <v>14</v>
      </c>
      <c r="N20" s="42" t="s">
        <v>138</v>
      </c>
      <c r="O20" s="1653">
        <v>50.3</v>
      </c>
      <c r="P20" s="31">
        <v>46203</v>
      </c>
      <c r="Q20" s="31" t="inlineStr">
        <is>
          <t xml:space="preserve">2026-07-02 09:53</t>
        </is>
      </c>
      <c r="R20" s="1639">
        <v>0.3</v>
      </c>
      <c r="S20" s="1654" t="inlineStr">
        <is>
          <t>-</t>
        </is>
      </c>
      <c r="T20" s="1639">
        <v>0.6</v>
      </c>
      <c r="U20" s="35"/>
      <c r="V20" s="36" t="inlineStr">
        <is>
          <t>近期整体上行，最新较上期回升，制造业PMI回落至50.0，扩张动能转为临界状态。</t>
        </is>
      </c>
    </row>
    <row r="21" ht="93" customHeight="1">
      <c r="A21" s="19"/>
      <c r="B21" s="19"/>
      <c r="C21" s="37"/>
      <c r="D21" s="20"/>
      <c r="E21" s="38"/>
      <c r="F21" s="22" t="s">
        <v>139</v>
      </c>
      <c r="G21" s="23" t="s">
        <v>140</v>
      </c>
      <c r="H21" s="40">
        <v>0.0388888888888889</v>
      </c>
      <c r="I21" s="25" t="s">
        <v>141</v>
      </c>
      <c r="J21" s="45" t="s">
        <v>142</v>
      </c>
      <c r="K21" s="26" t="s">
        <v>143</v>
      </c>
      <c r="L21" s="27" t="s">
        <v>28</v>
      </c>
      <c r="M21" s="28" t="s">
        <v>14</v>
      </c>
      <c r="N21" s="29" t="s">
        <v>144</v>
      </c>
      <c r="O21" s="1655">
        <v>51.2</v>
      </c>
      <c r="P21" s="31">
        <v>46203</v>
      </c>
      <c r="Q21" s="31" t="inlineStr">
        <is>
          <t xml:space="preserve">2026-07-02 09:53</t>
        </is>
      </c>
      <c r="R21" s="1656">
        <v>1.3</v>
      </c>
      <c r="S21" s="1654" t="inlineStr">
        <is>
          <t>-</t>
        </is>
      </c>
      <c r="T21" s="1639">
        <v>1</v>
      </c>
      <c r="U21" s="35"/>
      <c r="V21" s="36" t="inlineStr">
        <is>
          <t>近期整体上行，最新较上期回升，PMI新订单49.9且回落，需求前瞻信号偏弱。</t>
        </is>
      </c>
    </row>
    <row r="22" ht="93" customHeight="1">
      <c r="A22" s="19"/>
      <c r="B22" s="19"/>
      <c r="C22" s="37"/>
      <c r="D22" s="20"/>
      <c r="E22" s="38"/>
      <c r="F22" s="22" t="s">
        <v>145</v>
      </c>
      <c r="G22" s="45" t="s">
        <v>146</v>
      </c>
      <c r="H22" s="59">
        <v>0.0166666666666667</v>
      </c>
      <c r="I22" s="25" t="s">
        <v>147</v>
      </c>
      <c r="J22" s="45" t="s">
        <v>148</v>
      </c>
      <c r="K22" s="26" t="s">
        <v>149</v>
      </c>
      <c r="L22" s="27" t="s">
        <v>28</v>
      </c>
      <c r="M22" s="28" t="s">
        <v>14</v>
      </c>
      <c r="N22" s="29" t="s">
        <v>150</v>
      </c>
      <c r="O22" s="1651">
        <v>51.4</v>
      </c>
      <c r="P22" s="31">
        <v>46203</v>
      </c>
      <c r="Q22" s="31" t="inlineStr">
        <is>
          <t xml:space="preserve">2026-07-02 09:53</t>
        </is>
      </c>
      <c r="R22" s="1639">
        <v>0.2</v>
      </c>
      <c r="S22" s="1654" t="inlineStr">
        <is>
          <t>-</t>
        </is>
      </c>
      <c r="T22" s="1639">
        <v>0.4</v>
      </c>
      <c r="U22" s="35"/>
      <c r="V22" s="36" t="inlineStr">
        <is>
          <t>近期整体上行，最新较上期回升，PMI生产51.2仍扩张但回落，供给强于需求。</t>
        </is>
      </c>
    </row>
    <row r="23" ht="93" customHeight="1">
      <c r="A23" s="19"/>
      <c r="B23" s="19"/>
      <c r="C23" s="37"/>
      <c r="D23" s="20"/>
      <c r="E23" s="38"/>
      <c r="F23" s="22" t="s">
        <v>151</v>
      </c>
      <c r="G23" s="45" t="s">
        <v>152</v>
      </c>
      <c r="H23" s="59">
        <v>0.0166666666666667</v>
      </c>
      <c r="I23" s="25" t="s">
        <v>153</v>
      </c>
      <c r="J23" s="45" t="s">
        <v>154</v>
      </c>
      <c r="K23" s="26" t="s">
        <v>155</v>
      </c>
      <c r="L23" s="27" t="s">
        <v>28</v>
      </c>
      <c r="M23" s="28" t="s">
        <v>14</v>
      </c>
      <c r="N23" s="42" t="s">
        <v>156</v>
      </c>
      <c r="O23" s="1657">
        <v>50.2</v>
      </c>
      <c r="P23" s="31">
        <v>46203</v>
      </c>
      <c r="Q23" s="31" t="inlineStr">
        <is>
          <t xml:space="preserve">2026-07-02 09:53</t>
        </is>
      </c>
      <c r="R23" s="1658">
        <v>0.1</v>
      </c>
      <c r="S23" s="1654" t="inlineStr">
        <is>
          <t>-</t>
        </is>
      </c>
      <c r="T23" s="1639">
        <v>-0.3</v>
      </c>
      <c r="U23" s="35"/>
      <c r="V23" s="36" t="inlineStr">
        <is>
          <t>近期总体震荡，最新较上期回升，非制造业PMI升至50.1，服务景气弱修复。</t>
        </is>
      </c>
    </row>
    <row r="24" ht="93" customHeight="1">
      <c r="A24" s="19"/>
      <c r="B24" s="19"/>
      <c r="C24" s="37"/>
      <c r="D24" s="20"/>
      <c r="E24" s="38"/>
      <c r="F24" s="22" t="s">
        <v>157</v>
      </c>
      <c r="G24" s="45" t="s">
        <v>158</v>
      </c>
      <c r="H24" s="59">
        <v>0.0166666666666667</v>
      </c>
      <c r="I24" s="25" t="s">
        <v>159</v>
      </c>
      <c r="J24" s="45" t="s">
        <v>160</v>
      </c>
      <c r="K24" s="26" t="s">
        <v>161</v>
      </c>
      <c r="L24" s="27" t="s">
        <v>28</v>
      </c>
      <c r="M24" s="28" t="s">
        <v>15</v>
      </c>
      <c r="N24" s="42" t="s">
        <v>162</v>
      </c>
      <c r="O24" s="1659">
        <v>0.045</v>
      </c>
      <c r="P24" s="31">
        <v>46173</v>
      </c>
      <c r="Q24" s="31" t="inlineStr">
        <is>
          <t xml:space="preserve">2026-07-02 09:15</t>
        </is>
      </c>
      <c r="R24" s="1638">
        <v>0.004</v>
      </c>
      <c r="S24" s="1659">
        <v>0.045</v>
      </c>
      <c r="T24" s="1638">
        <v>-0.013</v>
      </c>
      <c r="U24" s="35"/>
      <c r="V24" s="36" t="inlineStr">
        <is>
          <t>近期整体下行，最新较上期回升，工业增加值同比4.1%但回落1.6pct，生产端放缓。</t>
        </is>
      </c>
    </row>
    <row r="25" ht="93" customHeight="1">
      <c r="A25" s="19"/>
      <c r="B25" s="19"/>
      <c r="C25" s="37"/>
      <c r="D25" s="20"/>
      <c r="E25" s="72" t="s">
        <v>163</v>
      </c>
      <c r="F25" s="22" t="s">
        <v>164</v>
      </c>
      <c r="G25" s="23" t="s">
        <v>165</v>
      </c>
      <c r="H25" s="73">
        <v>0.0555555555555556</v>
      </c>
      <c r="I25" s="25" t="s">
        <v>166</v>
      </c>
      <c r="J25" s="45" t="s">
        <v>167</v>
      </c>
      <c r="K25" s="26" t="s">
        <v>168</v>
      </c>
      <c r="L25" s="27" t="s">
        <v>28</v>
      </c>
      <c r="M25" s="28" t="s">
        <v>15</v>
      </c>
      <c r="N25" s="42" t="s">
        <v>169</v>
      </c>
      <c r="O25" s="1648">
        <v>0.039</v>
      </c>
      <c r="P25" s="31">
        <v>46173</v>
      </c>
      <c r="Q25" s="31" t="inlineStr">
        <is>
          <t xml:space="preserve">2026-07-02 09:15</t>
        </is>
      </c>
      <c r="R25" s="1646">
        <v>0.011</v>
      </c>
      <c r="S25" s="1648">
        <v>0.039</v>
      </c>
      <c r="T25" s="1660">
        <v>0.072</v>
      </c>
      <c r="U25" s="35"/>
      <c r="V25" s="36" t="inlineStr">
        <is>
          <t>近期整体上行，最新较上期回升，PPI同比3.9%且上行，上游价格和收入端改善，但不等于终端需求全面恢复。</t>
        </is>
      </c>
    </row>
    <row r="26" ht="93" customHeight="1">
      <c r="A26" s="19"/>
      <c r="B26" s="19"/>
      <c r="C26" s="37"/>
      <c r="D26" s="20"/>
      <c r="E26" s="38"/>
      <c r="F26" s="22" t="s">
        <v>170</v>
      </c>
      <c r="G26" s="23" t="s">
        <v>171</v>
      </c>
      <c r="H26" s="58">
        <v>0.0277777777777778</v>
      </c>
      <c r="I26" s="25" t="s">
        <v>172</v>
      </c>
      <c r="J26" s="45" t="s">
        <v>173</v>
      </c>
      <c r="K26" s="26" t="s">
        <v>174</v>
      </c>
      <c r="L26" s="27" t="s">
        <v>28</v>
      </c>
      <c r="M26" s="28" t="s">
        <v>15</v>
      </c>
      <c r="N26" s="42" t="s">
        <v>175</v>
      </c>
      <c r="O26" s="1661">
        <v>0.012</v>
      </c>
      <c r="P26" s="31">
        <v>46173</v>
      </c>
      <c r="Q26" s="31" t="inlineStr">
        <is>
          <t xml:space="preserve">2026-07-02 09:15</t>
        </is>
      </c>
      <c r="R26" s="1638">
        <v>0</v>
      </c>
      <c r="S26" s="1661">
        <v>0.012</v>
      </c>
      <c r="T26" s="1652">
        <v>0.013</v>
      </c>
      <c r="U26" s="35"/>
      <c r="V26" s="36" t="inlineStr">
        <is>
          <t>近期整体上行，最新较上期持平，CPI同比1.2%且持平，居民端通胀温和，需求拉动仍不强。</t>
        </is>
      </c>
    </row>
    <row r="27" ht="81" customHeight="1">
      <c r="A27" s="19"/>
      <c r="B27" s="19"/>
      <c r="C27" s="37"/>
      <c r="D27" s="20"/>
      <c r="E27" s="38"/>
      <c r="F27" s="22" t="s">
        <v>176</v>
      </c>
      <c r="G27" s="45" t="s">
        <v>177</v>
      </c>
      <c r="H27" s="49">
        <v>0.0111111111111</v>
      </c>
      <c r="I27" s="76" t="s">
        <v>178</v>
      </c>
      <c r="J27" s="45" t="s">
        <v>179</v>
      </c>
      <c r="K27" s="45" t="s">
        <v>180</v>
      </c>
      <c r="L27" s="27" t="s">
        <v>181</v>
      </c>
      <c r="M27" s="28" t="s">
        <v>14</v>
      </c>
      <c r="N27" s="29" t="s">
        <v>182</v>
      </c>
      <c r="O27" s="1662">
        <v>79.58</v>
      </c>
      <c r="P27" s="31">
        <v>46206</v>
      </c>
      <c r="Q27" s="31" t="inlineStr">
        <is>
          <t>2026-07-06 10:56</t>
        </is>
      </c>
      <c r="R27" s="1663">
        <v>1.12</v>
      </c>
      <c r="S27" s="1664">
        <v>-0.226251823043</v>
      </c>
      <c r="T27" s="1665">
        <v>-23.27</v>
      </c>
      <c r="U27" s="35"/>
      <c r="V27" s="36" t="inlineStr">
        <is>
          <t>近期整体上行，最新较上期回升，猪肉价格指数同比仍弱，食品端对CPI支撑有限。</t>
        </is>
      </c>
    </row>
    <row r="28" ht="81" customHeight="1">
      <c r="A28" s="19"/>
      <c r="B28" s="19"/>
      <c r="C28" s="37"/>
      <c r="D28" s="20"/>
      <c r="E28" s="38"/>
      <c r="F28" s="22" t="s">
        <v>183</v>
      </c>
      <c r="G28" s="45" t="s">
        <v>184</v>
      </c>
      <c r="H28" s="46">
        <v>0.0166666666667</v>
      </c>
      <c r="I28" s="76" t="s">
        <v>185</v>
      </c>
      <c r="J28" s="45" t="s">
        <v>186</v>
      </c>
      <c r="K28" s="45" t="s">
        <v>187</v>
      </c>
      <c r="L28" s="27" t="s">
        <v>181</v>
      </c>
      <c r="M28" s="28" t="s">
        <v>14</v>
      </c>
      <c r="N28" s="29" t="s">
        <v>188</v>
      </c>
      <c r="O28" s="1666">
        <v>72.12</v>
      </c>
      <c r="P28" s="31">
        <v>46206</v>
      </c>
      <c r="Q28" s="31" t="inlineStr">
        <is>
          <t>2026-07-06 10:56</t>
        </is>
      </c>
      <c r="R28" s="1639">
        <v>0.32</v>
      </c>
      <c r="S28" s="1638">
        <v>0.0482558139535</v>
      </c>
      <c r="T28" s="1667">
        <v>3.32</v>
      </c>
      <c r="U28" s="35"/>
      <c r="V28" s="36" t="inlineStr">
        <is>
          <t>近期整体下行，最新较上期回升，布伦特油价93.1且环比上涨，输入性因素对PPI和通胀预期形成支撑。</t>
        </is>
      </c>
    </row>
    <row r="29" ht="81" customHeight="1">
      <c r="A29" s="19"/>
      <c r="B29" s="19"/>
      <c r="C29" s="37"/>
      <c r="D29" s="20"/>
      <c r="E29" s="38"/>
      <c r="F29" s="22" t="s">
        <v>189</v>
      </c>
      <c r="G29" s="23" t="s">
        <v>190</v>
      </c>
      <c r="H29" s="58">
        <v>0.0277777777777778</v>
      </c>
      <c r="I29" s="76" t="s">
        <v>191</v>
      </c>
      <c r="J29" s="45" t="s">
        <v>192</v>
      </c>
      <c r="K29" s="26" t="s">
        <v>193</v>
      </c>
      <c r="L29" s="27" t="s">
        <v>28</v>
      </c>
      <c r="M29" s="28" t="s">
        <v>14</v>
      </c>
      <c r="N29" s="29" t="s">
        <v>194</v>
      </c>
      <c r="O29" s="1668">
        <v>54.2</v>
      </c>
      <c r="P29" s="31">
        <v>46203</v>
      </c>
      <c r="Q29" s="31" t="inlineStr">
        <is>
          <t xml:space="preserve">2026-07-02 09:53</t>
        </is>
      </c>
      <c r="R29" s="1669">
        <v>-6.3</v>
      </c>
      <c r="S29" s="1654" t="inlineStr">
        <is>
          <t>-</t>
        </is>
      </c>
      <c r="T29" s="1670">
        <v>5.8</v>
      </c>
      <c r="U29" s="35"/>
      <c r="V29" s="36" t="inlineStr">
        <is>
          <t>近期整体上行，最新较上期回落，原材料购价指数60.5仍高，但环比回落，成本压力边际缓和。</t>
        </is>
      </c>
    </row>
    <row r="30" ht="81" customHeight="1">
      <c r="A30" s="19"/>
      <c r="B30" s="19"/>
      <c r="C30" s="37"/>
      <c r="D30" s="20"/>
      <c r="E30" s="38"/>
      <c r="F30" s="22" t="s">
        <v>195</v>
      </c>
      <c r="G30" s="23" t="s">
        <v>196</v>
      </c>
      <c r="H30" s="84">
        <v>0.0666666666666667</v>
      </c>
      <c r="I30" s="76" t="s">
        <v>197</v>
      </c>
      <c r="J30" s="45" t="s">
        <v>198</v>
      </c>
      <c r="K30" s="26" t="s">
        <v>199</v>
      </c>
      <c r="L30" s="27" t="s">
        <v>28</v>
      </c>
      <c r="M30" s="85" t="s">
        <v>15</v>
      </c>
      <c r="N30" s="86" t="s">
        <v>200</v>
      </c>
      <c r="O30" s="1671">
        <v>0.188</v>
      </c>
      <c r="P30" s="31">
        <v>46173</v>
      </c>
      <c r="Q30" s="31" t="inlineStr">
        <is>
          <t xml:space="preserve">2026-07-02 09:15</t>
        </is>
      </c>
      <c r="R30" s="1672">
        <v>0.006</v>
      </c>
      <c r="S30" s="1671">
        <v>0.188</v>
      </c>
      <c r="T30" s="1672">
        <v>0.199</v>
      </c>
      <c r="U30" s="35"/>
      <c r="V30" s="36" t="inlineStr">
        <is>
          <t>近期整体上行，最新较上期回升，工业企业利润同比18.2%且继续改善，盈利修复较强，但需和终端需求分开看。</t>
        </is>
      </c>
    </row>
    <row r="31" ht="81" customHeight="1">
      <c r="A31" s="19"/>
      <c r="B31" s="19"/>
      <c r="C31" s="37"/>
      <c r="D31" s="20"/>
      <c r="E31" s="38"/>
      <c r="F31" s="22" t="s">
        <v>201</v>
      </c>
      <c r="G31" s="23" t="s">
        <v>202</v>
      </c>
      <c r="H31" s="53">
        <v>0.0444444444444444</v>
      </c>
      <c r="I31" s="76" t="s">
        <v>203</v>
      </c>
      <c r="J31" s="45" t="s">
        <v>204</v>
      </c>
      <c r="K31" s="26" t="s">
        <v>205</v>
      </c>
      <c r="L31" s="27" t="s">
        <v>28</v>
      </c>
      <c r="M31" s="85" t="s">
        <v>16</v>
      </c>
      <c r="N31" s="86" t="s">
        <v>206</v>
      </c>
      <c r="O31" s="1671">
        <v>0.0556</v>
      </c>
      <c r="P31" s="31">
        <v>46173</v>
      </c>
      <c r="Q31" s="31" t="inlineStr">
        <is>
          <t xml:space="preserve">2026-07-02 09:15</t>
        </is>
      </c>
      <c r="R31" s="1672">
        <v>0.0013</v>
      </c>
      <c r="S31" s="1673">
        <v>0.118712273642</v>
      </c>
      <c r="T31" s="1672">
        <v>0.0059</v>
      </c>
      <c r="U31" s="35"/>
      <c r="V31" s="36" t="inlineStr">
        <is>
          <t>近期整体上行，最新较上期回升，工业企业利润率5.43%且同比提升，盈利质量改善，更多体现价格和成本结构修复。</t>
        </is>
      </c>
    </row>
    <row r="32" ht="69" customHeight="1">
      <c r="A32" s="19"/>
      <c r="B32" s="19"/>
      <c r="C32" s="19" t="s">
        <v>207</v>
      </c>
      <c r="D32" s="20" t="s">
        <v>208</v>
      </c>
      <c r="E32" s="72" t="s">
        <v>209</v>
      </c>
      <c r="F32" s="22" t="s">
        <v>210</v>
      </c>
      <c r="G32" s="39" t="s">
        <v>211</v>
      </c>
      <c r="H32" s="90">
        <v>0.032</v>
      </c>
      <c r="I32" s="50" t="s">
        <v>212</v>
      </c>
      <c r="J32" s="26" t="s">
        <v>213</v>
      </c>
      <c r="K32" s="26" t="s">
        <v>214</v>
      </c>
      <c r="L32" s="41" t="s">
        <v>215</v>
      </c>
      <c r="M32" s="28" t="s">
        <v>216</v>
      </c>
      <c r="N32" s="29" t="s">
        <v>217</v>
      </c>
      <c r="O32" s="91" t="s">
        <v>217</v>
      </c>
      <c r="P32" s="31" t="s">
        <v>217</v>
      </c>
      <c r="Q32" s="31" t="inlineStr">
        <is>
          <t xml:space="preserve">2026-07-02 09:15</t>
        </is>
      </c>
      <c r="R32" s="92" t="s">
        <v>217</v>
      </c>
      <c r="S32" s="93" t="s">
        <v>218</v>
      </c>
      <c r="T32" s="92" t="s">
        <v>218</v>
      </c>
      <c r="U32" s="35"/>
      <c r="V32" s="52" t="inlineStr">
        <is>
          <t>定性跟踪项，缺少可量化底层序列，需结合最新政策表述确认。</t>
        </is>
      </c>
    </row>
    <row r="33" ht="69" customHeight="1">
      <c r="A33" s="19"/>
      <c r="B33" s="19"/>
      <c r="C33" s="37"/>
      <c r="D33" s="20"/>
      <c r="E33" s="94" t="s">
        <v>219</v>
      </c>
      <c r="F33" s="22" t="s">
        <v>220</v>
      </c>
      <c r="G33" s="26" t="s">
        <v>221</v>
      </c>
      <c r="H33" s="66">
        <v>0.014</v>
      </c>
      <c r="I33" s="50" t="s">
        <v>222</v>
      </c>
      <c r="J33" s="26" t="s">
        <v>223</v>
      </c>
      <c r="K33" s="26" t="s">
        <v>224</v>
      </c>
      <c r="L33" s="27" t="s">
        <v>28</v>
      </c>
      <c r="M33" s="28" t="s">
        <v>15</v>
      </c>
      <c r="N33" s="29" t="s">
        <v>225</v>
      </c>
      <c r="O33" s="1639">
        <v>100465</v>
      </c>
      <c r="P33" s="31">
        <v>46173</v>
      </c>
      <c r="Q33" s="31" t="inlineStr">
        <is>
          <t xml:space="preserve">2026-07-02 09:15</t>
        </is>
      </c>
      <c r="R33" s="1639">
        <v>17061</v>
      </c>
      <c r="S33" s="1673">
        <v>0.039762789398</v>
      </c>
      <c r="T33" s="1639">
        <v>3842</v>
      </c>
      <c r="U33" s="35"/>
      <c r="V33" s="36" t="inlineStr">
        <is>
          <t>近期整体下行，最新较上期回升，财政收入累计同比3.46%，收入端小幅修复但不等同于政策发力。</t>
        </is>
      </c>
    </row>
    <row r="34" ht="69" customHeight="1">
      <c r="A34" s="19"/>
      <c r="B34" s="19"/>
      <c r="C34" s="37"/>
      <c r="D34" s="20"/>
      <c r="E34" s="38"/>
      <c r="F34" s="22" t="s">
        <v>226</v>
      </c>
      <c r="G34" s="26" t="s">
        <v>227</v>
      </c>
      <c r="H34" s="56">
        <v>0.016</v>
      </c>
      <c r="I34" s="50" t="s">
        <v>228</v>
      </c>
      <c r="J34" s="26" t="s">
        <v>229</v>
      </c>
      <c r="K34" s="26" t="s">
        <v>230</v>
      </c>
      <c r="L34" s="27" t="s">
        <v>28</v>
      </c>
      <c r="M34" s="28" t="s">
        <v>15</v>
      </c>
      <c r="N34" s="29" t="s">
        <v>231</v>
      </c>
      <c r="O34" s="1639">
        <v>113877</v>
      </c>
      <c r="P34" s="31">
        <v>46173</v>
      </c>
      <c r="Q34" s="31" t="inlineStr">
        <is>
          <t xml:space="preserve">2026-07-02 09:15</t>
        </is>
      </c>
      <c r="R34" s="1639">
        <v>19068</v>
      </c>
      <c r="S34" s="1644">
        <v>0.00818039361504</v>
      </c>
      <c r="T34" s="1639">
        <v>924</v>
      </c>
      <c r="U34" s="35"/>
      <c r="V34" s="36" t="inlineStr">
        <is>
          <t>近期整体下行，最新较上期回升，财政支出累计同比1.31%，支出扩张偏温和，托底力度不强。</t>
        </is>
      </c>
    </row>
    <row r="35" ht="69" customHeight="1">
      <c r="A35" s="19"/>
      <c r="B35" s="19"/>
      <c r="C35" s="37"/>
      <c r="D35" s="20"/>
      <c r="E35" s="38"/>
      <c r="F35" s="22" t="s">
        <v>232</v>
      </c>
      <c r="G35" s="26" t="s">
        <v>233</v>
      </c>
      <c r="H35" s="95">
        <v>0.012</v>
      </c>
      <c r="I35" s="50" t="s">
        <v>234</v>
      </c>
      <c r="J35" s="26" t="s">
        <v>235</v>
      </c>
      <c r="K35" s="26" t="s">
        <v>236</v>
      </c>
      <c r="L35" s="27" t="s">
        <v>28</v>
      </c>
      <c r="M35" s="28" t="s">
        <v>15</v>
      </c>
      <c r="N35" s="29" t="s">
        <v>237</v>
      </c>
      <c r="O35" s="1640">
        <v>-0.287</v>
      </c>
      <c r="P35" s="31">
        <v>46173</v>
      </c>
      <c r="Q35" s="31" t="inlineStr">
        <is>
          <t xml:space="preserve">2026-07-02 09:15</t>
        </is>
      </c>
      <c r="R35" s="1638">
        <v>-0.015</v>
      </c>
      <c r="S35" s="1640">
        <v>-0.287</v>
      </c>
      <c r="T35" s="1638">
        <v>-0.168</v>
      </c>
      <c r="U35" s="35"/>
      <c r="V35" s="36" t="inlineStr">
        <is>
          <t>近期整体下行，最新较上期回落，土地出让收入同比-27.2%且降幅扩大，地方财政和地产链压力偏大。</t>
        </is>
      </c>
    </row>
    <row r="36" ht="69" customHeight="1">
      <c r="A36" s="19"/>
      <c r="B36" s="19"/>
      <c r="C36" s="37"/>
      <c r="D36" s="20"/>
      <c r="E36" s="38"/>
      <c r="F36" s="22" t="s">
        <v>238</v>
      </c>
      <c r="G36" s="26" t="s">
        <v>239</v>
      </c>
      <c r="H36" s="96">
        <v>0.01</v>
      </c>
      <c r="I36" s="50" t="s">
        <v>240</v>
      </c>
      <c r="J36" s="26" t="s">
        <v>241</v>
      </c>
      <c r="K36" s="26" t="s">
        <v>242</v>
      </c>
      <c r="L36" s="27" t="s">
        <v>28</v>
      </c>
      <c r="M36" s="28" t="s">
        <v>15</v>
      </c>
      <c r="N36" s="29" t="s">
        <v>243</v>
      </c>
      <c r="O36" s="1674">
        <v>42349.8</v>
      </c>
      <c r="P36" s="31">
        <v>46112</v>
      </c>
      <c r="Q36" s="31" t="inlineStr">
        <is>
          <t xml:space="preserve">2026-07-02 09:15</t>
        </is>
      </c>
      <c r="R36" s="1639">
        <v>1118</v>
      </c>
      <c r="S36" s="1638">
        <v>0.174566018688</v>
      </c>
      <c r="T36" s="1639">
        <v>6294.1</v>
      </c>
      <c r="U36" s="35"/>
      <c r="V36" s="36" t="inlineStr">
        <is>
          <t>近期整体上行，最新较上期回升，中央政府债务余额同比增19.3%，中央财政加杠杆信号明显。</t>
        </is>
      </c>
    </row>
    <row r="37" ht="65.1500015258789" customHeight="1">
      <c r="A37" s="19"/>
      <c r="B37" s="19"/>
      <c r="C37" s="37"/>
      <c r="D37" s="20"/>
      <c r="E37" s="38"/>
      <c r="F37" s="22" t="s">
        <v>244</v>
      </c>
      <c r="G37" s="39" t="s">
        <v>245</v>
      </c>
      <c r="H37" s="24">
        <v>0.02</v>
      </c>
      <c r="I37" s="76" t="s">
        <v>246</v>
      </c>
      <c r="J37" s="45" t="s">
        <v>247</v>
      </c>
      <c r="K37" s="26" t="s">
        <v>248</v>
      </c>
      <c r="L37" s="27" t="s">
        <v>41</v>
      </c>
      <c r="M37" s="28" t="s">
        <v>16</v>
      </c>
      <c r="N37" s="29" t="s">
        <v>249</v>
      </c>
      <c r="O37" s="1675">
        <v>-0.95671581403</v>
      </c>
      <c r="P37" s="31">
        <v>46173</v>
      </c>
      <c r="Q37" s="31" t="inlineStr">
        <is>
          <t xml:space="preserve">2026-07-02 09:15</t>
        </is>
      </c>
      <c r="R37" s="1639">
        <v>-0.143164974557</v>
      </c>
      <c r="S37" s="1654" t="inlineStr">
        <is>
          <t>-</t>
        </is>
      </c>
      <c r="T37" s="1676" t="inlineStr">
        <is>
          <t>-</t>
        </is>
      </c>
      <c r="U37" s="35"/>
      <c r="V37" s="36" t="inlineStr">
        <is>
          <t>近期整体下行，最新较上期回落，财政赤字脉冲仍为负但环比改善，财政边际由收缩向修复。</t>
        </is>
      </c>
    </row>
    <row r="38" ht="74" customHeight="1">
      <c r="A38" s="19"/>
      <c r="B38" s="19"/>
      <c r="C38" s="37"/>
      <c r="D38" s="20"/>
      <c r="E38" s="38"/>
      <c r="F38" s="22" t="s">
        <v>250</v>
      </c>
      <c r="G38" s="45" t="s">
        <v>251</v>
      </c>
      <c r="H38" s="95">
        <v>0.012</v>
      </c>
      <c r="I38" s="76" t="s">
        <v>252</v>
      </c>
      <c r="J38" s="45" t="s">
        <v>253</v>
      </c>
      <c r="K38" s="26" t="s">
        <v>254</v>
      </c>
      <c r="L38" s="27" t="s">
        <v>28</v>
      </c>
      <c r="M38" s="28" t="s">
        <v>15</v>
      </c>
      <c r="N38" s="29" t="s">
        <v>255</v>
      </c>
      <c r="O38" s="1639">
        <v>19100</v>
      </c>
      <c r="P38" s="31">
        <v>46173</v>
      </c>
      <c r="Q38" s="31" t="inlineStr">
        <is>
          <t xml:space="preserve">2026-07-02 09:15</t>
        </is>
      </c>
      <c r="R38" s="1639">
        <v>7100</v>
      </c>
      <c r="S38" s="1638">
        <v>-0.0772946859903</v>
      </c>
      <c r="T38" s="1639">
        <v>-1600</v>
      </c>
      <c r="U38" s="35"/>
      <c r="V38" s="36" t="inlineStr">
        <is>
          <t>近期整体下行，最新较上期回升，财政存款累计增加1.2万亿且环比大增，资金仍有沉淀，财政落地节奏偏慢。</t>
        </is>
      </c>
    </row>
    <row r="39" ht="111.75" customHeight="1">
      <c r="A39" s="19"/>
      <c r="B39" s="19"/>
      <c r="C39" s="100" t="s">
        <v>256</v>
      </c>
      <c r="D39" s="20" t="s">
        <v>257</v>
      </c>
      <c r="E39" s="72" t="s">
        <v>258</v>
      </c>
      <c r="F39" s="22" t="s">
        <v>259</v>
      </c>
      <c r="G39" s="39" t="s">
        <v>260</v>
      </c>
      <c r="H39" s="101">
        <v>0.036</v>
      </c>
      <c r="I39" s="102" t="s">
        <v>261</v>
      </c>
      <c r="J39" s="26" t="s">
        <v>262</v>
      </c>
      <c r="K39" s="26" t="s">
        <v>263</v>
      </c>
      <c r="L39" s="41" t="s">
        <v>181</v>
      </c>
      <c r="M39" s="28" t="s">
        <v>14</v>
      </c>
      <c r="N39" s="103" t="s">
        <v>264</v>
      </c>
      <c r="O39" s="1638">
        <v>0.014</v>
      </c>
      <c r="P39" s="31">
        <v>46209</v>
      </c>
      <c r="Q39" s="31" t="inlineStr">
        <is>
          <t>2026-07-06 10:56</t>
        </is>
      </c>
      <c r="R39" s="1638">
        <v>0</v>
      </c>
      <c r="S39" s="1654" t="inlineStr">
        <is>
          <t>-</t>
        </is>
      </c>
      <c r="T39" s="1638">
        <v>0</v>
      </c>
      <c r="U39" s="104"/>
      <c r="V39" s="36" t="inlineStr">
        <is>
          <t>近期总体震荡，最新较上期持平，7天逆回购1.40%持平，政策利率锚稳定，短端基调中性偏宽。</t>
        </is>
      </c>
    </row>
    <row r="40" ht="81.75" customHeight="1">
      <c r="A40" s="19"/>
      <c r="B40" s="19"/>
      <c r="C40" s="37"/>
      <c r="D40" s="20"/>
      <c r="E40" s="38"/>
      <c r="F40" s="22" t="s">
        <v>265</v>
      </c>
      <c r="G40" s="26" t="s">
        <v>266</v>
      </c>
      <c r="H40" s="95">
        <v>0.012</v>
      </c>
      <c r="I40" s="102" t="s">
        <v>267</v>
      </c>
      <c r="J40" s="26" t="s">
        <v>268</v>
      </c>
      <c r="K40" s="26" t="s">
        <v>269</v>
      </c>
      <c r="L40" s="41" t="s">
        <v>215</v>
      </c>
      <c r="M40" s="28" t="s">
        <v>14</v>
      </c>
      <c r="N40" s="103" t="s">
        <v>270</v>
      </c>
      <c r="O40" s="1638">
        <v>0.09</v>
      </c>
      <c r="P40" s="31">
        <v>46203</v>
      </c>
      <c r="Q40" s="31" t="inlineStr">
        <is>
          <t xml:space="preserve">2026-07-02 09:15</t>
        </is>
      </c>
      <c r="R40" s="1638">
        <v>0</v>
      </c>
      <c r="S40" s="1654" t="inlineStr">
        <is>
          <t>-</t>
        </is>
      </c>
      <c r="T40" s="1638">
        <v>0</v>
      </c>
      <c r="U40" s="104"/>
      <c r="V40" s="36" t="inlineStr">
        <is>
          <t>近期总体震荡，最新较上期持平，大型银行准备金率9.0%未变，长期基础货币未新增宽松。</t>
        </is>
      </c>
    </row>
    <row r="41" s="2" customFormat="1" ht="55.5" customHeight="1">
      <c r="A41" s="19"/>
      <c r="B41" s="19"/>
      <c r="C41" s="37"/>
      <c r="D41" s="20"/>
      <c r="E41" s="38"/>
      <c r="F41" s="22" t="s">
        <v>271</v>
      </c>
      <c r="G41" s="39" t="s">
        <v>272</v>
      </c>
      <c r="H41" s="24">
        <v>0.02</v>
      </c>
      <c r="I41" s="50" t="s">
        <v>273</v>
      </c>
      <c r="J41" s="26" t="s">
        <v>274</v>
      </c>
      <c r="K41" s="26" t="s">
        <v>275</v>
      </c>
      <c r="L41" s="41" t="s">
        <v>181</v>
      </c>
      <c r="M41" s="28" t="s">
        <v>14</v>
      </c>
      <c r="N41" s="29" t="s">
        <v>276</v>
      </c>
      <c r="O41" s="1677">
        <v>495</v>
      </c>
      <c r="P41" s="31">
        <v>46209</v>
      </c>
      <c r="Q41" s="31" t="inlineStr">
        <is>
          <t>2026-07-06 10:56</t>
        </is>
      </c>
      <c r="R41" s="1678">
        <v>2180</v>
      </c>
      <c r="S41" s="1654" t="inlineStr">
        <is>
          <t>-</t>
        </is>
      </c>
      <c r="T41" s="1679">
        <v>2745</v>
      </c>
      <c r="U41" s="104"/>
      <c r="V41" s="36" t="inlineStr">
        <is>
          <t>近期整体下行，最新较上期回升，单日公开市场净投放2065亿元、环比多285亿元，央行短端呵护仍在。</t>
        </is>
      </c>
    </row>
    <row r="42" ht="55.5" customHeight="1">
      <c r="A42" s="19"/>
      <c r="B42" s="19"/>
      <c r="C42" s="37"/>
      <c r="D42" s="20"/>
      <c r="E42" s="38"/>
      <c r="F42" s="22" t="s">
        <v>277</v>
      </c>
      <c r="G42" s="26" t="s">
        <v>272</v>
      </c>
      <c r="H42" s="108">
        <v>0.006</v>
      </c>
      <c r="I42" s="50" t="s">
        <v>278</v>
      </c>
      <c r="J42" s="38"/>
      <c r="K42" s="38"/>
      <c r="L42" s="41" t="s">
        <v>279</v>
      </c>
      <c r="M42" s="28" t="s">
        <v>14</v>
      </c>
      <c r="N42" s="29" t="s">
        <v>280</v>
      </c>
      <c r="O42" s="1680">
        <v>-15870</v>
      </c>
      <c r="P42" s="31">
        <v>46206</v>
      </c>
      <c r="Q42" s="31" t="inlineStr">
        <is>
          <t>2026-07-06 10:56</t>
        </is>
      </c>
      <c r="R42" s="1681">
        <v>-19167</v>
      </c>
      <c r="S42" s="1654" t="inlineStr">
        <is>
          <t>-</t>
        </is>
      </c>
      <c r="T42" s="1639">
        <v>-2117</v>
      </c>
      <c r="U42" s="104"/>
      <c r="V42" s="36" t="inlineStr">
        <is>
          <t>近期总体震荡，最新较上期回落，但该项权重低，需结合DR007判断。</t>
        </is>
      </c>
    </row>
    <row r="43" ht="59.25" customHeight="1">
      <c r="A43" s="19"/>
      <c r="B43" s="19"/>
      <c r="C43" s="37"/>
      <c r="D43" s="20"/>
      <c r="E43" s="38"/>
      <c r="F43" s="22" t="s">
        <v>281</v>
      </c>
      <c r="G43" s="26" t="s">
        <v>282</v>
      </c>
      <c r="H43" s="95">
        <v>0.012</v>
      </c>
      <c r="I43" s="50" t="s">
        <v>283</v>
      </c>
      <c r="J43" s="26" t="s">
        <v>284</v>
      </c>
      <c r="K43" s="26" t="s">
        <v>285</v>
      </c>
      <c r="L43" s="41" t="s">
        <v>28</v>
      </c>
      <c r="M43" s="28" t="s">
        <v>14</v>
      </c>
      <c r="N43" s="29" t="s">
        <v>286</v>
      </c>
      <c r="O43" s="1639">
        <v>10128</v>
      </c>
      <c r="P43" s="31">
        <v>46203</v>
      </c>
      <c r="Q43" s="31" t="inlineStr">
        <is>
          <t>2026-07-03 08:55</t>
        </is>
      </c>
      <c r="R43" s="1639">
        <v>-465</v>
      </c>
      <c r="S43" s="1682" t="inlineStr">
        <is>
          <t>-</t>
        </is>
      </c>
      <c r="T43" s="1676" t="inlineStr">
        <is>
          <t>-</t>
        </is>
      </c>
      <c r="U43" s="104"/>
      <c r="V43" s="36" t="inlineStr">
        <is>
          <t>底层序列待补，暂不据图表缓存单独判断趋势。</t>
        </is>
      </c>
    </row>
    <row r="44" ht="82.5" customHeight="1">
      <c r="A44" s="19"/>
      <c r="B44" s="19"/>
      <c r="C44" s="37"/>
      <c r="D44" s="20"/>
      <c r="E44" s="38"/>
      <c r="F44" s="22" t="s">
        <v>287</v>
      </c>
      <c r="G44" s="26" t="s">
        <v>288</v>
      </c>
      <c r="H44" s="110">
        <v>0.0024</v>
      </c>
      <c r="I44" s="50" t="s">
        <v>289</v>
      </c>
      <c r="J44" s="26" t="s">
        <v>290</v>
      </c>
      <c r="K44" s="38" t="s">
        <v>291</v>
      </c>
      <c r="L44" s="41" t="s">
        <v>28</v>
      </c>
      <c r="M44" s="28" t="s">
        <v>14</v>
      </c>
      <c r="N44" s="29" t="s">
        <v>292</v>
      </c>
      <c r="O44" s="1683">
        <v>0</v>
      </c>
      <c r="P44" s="31">
        <v>46203</v>
      </c>
      <c r="Q44" s="31" t="inlineStr">
        <is>
          <t>2026-07-03 08:55</t>
        </is>
      </c>
      <c r="R44" s="1639">
        <v>-9</v>
      </c>
      <c r="S44" s="1654" t="inlineStr">
        <is>
          <t>-</t>
        </is>
      </c>
      <c r="T44" s="1639">
        <v>-3</v>
      </c>
      <c r="U44" s="104"/>
      <c r="V44" s="36" t="inlineStr">
        <is>
          <t>近期总体震荡，最新较上期回落，SLF仅净投放9亿，虽环比转正但规模很小，应急压力有限。</t>
        </is>
      </c>
    </row>
    <row r="45" ht="82.5" customHeight="1">
      <c r="A45" s="19"/>
      <c r="B45" s="19"/>
      <c r="C45" s="37"/>
      <c r="D45" s="20"/>
      <c r="E45" s="38"/>
      <c r="F45" s="22" t="s">
        <v>293</v>
      </c>
      <c r="G45" s="26" t="s">
        <v>294</v>
      </c>
      <c r="H45" s="111">
        <v>0.00479999999999999</v>
      </c>
      <c r="I45" s="50" t="s">
        <v>295</v>
      </c>
      <c r="J45" s="26" t="s">
        <v>296</v>
      </c>
      <c r="K45" s="38" t="s">
        <v>297</v>
      </c>
      <c r="L45" s="41" t="s">
        <v>28</v>
      </c>
      <c r="M45" s="28" t="s">
        <v>14</v>
      </c>
      <c r="N45" s="29" t="s">
        <v>298</v>
      </c>
      <c r="O45" s="1684">
        <v>2000</v>
      </c>
      <c r="P45" s="31">
        <v>46203</v>
      </c>
      <c r="Q45" s="31" t="inlineStr">
        <is>
          <t>2026-07-03 08:55</t>
        </is>
      </c>
      <c r="R45" s="1685">
        <v>1000</v>
      </c>
      <c r="S45" s="1654" t="inlineStr">
        <is>
          <t>-</t>
        </is>
      </c>
      <c r="T45" s="1639">
        <v>820</v>
      </c>
      <c r="U45" s="104"/>
      <c r="V45" s="36" t="inlineStr">
        <is>
          <t>近期整体下行，最新较上期回升，MLF净投放1000亿、环比多3000亿，边际宽松但同比仍少投放。</t>
        </is>
      </c>
    </row>
    <row r="46" ht="82.5" customHeight="1">
      <c r="A46" s="19"/>
      <c r="B46" s="19"/>
      <c r="C46" s="37"/>
      <c r="D46" s="20"/>
      <c r="E46" s="38"/>
      <c r="F46" s="22" t="s">
        <v>299</v>
      </c>
      <c r="G46" s="26" t="s">
        <v>300</v>
      </c>
      <c r="H46" s="113">
        <v>0.0014</v>
      </c>
      <c r="I46" s="50" t="s">
        <v>301</v>
      </c>
      <c r="J46" s="26" t="s">
        <v>302</v>
      </c>
      <c r="K46" s="38" t="s">
        <v>303</v>
      </c>
      <c r="L46" s="41" t="s">
        <v>28</v>
      </c>
      <c r="M46" s="28" t="s">
        <v>14</v>
      </c>
      <c r="N46" s="29" t="s">
        <v>304</v>
      </c>
      <c r="O46" s="1639">
        <v>-500</v>
      </c>
      <c r="P46" s="31">
        <v>46203</v>
      </c>
      <c r="Q46" s="31" t="inlineStr">
        <is>
          <t>2026-07-03 08:55</t>
        </is>
      </c>
      <c r="R46" s="1686">
        <v>1045</v>
      </c>
      <c r="S46" s="1654" t="inlineStr">
        <is>
          <t>-</t>
        </is>
      </c>
      <c r="T46" s="1687">
        <v>2500</v>
      </c>
      <c r="U46" s="104"/>
      <c r="V46" s="36" t="inlineStr">
        <is>
          <t>近期总体震荡，最新较上期回升，PSL仍净回笼1545亿，回笼幅度收窄但结构支持仍偏弱。</t>
        </is>
      </c>
    </row>
    <row r="47" ht="99.75" customHeight="1">
      <c r="A47" s="19"/>
      <c r="B47" s="19"/>
      <c r="C47" s="37"/>
      <c r="D47" s="20"/>
      <c r="E47" s="38"/>
      <c r="F47" s="22" t="s">
        <v>305</v>
      </c>
      <c r="G47" s="26" t="s">
        <v>306</v>
      </c>
      <c r="H47" s="113">
        <v>0.0014</v>
      </c>
      <c r="I47" s="50" t="s">
        <v>307</v>
      </c>
      <c r="J47" s="26" t="s">
        <v>308</v>
      </c>
      <c r="K47" s="38" t="s">
        <v>309</v>
      </c>
      <c r="L47" s="41" t="s">
        <v>28</v>
      </c>
      <c r="M47" s="28" t="s">
        <v>14</v>
      </c>
      <c r="N47" s="29" t="s">
        <v>310</v>
      </c>
      <c r="O47" s="1688">
        <v>-1372</v>
      </c>
      <c r="P47" s="31">
        <v>46203</v>
      </c>
      <c r="Q47" s="31" t="inlineStr">
        <is>
          <t>2026-07-03 08:55</t>
        </is>
      </c>
      <c r="R47" s="1689">
        <v>-2501</v>
      </c>
      <c r="S47" s="1654" t="inlineStr">
        <is>
          <t>-</t>
        </is>
      </c>
      <c r="T47" s="1639">
        <v>-3390</v>
      </c>
      <c r="U47" s="104"/>
      <c r="V47" s="36" t="inlineStr">
        <is>
          <t>近期整体上行，最新较上期回落，其他工具净投放1129亿但环比少2538亿，结构支持边际放缓。</t>
        </is>
      </c>
    </row>
    <row r="48" s="2" customFormat="1" ht="72.75" customHeight="1">
      <c r="A48" s="19"/>
      <c r="B48" s="19"/>
      <c r="C48" s="37"/>
      <c r="D48" s="20"/>
      <c r="E48" s="72" t="s">
        <v>311</v>
      </c>
      <c r="F48" s="22" t="s">
        <v>312</v>
      </c>
      <c r="G48" s="26" t="s">
        <v>313</v>
      </c>
      <c r="H48" s="114">
        <v>0.0144</v>
      </c>
      <c r="I48" s="50" t="s">
        <v>314</v>
      </c>
      <c r="J48" s="115" t="s">
        <v>315</v>
      </c>
      <c r="K48" s="115" t="s">
        <v>316</v>
      </c>
      <c r="L48" s="116" t="s">
        <v>181</v>
      </c>
      <c r="M48" s="28" t="s">
        <v>14</v>
      </c>
      <c r="N48" s="117" t="s">
        <v>317</v>
      </c>
      <c r="O48" s="1690">
        <v>0.013608</v>
      </c>
      <c r="P48" s="31">
        <v>46206</v>
      </c>
      <c r="Q48" s="31" t="inlineStr">
        <is>
          <t>2026-07-06 10:56</t>
        </is>
      </c>
      <c r="R48" s="1691">
        <v>-0.00044</v>
      </c>
      <c r="S48" s="1692">
        <v>0.0348288973384</v>
      </c>
      <c r="T48" s="1693">
        <v>0.000458</v>
      </c>
      <c r="U48" s="104"/>
      <c r="V48" s="36" t="inlineStr">
        <is>
          <t>近期整体下行，最新较上期回落，DR001为1.3939%，低于7天逆回购1.40%，隔夜资金偏宽松。</t>
        </is>
      </c>
    </row>
    <row r="49" s="2" customFormat="1" ht="96" customHeight="1">
      <c r="A49" s="19"/>
      <c r="B49" s="19"/>
      <c r="C49" s="37"/>
      <c r="D49" s="20"/>
      <c r="E49" s="38"/>
      <c r="F49" s="22" t="s">
        <v>318</v>
      </c>
      <c r="G49" s="39" t="s">
        <v>319</v>
      </c>
      <c r="H49" s="121">
        <v>0.03</v>
      </c>
      <c r="I49" s="50" t="s">
        <v>320</v>
      </c>
      <c r="J49" s="115" t="s">
        <v>321</v>
      </c>
      <c r="K49" s="115" t="s">
        <v>322</v>
      </c>
      <c r="L49" s="116" t="s">
        <v>181</v>
      </c>
      <c r="M49" s="28" t="s">
        <v>14</v>
      </c>
      <c r="N49" s="117" t="s">
        <v>323</v>
      </c>
      <c r="O49" s="1694">
        <v>0.013924</v>
      </c>
      <c r="P49" s="31">
        <v>46206</v>
      </c>
      <c r="Q49" s="31" t="inlineStr">
        <is>
          <t>2026-07-06 10:56</t>
        </is>
      </c>
      <c r="R49" s="1695">
        <v>-0.000354</v>
      </c>
      <c r="S49" s="1696">
        <v>-0.0511108082322</v>
      </c>
      <c r="T49" s="1697">
        <v>-0.00075</v>
      </c>
      <c r="U49" s="104"/>
      <c r="V49" s="36" t="inlineStr">
        <is>
          <t>近期整体下行，最新较上期回落，DR007为1.4671%，较7天逆回购高约6.7bp，资金价格继续高于政策利率，边际收敛延续。</t>
        </is>
      </c>
    </row>
    <row r="50" s="2" customFormat="1" ht="69" customHeight="1">
      <c r="A50" s="19"/>
      <c r="B50" s="19"/>
      <c r="C50" s="37"/>
      <c r="D50" s="20"/>
      <c r="E50" s="38"/>
      <c r="F50" s="22" t="s">
        <v>324</v>
      </c>
      <c r="G50" s="26" t="s">
        <v>325</v>
      </c>
      <c r="H50" s="124">
        <v>0.0072</v>
      </c>
      <c r="I50" s="50" t="s">
        <v>326</v>
      </c>
      <c r="J50" s="115" t="s">
        <v>327</v>
      </c>
      <c r="K50" s="115" t="s">
        <v>328</v>
      </c>
      <c r="L50" s="116" t="s">
        <v>181</v>
      </c>
      <c r="M50" s="28" t="s">
        <v>14</v>
      </c>
      <c r="N50" s="117" t="s">
        <v>329</v>
      </c>
      <c r="O50" s="1698">
        <v>0.013861</v>
      </c>
      <c r="P50" s="31">
        <v>46206</v>
      </c>
      <c r="Q50" s="31" t="inlineStr">
        <is>
          <t>2026-07-06 10:56</t>
        </is>
      </c>
      <c r="R50" s="1699">
        <v>-0.000503</v>
      </c>
      <c r="S50" s="1700">
        <v>0.0107189733119</v>
      </c>
      <c r="T50" s="1701">
        <v>0.000147</v>
      </c>
      <c r="U50" s="104"/>
      <c r="V50" s="36" t="inlineStr">
        <is>
          <t>近期整体下行，最新较上期回落，R001与DR001利差约2.7bp，非银隔夜融资分层不明显。</t>
        </is>
      </c>
    </row>
    <row r="51" s="2" customFormat="1" ht="69" customHeight="1">
      <c r="A51" s="19"/>
      <c r="B51" s="19"/>
      <c r="C51" s="37"/>
      <c r="D51" s="20"/>
      <c r="E51" s="38"/>
      <c r="F51" s="22" t="s">
        <v>330</v>
      </c>
      <c r="G51" s="26" t="s">
        <v>331</v>
      </c>
      <c r="H51" s="127">
        <v>0.0084</v>
      </c>
      <c r="I51" s="50" t="s">
        <v>332</v>
      </c>
      <c r="J51" s="115" t="s">
        <v>333</v>
      </c>
      <c r="K51" s="38" t="s">
        <v>334</v>
      </c>
      <c r="L51" s="116" t="s">
        <v>181</v>
      </c>
      <c r="M51" s="28" t="s">
        <v>14</v>
      </c>
      <c r="N51" s="117" t="s">
        <v>335</v>
      </c>
      <c r="O51" s="1702">
        <v>0.014225</v>
      </c>
      <c r="P51" s="31">
        <v>46206</v>
      </c>
      <c r="Q51" s="31" t="inlineStr">
        <is>
          <t>2026-07-06 10:56</t>
        </is>
      </c>
      <c r="R51" s="1703">
        <v>-0.000612</v>
      </c>
      <c r="S51" s="1704">
        <v>-0.0622940013184</v>
      </c>
      <c r="T51" s="1705">
        <v>-0.000945</v>
      </c>
      <c r="U51" s="104"/>
      <c r="V51" s="36" t="inlineStr">
        <is>
          <t>近期总体震荡，最新较上期回落，R007与DR007几乎持平，非银7天资金传导顺畅。</t>
        </is>
      </c>
    </row>
    <row r="52" ht="79.5" customHeight="1">
      <c r="A52" s="19"/>
      <c r="B52" s="19"/>
      <c r="C52" s="37"/>
      <c r="D52" s="20"/>
      <c r="E52" s="38"/>
      <c r="F52" s="22" t="s">
        <v>336</v>
      </c>
      <c r="G52" s="26" t="s">
        <v>337</v>
      </c>
      <c r="H52" s="95">
        <v>0.012</v>
      </c>
      <c r="I52" s="76" t="s">
        <v>338</v>
      </c>
      <c r="J52" s="115" t="s">
        <v>339</v>
      </c>
      <c r="K52" s="115" t="s">
        <v>340</v>
      </c>
      <c r="L52" s="27" t="s">
        <v>181</v>
      </c>
      <c r="M52" s="28" t="s">
        <v>14</v>
      </c>
      <c r="N52" s="29" t="s">
        <v>341</v>
      </c>
      <c r="O52" s="1706">
        <v>0.01435</v>
      </c>
      <c r="P52" s="31">
        <v>46206</v>
      </c>
      <c r="Q52" s="31" t="inlineStr">
        <is>
          <t>2026-07-06 10:56</t>
        </is>
      </c>
      <c r="R52" s="1707">
        <v>-2e-05</v>
      </c>
      <c r="S52" s="1638">
        <v>-0.106475716065</v>
      </c>
      <c r="T52" s="1708">
        <v>-0.00171</v>
      </c>
      <c r="U52" s="104"/>
      <c r="V52" s="36" t="inlineStr">
        <is>
          <t>近期总体震荡，最新较上期回落，3MShibor低位微升0.6bp，中期资金价格边际收敛但整体不紧。</t>
        </is>
      </c>
    </row>
    <row r="53" ht="79.5" customHeight="1">
      <c r="A53" s="19"/>
      <c r="B53" s="19"/>
      <c r="C53" s="37"/>
      <c r="D53" s="20"/>
      <c r="E53" s="72" t="s">
        <v>342</v>
      </c>
      <c r="F53" s="22" t="s">
        <v>343</v>
      </c>
      <c r="G53" s="23" t="s">
        <v>344</v>
      </c>
      <c r="H53" s="132">
        <v>0.072</v>
      </c>
      <c r="I53" s="76" t="s">
        <v>345</v>
      </c>
      <c r="J53" s="45" t="s">
        <v>346</v>
      </c>
      <c r="K53" s="26" t="s">
        <v>347</v>
      </c>
      <c r="L53" s="27" t="s">
        <v>28</v>
      </c>
      <c r="M53" s="28" t="s">
        <v>16</v>
      </c>
      <c r="N53" s="29" t="s">
        <v>348</v>
      </c>
      <c r="O53" s="1709">
        <v>20264</v>
      </c>
      <c r="P53" s="31">
        <v>46173</v>
      </c>
      <c r="Q53" s="31" t="inlineStr">
        <is>
          <t xml:space="preserve">2026-07-02 09:15</t>
        </is>
      </c>
      <c r="R53" s="1639">
        <v>14026</v>
      </c>
      <c r="S53" s="1638">
        <v>-0.115109170306</v>
      </c>
      <c r="T53" s="1639">
        <v>-2636</v>
      </c>
      <c r="U53" s="104"/>
      <c r="V53" s="36" t="inlineStr">
        <is>
          <t>近期总体震荡，最新较上期回升，社融2.03万亿元且同比少增2636亿元，较上月明显修复但仍低于去年同期。</t>
        </is>
      </c>
    </row>
    <row r="54" ht="79.5" customHeight="1">
      <c r="A54" s="19"/>
      <c r="B54" s="19"/>
      <c r="C54" s="37"/>
      <c r="D54" s="20"/>
      <c r="E54" s="38"/>
      <c r="F54" s="22" t="s">
        <v>349</v>
      </c>
      <c r="G54" s="23" t="s">
        <v>350</v>
      </c>
      <c r="H54" s="134">
        <v>0.06</v>
      </c>
      <c r="I54" s="76" t="s">
        <v>351</v>
      </c>
      <c r="J54" s="45" t="s">
        <v>352</v>
      </c>
      <c r="K54" s="26" t="s">
        <v>353</v>
      </c>
      <c r="L54" s="27" t="s">
        <v>28</v>
      </c>
      <c r="M54" s="28" t="s">
        <v>16</v>
      </c>
      <c r="N54" s="29" t="s">
        <v>354</v>
      </c>
      <c r="O54" s="1636">
        <v>4965</v>
      </c>
      <c r="P54" s="31">
        <v>46173</v>
      </c>
      <c r="Q54" s="31" t="inlineStr">
        <is>
          <t xml:space="preserve">2026-07-02 09:15</t>
        </is>
      </c>
      <c r="R54" s="1639">
        <v>8971</v>
      </c>
      <c r="S54" s="1638">
        <v>-0.16174236029</v>
      </c>
      <c r="T54" s="1639">
        <v>-958</v>
      </c>
      <c r="U54" s="104"/>
      <c r="V54" s="36" t="inlineStr">
        <is>
          <t>近期总体震荡，最新较上期回升，新增人民币贷款4965亿元且同比少增958亿元，信贷较上月修复但仍低于去年同期。</t>
        </is>
      </c>
    </row>
    <row r="55" ht="79.5" customHeight="1">
      <c r="A55" s="19"/>
      <c r="B55" s="19"/>
      <c r="C55" s="37"/>
      <c r="D55" s="20"/>
      <c r="E55" s="38"/>
      <c r="F55" s="22" t="s">
        <v>355</v>
      </c>
      <c r="G55" s="23" t="s">
        <v>356</v>
      </c>
      <c r="H55" s="101">
        <v>0.036</v>
      </c>
      <c r="I55" s="76" t="s">
        <v>357</v>
      </c>
      <c r="J55" s="45" t="s">
        <v>358</v>
      </c>
      <c r="K55" s="26" t="s">
        <v>359</v>
      </c>
      <c r="L55" s="27" t="s">
        <v>28</v>
      </c>
      <c r="M55" s="28" t="s">
        <v>16</v>
      </c>
      <c r="N55" s="29" t="s">
        <v>360</v>
      </c>
      <c r="O55" s="1639">
        <v>12236</v>
      </c>
      <c r="P55" s="31">
        <v>46173</v>
      </c>
      <c r="Q55" s="31" t="inlineStr">
        <is>
          <t xml:space="preserve">2026-07-02 09:15</t>
        </is>
      </c>
      <c r="R55" s="1639">
        <v>3195</v>
      </c>
      <c r="S55" s="1638">
        <v>-0.161055879328</v>
      </c>
      <c r="T55" s="1639">
        <v>-2349</v>
      </c>
      <c r="U55" s="35"/>
      <c r="V55" s="36" t="inlineStr">
        <is>
          <t>近期总体震荡，最新较上期回升，政府债融资1.22万亿元、较上月增加3195亿元，政府债供给边际增加。</t>
        </is>
      </c>
    </row>
    <row r="56" ht="69" customHeight="1">
      <c r="A56" s="19"/>
      <c r="B56" s="19"/>
      <c r="C56" s="37"/>
      <c r="D56" s="20"/>
      <c r="E56" s="38"/>
      <c r="F56" s="22" t="s">
        <v>361</v>
      </c>
      <c r="G56" s="45" t="s">
        <v>362</v>
      </c>
      <c r="H56" s="114">
        <v>0.0144</v>
      </c>
      <c r="I56" s="76" t="s">
        <v>363</v>
      </c>
      <c r="J56" s="45" t="s">
        <v>364</v>
      </c>
      <c r="K56" s="26" t="s">
        <v>365</v>
      </c>
      <c r="L56" s="27" t="s">
        <v>28</v>
      </c>
      <c r="M56" s="28" t="s">
        <v>16</v>
      </c>
      <c r="N56" s="29" t="s">
        <v>366</v>
      </c>
      <c r="O56" s="1639">
        <v>-685</v>
      </c>
      <c r="P56" s="31">
        <v>46173</v>
      </c>
      <c r="Q56" s="31" t="inlineStr">
        <is>
          <t xml:space="preserve">2026-07-02 09:15</t>
        </is>
      </c>
      <c r="R56" s="1639">
        <v>4599</v>
      </c>
      <c r="S56" s="1652">
        <v>0.411512027491</v>
      </c>
      <c r="T56" s="1639">
        <v>479</v>
      </c>
      <c r="U56" s="35"/>
      <c r="V56" s="36" t="inlineStr">
        <is>
          <t>近期整体下行，最新较上期回升，票据融资-5284亿且同比少增2490亿，银行冲量因素减弱。</t>
        </is>
      </c>
    </row>
    <row r="57" ht="106.5" customHeight="1">
      <c r="A57" s="19"/>
      <c r="B57" s="19"/>
      <c r="C57" s="37"/>
      <c r="D57" s="20"/>
      <c r="E57" s="38"/>
      <c r="F57" s="22" t="s">
        <v>367</v>
      </c>
      <c r="G57" s="45" t="s">
        <v>368</v>
      </c>
      <c r="H57" s="135">
        <v>0.0168</v>
      </c>
      <c r="I57" s="76" t="s">
        <v>369</v>
      </c>
      <c r="J57" s="45" t="s">
        <v>370</v>
      </c>
      <c r="K57" s="26" t="s">
        <v>371</v>
      </c>
      <c r="L57" s="27" t="s">
        <v>28</v>
      </c>
      <c r="M57" s="28" t="s">
        <v>16</v>
      </c>
      <c r="N57" s="29" t="s">
        <v>372</v>
      </c>
      <c r="O57" s="1639">
        <v>1680</v>
      </c>
      <c r="P57" s="31">
        <v>46173</v>
      </c>
      <c r="Q57" s="31" t="inlineStr">
        <is>
          <t xml:space="preserve">2026-07-02 09:15</t>
        </is>
      </c>
      <c r="R57" s="1710">
        <v>-2840</v>
      </c>
      <c r="S57" s="1638">
        <v>0.122994652406</v>
      </c>
      <c r="T57" s="1639">
        <v>184</v>
      </c>
      <c r="U57" s="35"/>
      <c r="V57" s="36" t="inlineStr">
        <is>
          <t>近期整体上行，最新较上期回落，企业债融资1680亿元、较上月减少2840亿元，信用债供给边际回落。</t>
        </is>
      </c>
    </row>
    <row r="58" ht="106.5" customHeight="1">
      <c r="A58" s="19"/>
      <c r="B58" s="19"/>
      <c r="C58" s="37"/>
      <c r="D58" s="20"/>
      <c r="E58" s="38"/>
      <c r="F58" s="22" t="s">
        <v>373</v>
      </c>
      <c r="G58" s="23" t="s">
        <v>374</v>
      </c>
      <c r="H58" s="137">
        <v>0.042</v>
      </c>
      <c r="I58" s="76" t="s">
        <v>375</v>
      </c>
      <c r="J58" s="45" t="s">
        <v>376</v>
      </c>
      <c r="K58" s="26" t="s">
        <v>377</v>
      </c>
      <c r="L58" s="27" t="s">
        <v>28</v>
      </c>
      <c r="M58" s="28" t="s">
        <v>15</v>
      </c>
      <c r="N58" s="29" t="s">
        <v>378</v>
      </c>
      <c r="O58" s="1638">
        <v>0.055</v>
      </c>
      <c r="P58" s="31">
        <v>46173</v>
      </c>
      <c r="Q58" s="31" t="inlineStr">
        <is>
          <t xml:space="preserve">2026-07-02 09:15</t>
        </is>
      </c>
      <c r="R58" s="1638">
        <v>0.005</v>
      </c>
      <c r="S58" s="1638">
        <v>0.055</v>
      </c>
      <c r="T58" s="1660">
        <v>0.032</v>
      </c>
      <c r="U58" s="35"/>
      <c r="V58" s="36" t="inlineStr">
        <is>
          <t>近期总体震荡，最新较上期回升，M1为5.0%且同比改善，但仍低于M2的8.6%，资金活化修复不充分。</t>
        </is>
      </c>
    </row>
    <row r="59" ht="114" customHeight="1">
      <c r="A59" s="19"/>
      <c r="B59" s="19"/>
      <c r="C59" s="37"/>
      <c r="D59" s="20"/>
      <c r="E59" s="38"/>
      <c r="F59" s="22" t="s">
        <v>379</v>
      </c>
      <c r="G59" s="23" t="s">
        <v>380</v>
      </c>
      <c r="H59" s="138">
        <v>0.0228</v>
      </c>
      <c r="I59" s="76" t="s">
        <v>381</v>
      </c>
      <c r="J59" s="45" t="s">
        <v>382</v>
      </c>
      <c r="K59" s="26" t="s">
        <v>383</v>
      </c>
      <c r="L59" s="27" t="s">
        <v>28</v>
      </c>
      <c r="M59" s="28" t="s">
        <v>15</v>
      </c>
      <c r="N59" s="29" t="s">
        <v>384</v>
      </c>
      <c r="O59" s="1638">
        <v>0.086</v>
      </c>
      <c r="P59" s="31">
        <v>46173</v>
      </c>
      <c r="Q59" s="31" t="inlineStr">
        <is>
          <t xml:space="preserve">2026-07-02 09:15</t>
        </is>
      </c>
      <c r="R59" s="1638">
        <v>0</v>
      </c>
      <c r="S59" s="1638">
        <v>0.086</v>
      </c>
      <c r="T59" s="1652">
        <v>0.007</v>
      </c>
      <c r="U59" s="35"/>
      <c r="V59" s="36" t="inlineStr">
        <is>
          <t>近期总体震荡，最新较上期持平，M2为8.6%、环比小升0.1pct，总量流动性平稳偏宽。</t>
        </is>
      </c>
    </row>
    <row r="60" ht="114" customHeight="1">
      <c r="A60" s="19"/>
      <c r="B60" s="19"/>
      <c r="C60" s="37"/>
      <c r="D60" s="20"/>
      <c r="E60" s="38"/>
      <c r="F60" s="22" t="s">
        <v>385</v>
      </c>
      <c r="G60" s="45" t="s">
        <v>386</v>
      </c>
      <c r="H60" s="95">
        <v>0.012</v>
      </c>
      <c r="I60" s="76" t="s">
        <v>387</v>
      </c>
      <c r="J60" s="45" t="s">
        <v>388</v>
      </c>
      <c r="K60" s="45" t="s">
        <v>389</v>
      </c>
      <c r="L60" s="27" t="s">
        <v>41</v>
      </c>
      <c r="M60" s="28" t="s">
        <v>16</v>
      </c>
      <c r="N60" s="29" t="s">
        <v>390</v>
      </c>
      <c r="O60" s="1641">
        <v>0.59</v>
      </c>
      <c r="P60" s="31">
        <v>46112</v>
      </c>
      <c r="Q60" s="31" t="inlineStr">
        <is>
          <t xml:space="preserve">2026-07-02 09:15</t>
        </is>
      </c>
      <c r="R60" s="1638">
        <v>-0.004</v>
      </c>
      <c r="S60" s="1654" t="inlineStr">
        <is>
          <t>-</t>
        </is>
      </c>
      <c r="T60" s="1638">
        <v>-0.025</v>
      </c>
      <c r="U60" s="35"/>
      <c r="V60" s="36" t="inlineStr">
        <is>
          <t>近期整体下行，最新较上期回落，居民杠杆率59.0%、同比降2.5pct，居民信用扩张仍谨慎。</t>
        </is>
      </c>
    </row>
    <row r="61" ht="114" customHeight="1">
      <c r="A61" s="19"/>
      <c r="B61" s="19"/>
      <c r="C61" s="37"/>
      <c r="D61" s="20"/>
      <c r="E61" s="38"/>
      <c r="F61" s="22" t="s">
        <v>391</v>
      </c>
      <c r="G61" s="45" t="s">
        <v>392</v>
      </c>
      <c r="H61" s="66">
        <v>0.014</v>
      </c>
      <c r="I61" s="76" t="s">
        <v>393</v>
      </c>
      <c r="J61" s="45" t="s">
        <v>394</v>
      </c>
      <c r="K61" s="45" t="s">
        <v>395</v>
      </c>
      <c r="L61" s="27" t="s">
        <v>41</v>
      </c>
      <c r="M61" s="28" t="s">
        <v>16</v>
      </c>
      <c r="N61" s="29" t="s">
        <v>396</v>
      </c>
      <c r="O61" s="1642">
        <v>0.703</v>
      </c>
      <c r="P61" s="31">
        <v>46112</v>
      </c>
      <c r="Q61" s="31" t="inlineStr">
        <is>
          <t xml:space="preserve">2026-07-02 09:15</t>
        </is>
      </c>
      <c r="R61" s="1638">
        <v>0.019</v>
      </c>
      <c r="S61" s="1654" t="inlineStr">
        <is>
          <t>-</t>
        </is>
      </c>
      <c r="T61" s="1638">
        <v>0.071</v>
      </c>
      <c r="U61" s="35"/>
      <c r="V61" s="36" t="inlineStr">
        <is>
          <t>近期整体上行，最新较上期回升，政府杠杆率70.3%、同比升7.1pct，财政加杠杆明显。</t>
        </is>
      </c>
    </row>
    <row r="62" ht="114" customHeight="1">
      <c r="A62" s="19"/>
      <c r="B62" s="19"/>
      <c r="C62" s="37"/>
      <c r="D62" s="20"/>
      <c r="E62" s="38"/>
      <c r="F62" s="22" t="s">
        <v>397</v>
      </c>
      <c r="G62" s="45" t="s">
        <v>398</v>
      </c>
      <c r="H62" s="56">
        <v>0.018</v>
      </c>
      <c r="I62" s="76" t="s">
        <v>399</v>
      </c>
      <c r="J62" s="45" t="s">
        <v>400</v>
      </c>
      <c r="K62" s="45" t="s">
        <v>401</v>
      </c>
      <c r="L62" s="27" t="s">
        <v>41</v>
      </c>
      <c r="M62" s="28" t="s">
        <v>16</v>
      </c>
      <c r="N62" s="29" t="s">
        <v>402</v>
      </c>
      <c r="O62" s="1642">
        <v>1.8</v>
      </c>
      <c r="P62" s="31">
        <v>46112</v>
      </c>
      <c r="Q62" s="31" t="inlineStr">
        <is>
          <t xml:space="preserve">2026-07-02 09:15</t>
        </is>
      </c>
      <c r="R62" s="1638">
        <v>0.054</v>
      </c>
      <c r="S62" s="1654" t="inlineStr">
        <is>
          <t>-</t>
        </is>
      </c>
      <c r="T62" s="1638">
        <v>0.063</v>
      </c>
      <c r="U62" s="35"/>
      <c r="V62" s="36" t="inlineStr">
        <is>
          <t>近期整体上行，最新较上期回升，企业杠杆率180.0%、同比升6.3pct，融资扩张伴随债务压力。</t>
        </is>
      </c>
    </row>
    <row r="63" ht="105" customHeight="1">
      <c r="A63" s="19"/>
      <c r="B63" s="19"/>
      <c r="C63" s="37"/>
      <c r="D63" s="20"/>
      <c r="E63" s="38"/>
      <c r="F63" s="22" t="s">
        <v>403</v>
      </c>
      <c r="G63" s="45" t="s">
        <v>404</v>
      </c>
      <c r="H63" s="56">
        <v>0.018</v>
      </c>
      <c r="I63" s="76" t="s">
        <v>405</v>
      </c>
      <c r="J63" s="45" t="s">
        <v>406</v>
      </c>
      <c r="K63" s="45" t="s">
        <v>407</v>
      </c>
      <c r="L63" s="27" t="s">
        <v>28</v>
      </c>
      <c r="M63" s="28" t="s">
        <v>14</v>
      </c>
      <c r="N63" s="29" t="s">
        <v>408</v>
      </c>
      <c r="O63" s="1638">
        <v>0.03</v>
      </c>
      <c r="P63" s="31">
        <v>46195</v>
      </c>
      <c r="Q63" s="31" t="inlineStr">
        <is>
          <t xml:space="preserve">2026-07-02 09:15</t>
        </is>
      </c>
      <c r="R63" s="1638">
        <v>0</v>
      </c>
      <c r="S63" s="1654" t="inlineStr">
        <is>
          <t>-</t>
        </is>
      </c>
      <c r="T63" s="1638">
        <v>0</v>
      </c>
      <c r="U63" s="35"/>
      <c r="V63" s="36" t="inlineStr">
        <is>
          <t>近期总体震荡，最新较上期持平，1年LPR为3.00%且持平，贷款定价未进一步宽松。</t>
        </is>
      </c>
    </row>
    <row r="64" ht="105" customHeight="1">
      <c r="A64" s="19"/>
      <c r="B64" s="19"/>
      <c r="C64" s="37"/>
      <c r="D64" s="20"/>
      <c r="E64" s="72" t="s">
        <v>409</v>
      </c>
      <c r="F64" s="22" t="s">
        <v>410</v>
      </c>
      <c r="G64" s="45" t="s">
        <v>411</v>
      </c>
      <c r="H64" s="96">
        <v>0.01</v>
      </c>
      <c r="I64" s="76" t="s">
        <v>412</v>
      </c>
      <c r="J64" s="45" t="s">
        <v>413</v>
      </c>
      <c r="K64" s="45" t="s">
        <v>414</v>
      </c>
      <c r="L64" s="27" t="s">
        <v>28</v>
      </c>
      <c r="M64" s="28" t="s">
        <v>16</v>
      </c>
      <c r="N64" s="29" t="s">
        <v>415</v>
      </c>
      <c r="O64" s="1639">
        <v>357.9242</v>
      </c>
      <c r="P64" s="31">
        <v>46173</v>
      </c>
      <c r="Q64" s="31" t="inlineStr">
        <is>
          <t xml:space="preserve">2026-07-02 09:15</t>
        </is>
      </c>
      <c r="R64" s="1639">
        <v>-42.8748</v>
      </c>
      <c r="S64" s="1711">
        <v>2.17932997864</v>
      </c>
      <c r="T64" s="1639">
        <v>245.3457</v>
      </c>
      <c r="U64" s="35"/>
      <c r="V64" s="36" t="inlineStr">
        <is>
          <t>近期总体震荡，最新较上期回落，结售汇顺差400.8亿美元且同比多443.4亿，人民币流动性支撑增强。</t>
        </is>
      </c>
    </row>
    <row r="65" ht="69" customHeight="1">
      <c r="A65" s="19"/>
      <c r="B65" s="19"/>
      <c r="C65" s="37"/>
      <c r="D65" s="20"/>
      <c r="E65" s="38"/>
      <c r="F65" s="22" t="s">
        <v>416</v>
      </c>
      <c r="G65" s="45" t="s">
        <v>417</v>
      </c>
      <c r="H65" s="95">
        <v>0.012</v>
      </c>
      <c r="I65" s="50" t="s">
        <v>418</v>
      </c>
      <c r="J65" s="45" t="s">
        <v>419</v>
      </c>
      <c r="K65" s="45" t="s">
        <v>420</v>
      </c>
      <c r="L65" s="27" t="s">
        <v>181</v>
      </c>
      <c r="M65" s="28" t="s">
        <v>14</v>
      </c>
      <c r="N65" s="29" t="s">
        <v>421</v>
      </c>
      <c r="O65" s="1712">
        <v>0.017463</v>
      </c>
      <c r="P65" s="31">
        <v>46206</v>
      </c>
      <c r="Q65" s="31" t="inlineStr">
        <is>
          <t>2026-07-06 10:56</t>
        </is>
      </c>
      <c r="R65" s="1713">
        <v>5.3e-05</v>
      </c>
      <c r="S65" s="1654" t="inlineStr">
        <is>
          <t>-</t>
        </is>
      </c>
      <c r="T65" s="1714">
        <v>0.001056</v>
      </c>
      <c r="U65" s="35"/>
      <c r="V65" s="36" t="inlineStr">
        <is>
          <t>近期总体震荡，最新较上期回升，中债10Y升至1.7743%、环比上行1.29bp，长端资金边际收敛。</t>
        </is>
      </c>
    </row>
    <row r="66" ht="69" customHeight="1">
      <c r="A66" s="19"/>
      <c r="B66" s="19"/>
      <c r="C66" s="37"/>
      <c r="D66" s="20"/>
      <c r="E66" s="38"/>
      <c r="F66" s="22" t="s">
        <v>422</v>
      </c>
      <c r="G66" s="45" t="s">
        <v>423</v>
      </c>
      <c r="H66" s="95">
        <v>0.012</v>
      </c>
      <c r="I66" s="50" t="s">
        <v>424</v>
      </c>
      <c r="J66" s="45" t="s">
        <v>425</v>
      </c>
      <c r="K66" s="45" t="s">
        <v>426</v>
      </c>
      <c r="L66" s="27" t="s">
        <v>181</v>
      </c>
      <c r="M66" s="28" t="s">
        <v>14</v>
      </c>
      <c r="N66" s="29" t="s">
        <v>427</v>
      </c>
      <c r="O66" s="1715">
        <v>0.0449</v>
      </c>
      <c r="P66" s="31">
        <v>46205</v>
      </c>
      <c r="Q66" s="31" t="inlineStr">
        <is>
          <t>2026-07-03 08:55</t>
        </is>
      </c>
      <c r="R66" s="1716">
        <v>0.0001</v>
      </c>
      <c r="S66" s="1654" t="inlineStr">
        <is>
          <t>-</t>
        </is>
      </c>
      <c r="T66" s="1717">
        <v>0.0019</v>
      </c>
      <c r="U66" s="35"/>
      <c r="V66" s="36" t="inlineStr">
        <is>
          <t>近期整体下行，最新较上期回升，美债10Y升至4.55%、环比上行2bp，外部折现率压力上升。</t>
        </is>
      </c>
    </row>
    <row r="67" ht="69" customHeight="1">
      <c r="A67" s="19"/>
      <c r="B67" s="19"/>
      <c r="C67" s="37"/>
      <c r="D67" s="20"/>
      <c r="E67" s="38"/>
      <c r="F67" s="22" t="s">
        <v>428</v>
      </c>
      <c r="G67" s="45" t="s">
        <v>429</v>
      </c>
      <c r="H67" s="56">
        <v>0.016</v>
      </c>
      <c r="I67" s="50" t="s">
        <v>430</v>
      </c>
      <c r="J67" s="45" t="s">
        <v>431</v>
      </c>
      <c r="K67" s="45" t="s">
        <v>432</v>
      </c>
      <c r="L67" s="27" t="s">
        <v>181</v>
      </c>
      <c r="M67" s="28" t="s">
        <v>14</v>
      </c>
      <c r="N67" s="29" t="s">
        <v>433</v>
      </c>
      <c r="O67" s="1718">
        <v>-0.027437</v>
      </c>
      <c r="P67" s="31">
        <v>46206</v>
      </c>
      <c r="Q67" s="31" t="inlineStr">
        <is>
          <t>2026-07-06 10:56</t>
        </is>
      </c>
      <c r="R67" s="1638">
        <v>-4.7e-05</v>
      </c>
      <c r="S67" s="1654" t="inlineStr">
        <is>
          <t>-</t>
        </is>
      </c>
      <c r="T67" s="1719">
        <v>-0.000397</v>
      </c>
      <c r="U67" s="35"/>
      <c r="V67" s="36" t="inlineStr">
        <is>
          <t>近期整体上行，最新较上期回落，中美10Y利差-2.7757%、倒挂小幅扩大，汇率和外资压力仍在。</t>
        </is>
      </c>
    </row>
    <row r="68" s="3" customFormat="1" ht="81" customHeight="1">
      <c r="A68" s="19"/>
      <c r="B68" s="19"/>
      <c r="C68" s="19" t="s">
        <v>434</v>
      </c>
      <c r="D68" s="20" t="s">
        <v>435</v>
      </c>
      <c r="E68" s="72" t="s">
        <v>436</v>
      </c>
      <c r="F68" s="22" t="s">
        <v>437</v>
      </c>
      <c r="G68" s="39" t="s">
        <v>438</v>
      </c>
      <c r="H68" s="101">
        <v>0.14</v>
      </c>
      <c r="I68" s="50" t="s">
        <v>439</v>
      </c>
      <c r="J68" s="26" t="s">
        <v>440</v>
      </c>
      <c r="K68" s="26" t="s">
        <v>441</v>
      </c>
      <c r="L68" s="41" t="s">
        <v>181</v>
      </c>
      <c r="M68" s="28" t="s">
        <v>442</v>
      </c>
      <c r="N68" s="29" t="s">
        <v>217</v>
      </c>
      <c r="O68" s="1384">
        <v>3915.1525</v>
      </c>
      <c r="P68" s="31">
        <v>46206</v>
      </c>
      <c r="Q68" s="31" t="inlineStr">
        <is>
          <t>2026-07-06 10:56</t>
        </is>
      </c>
      <c r="R68" s="1384">
        <v>-325.028</v>
      </c>
      <c r="S68" s="1385" t="s">
        <v>218</v>
      </c>
      <c r="T68" s="1386" t="s">
        <v>218</v>
      </c>
      <c r="U68" s="35"/>
      <c r="V68" s="52" t="inlineStr">
        <is>
          <t>近期总体震荡，最新较上期回升，该指标为成交额而非净流入，需与ETF和指数表现交叉。</t>
        </is>
      </c>
    </row>
    <row r="69" s="3" customFormat="1" ht="81" customHeight="1">
      <c r="A69" s="19"/>
      <c r="B69" s="19"/>
      <c r="C69" s="19"/>
      <c r="D69" s="20"/>
      <c r="E69" s="72"/>
      <c r="F69" s="22" t="s">
        <v>443</v>
      </c>
      <c r="G69" s="39" t="s">
        <v>444</v>
      </c>
      <c r="H69" s="101">
        <v>0.12</v>
      </c>
      <c r="I69" s="50" t="s">
        <v>445</v>
      </c>
      <c r="J69" s="26" t="s">
        <v>446</v>
      </c>
      <c r="K69" s="26" t="s">
        <v>447</v>
      </c>
      <c r="L69" s="41" t="s">
        <v>181</v>
      </c>
      <c r="M69" s="28" t="s">
        <v>448</v>
      </c>
      <c r="N69" s="29" t="s">
        <v>449</v>
      </c>
      <c r="O69" s="1384">
        <v>-81.4420325301</v>
      </c>
      <c r="P69" s="31">
        <v>46206</v>
      </c>
      <c r="Q69" s="31" t="inlineStr">
        <is>
          <t>2026-07-06 10:56</t>
        </is>
      </c>
      <c r="R69" s="1384">
        <v>-370.195649327</v>
      </c>
      <c r="S69" s="1385" t="s">
        <v>218</v>
      </c>
      <c r="T69" s="1386" t="s">
        <v>218</v>
      </c>
      <c r="U69" s="35"/>
      <c r="V69" s="52" t="inlineStr">
        <is>
          <t>近期整体上行，最新较上期回落，ETF净流出162亿元，较前日扩大91亿元，被动资金流转弱。</t>
        </is>
      </c>
    </row>
    <row r="70" ht="81" customHeight="1">
      <c r="A70" s="19"/>
      <c r="B70" s="19"/>
      <c r="C70" s="19"/>
      <c r="D70" s="20"/>
      <c r="E70" s="72"/>
      <c r="F70" s="22" t="s">
        <v>450</v>
      </c>
      <c r="G70" s="39" t="s">
        <v>451</v>
      </c>
      <c r="H70" s="132">
        <v>0.07</v>
      </c>
      <c r="I70" s="50" t="s">
        <v>452</v>
      </c>
      <c r="J70" s="26" t="s">
        <v>453</v>
      </c>
      <c r="K70" s="26" t="s">
        <v>454</v>
      </c>
      <c r="L70" s="41" t="s">
        <v>28</v>
      </c>
      <c r="M70" s="28" t="s">
        <v>455</v>
      </c>
      <c r="N70" s="29" t="s">
        <v>217</v>
      </c>
      <c r="O70" s="91" t="s">
        <v>217</v>
      </c>
      <c r="P70" s="31" t="s">
        <v>217</v>
      </c>
      <c r="Q70" s="31" t="inlineStr">
        <is>
          <t xml:space="preserve">2026-07-02 09:15</t>
        </is>
      </c>
      <c r="R70" s="92" t="s">
        <v>217</v>
      </c>
      <c r="S70" s="93" t="s">
        <v>218</v>
      </c>
      <c r="T70" s="92" t="s">
        <v>218</v>
      </c>
      <c r="U70" s="35"/>
      <c r="V70" s="52"/>
    </row>
    <row r="71" ht="77.25" customHeight="1">
      <c r="A71" s="19"/>
      <c r="B71" s="19"/>
      <c r="C71" s="19"/>
      <c r="D71" s="20"/>
      <c r="E71" s="147" t="s">
        <v>456</v>
      </c>
      <c r="F71" s="22" t="s">
        <v>457</v>
      </c>
      <c r="G71" s="39" t="s">
        <v>458</v>
      </c>
      <c r="H71" s="101">
        <v>0.2</v>
      </c>
      <c r="I71" s="50" t="s">
        <v>459</v>
      </c>
      <c r="J71" s="26" t="s">
        <v>460</v>
      </c>
      <c r="K71" s="26" t="s">
        <v>461</v>
      </c>
      <c r="L71" s="41" t="s">
        <v>181</v>
      </c>
      <c r="M71" s="28" t="s">
        <v>462</v>
      </c>
      <c r="N71" s="29" t="s">
        <v>217</v>
      </c>
      <c r="O71" s="1384">
        <v>32052.6167807</v>
      </c>
      <c r="P71" s="31">
        <v>46206</v>
      </c>
      <c r="Q71" s="31" t="inlineStr">
        <is>
          <t>2026-07-06 10:56</t>
        </is>
      </c>
      <c r="R71" s="1384">
        <v>-2686.64583745</v>
      </c>
      <c r="S71" s="1385" t="s">
        <v>218</v>
      </c>
      <c r="T71" s="1386" t="s">
        <v>218</v>
      </c>
      <c r="U71" s="35"/>
      <c r="V71" s="52" t="inlineStr">
        <is>
          <t>近期整体上行，最新较上期回落，A股成交额3.05万亿元，高于活跃阈值但较上一交易日减少1854亿元，交易热度边际降温。</t>
        </is>
      </c>
    </row>
    <row r="72" ht="77.25" customHeight="1">
      <c r="A72" s="19"/>
      <c r="B72" s="19"/>
      <c r="C72" s="19"/>
      <c r="D72" s="20"/>
      <c r="E72" s="147" t="s">
        <v>463</v>
      </c>
      <c r="F72" s="22" t="s">
        <v>464</v>
      </c>
      <c r="G72" s="39" t="s">
        <v>465</v>
      </c>
      <c r="H72" s="101">
        <v>0.15</v>
      </c>
      <c r="I72" s="148" t="s">
        <v>466</v>
      </c>
      <c r="J72" s="26" t="s">
        <v>467</v>
      </c>
      <c r="K72" s="26" t="s">
        <v>468</v>
      </c>
      <c r="L72" s="41" t="s">
        <v>181</v>
      </c>
      <c r="M72" s="28" t="s">
        <v>469</v>
      </c>
      <c r="N72" s="29" t="s">
        <v>217</v>
      </c>
      <c r="O72" s="1384">
        <v>3.00333693414</v>
      </c>
      <c r="P72" s="31">
        <v>46206</v>
      </c>
      <c r="Q72" s="31" t="inlineStr">
        <is>
          <t>2026-07-06 10:56</t>
        </is>
      </c>
      <c r="R72" s="1384">
        <v>-0.019559297794</v>
      </c>
      <c r="S72" s="1385" t="s">
        <v>218</v>
      </c>
      <c r="T72" s="1386" t="s">
        <v>218</v>
      </c>
      <c r="U72" s="35"/>
      <c r="V72" s="52" t="inlineStr">
        <is>
          <t>近期整体上行，最新较上期回升，两融余额2.879万亿元，仍处偏高位置但较前日减少0.008万亿元，杠杆资金小幅回落。</t>
        </is>
      </c>
    </row>
    <row r="73" ht="77.25" customHeight="1">
      <c r="A73" s="19"/>
      <c r="B73" s="19"/>
      <c r="C73" s="19"/>
      <c r="D73" s="20"/>
      <c r="E73" s="147" t="s">
        <v>470</v>
      </c>
      <c r="F73" s="22" t="s">
        <v>471</v>
      </c>
      <c r="G73" s="39" t="s">
        <v>472</v>
      </c>
      <c r="H73" s="101">
        <v>0.1</v>
      </c>
      <c r="I73" s="102" t="s">
        <v>473</v>
      </c>
      <c r="J73" s="26" t="s">
        <v>474</v>
      </c>
      <c r="K73" s="26" t="s">
        <v>475</v>
      </c>
      <c r="L73" s="41" t="s">
        <v>181</v>
      </c>
      <c r="M73" s="28" t="s">
        <v>476</v>
      </c>
      <c r="N73" s="103" t="s">
        <v>217</v>
      </c>
      <c r="O73" s="1388">
        <v>0.0384540364864</v>
      </c>
      <c r="P73" s="31">
        <v>46206</v>
      </c>
      <c r="Q73" s="31" t="inlineStr">
        <is>
          <t>2026-07-06 10:56</t>
        </is>
      </c>
      <c r="R73" s="1388">
        <v>-0.00178652754112</v>
      </c>
      <c r="S73" s="1385" t="s">
        <v>218</v>
      </c>
      <c r="T73" s="1386" t="s">
        <v>218</v>
      </c>
      <c r="U73" s="35"/>
      <c r="V73" s="52" t="inlineStr">
        <is>
          <t>近期整体上行，最新较上期回落，换手率3.54%，处于中高活跃区间但未到5%过热阈值，交易活跃但尚非极端亢奋。</t>
        </is>
      </c>
    </row>
    <row r="74" ht="77.25" customHeight="1">
      <c r="A74" s="19"/>
      <c r="B74" s="19"/>
      <c r="C74" s="19"/>
      <c r="D74" s="20"/>
      <c r="E74" s="147" t="s">
        <v>477</v>
      </c>
      <c r="F74" s="22" t="s">
        <v>478</v>
      </c>
      <c r="G74" s="149" t="s">
        <v>479</v>
      </c>
      <c r="H74" s="135">
        <v>0.05</v>
      </c>
      <c r="I74" s="148" t="s">
        <v>480</v>
      </c>
      <c r="J74" s="45" t="s">
        <v>481</v>
      </c>
      <c r="K74" s="26" t="s">
        <v>482</v>
      </c>
      <c r="L74" s="41" t="s">
        <v>28</v>
      </c>
      <c r="M74" s="28" t="s">
        <v>483</v>
      </c>
      <c r="N74" s="150" t="s">
        <v>484</v>
      </c>
      <c r="O74" s="1720">
        <v>285.2384</v>
      </c>
      <c r="P74" s="31">
        <v>46203</v>
      </c>
      <c r="Q74" s="31" t="inlineStr">
        <is>
          <t>2026-07-06 10:56</t>
        </is>
      </c>
      <c r="R74" s="1639">
        <v>9.6554</v>
      </c>
      <c r="S74" s="1721">
        <v>0.779279541026</v>
      </c>
      <c r="T74" s="1722">
        <v>120.6984</v>
      </c>
      <c r="U74" s="35"/>
      <c r="V74" s="36" t="inlineStr">
        <is>
          <t>近期整体上行，最新较上期回升，新开户275.6万户，较上月增加27.4万，居民入市意愿改善但未到350万强热度阈值。</t>
        </is>
      </c>
    </row>
    <row r="75" s="4" customFormat="1" ht="81" customHeight="1">
      <c r="A75" s="19"/>
      <c r="B75" s="19"/>
      <c r="C75" s="152" t="s">
        <v>485</v>
      </c>
      <c r="D75" s="20" t="s">
        <v>486</v>
      </c>
      <c r="E75" s="72" t="s">
        <v>487</v>
      </c>
      <c r="F75" s="22" t="s">
        <v>488</v>
      </c>
      <c r="G75" s="39" t="s">
        <v>489</v>
      </c>
      <c r="H75" s="121">
        <v>0.03</v>
      </c>
      <c r="I75" s="50" t="s">
        <v>490</v>
      </c>
      <c r="J75" s="26" t="s">
        <v>491</v>
      </c>
      <c r="K75" s="26" t="s">
        <v>492</v>
      </c>
      <c r="L75" s="41" t="s">
        <v>181</v>
      </c>
      <c r="M75" s="28" t="s">
        <v>493</v>
      </c>
      <c r="N75" s="29" t="s">
        <v>494</v>
      </c>
      <c r="O75" s="1384">
        <v>4043.6432</v>
      </c>
      <c r="P75" s="31">
        <v>46206</v>
      </c>
      <c r="Q75" s="31" t="inlineStr">
        <is>
          <t>2026-07-06 10:56</t>
        </is>
      </c>
      <c r="R75" s="1384">
        <v>0.00365841447989</v>
      </c>
      <c r="S75" s="1385" t="s">
        <v>218</v>
      </c>
      <c r="T75" s="1386" t="s">
        <v>218</v>
      </c>
      <c r="U75" s="35"/>
      <c r="V75" s="36" t="inlineStr">
        <is>
          <t>近期整体下行，最新较上期回升，整体看，A股核心和成长估值仍处近三年高位，港股传统指数估值偏高但边际回落，港股科技成长估值处于中位偏上。</t>
        </is>
      </c>
    </row>
    <row r="76" s="4" customFormat="1" ht="81" customHeight="1">
      <c r="A76" s="19"/>
      <c r="B76" s="19"/>
      <c r="C76" s="152"/>
      <c r="D76" s="20"/>
      <c r="E76" s="72"/>
      <c r="F76" s="22" t="s">
        <v>495</v>
      </c>
      <c r="G76" s="39" t="s">
        <v>496</v>
      </c>
      <c r="H76" s="121">
        <v>0.03</v>
      </c>
      <c r="I76" s="50" t="s">
        <v>497</v>
      </c>
      <c r="J76" s="26" t="s">
        <v>498</v>
      </c>
      <c r="K76" s="26" t="s">
        <v>492</v>
      </c>
      <c r="L76" s="41" t="s">
        <v>181</v>
      </c>
      <c r="M76" s="28" t="s">
        <v>493</v>
      </c>
      <c r="N76" s="29" t="s">
        <v>499</v>
      </c>
      <c r="O76" s="1384">
        <v>15597.5116</v>
      </c>
      <c r="P76" s="31">
        <v>46206</v>
      </c>
      <c r="Q76" s="31" t="inlineStr">
        <is>
          <t>2026-07-06 10:56</t>
        </is>
      </c>
      <c r="R76" s="1384">
        <v>0.00636832759181</v>
      </c>
      <c r="S76" s="1385" t="s">
        <v>218</v>
      </c>
      <c r="T76" s="1386" t="s">
        <v>218</v>
      </c>
      <c r="U76" s="35"/>
      <c r="V76" s="36" t="inlineStr">
        <is>
          <t>近期整体下行，最新较上期回升，深成指14954点接近15000乐观阈值但环比回落2.06%，深市价格压力边际上升，需结合PE判断估值。</t>
        </is>
      </c>
    </row>
    <row r="77" s="4" customFormat="1" ht="81" customHeight="1">
      <c r="A77" s="19"/>
      <c r="B77" s="19"/>
      <c r="C77" s="152"/>
      <c r="D77" s="20"/>
      <c r="E77" s="72"/>
      <c r="F77" s="22" t="s">
        <v>500</v>
      </c>
      <c r="G77" s="39" t="s">
        <v>501</v>
      </c>
      <c r="H77" s="153">
        <v>0.04</v>
      </c>
      <c r="I77" s="50" t="s">
        <v>502</v>
      </c>
      <c r="J77" s="26" t="s">
        <v>503</v>
      </c>
      <c r="K77" s="26" t="s">
        <v>492</v>
      </c>
      <c r="L77" s="41" t="s">
        <v>181</v>
      </c>
      <c r="M77" s="28" t="s">
        <v>493</v>
      </c>
      <c r="N77" s="29" t="s">
        <v>504</v>
      </c>
      <c r="O77" s="1384">
        <v>4842.1737</v>
      </c>
      <c r="P77" s="31">
        <v>46206</v>
      </c>
      <c r="Q77" s="31" t="inlineStr">
        <is>
          <t>2026-07-06 10:56</t>
        </is>
      </c>
      <c r="R77" s="1384">
        <v>0.00620867915494</v>
      </c>
      <c r="S77" s="1385" t="s">
        <v>218</v>
      </c>
      <c r="T77" s="1386" t="s">
        <v>218</v>
      </c>
      <c r="U77" s="35"/>
      <c r="V77" s="36" t="inlineStr">
        <is>
          <t>近期整体下行，最新较上期回升，沪深300为4748.6点，低于5000乐观阈值但处较高区域，环比回落1.11%，价格降温但不能单独判断便宜。</t>
        </is>
      </c>
    </row>
    <row r="78" s="4" customFormat="1" ht="81" customHeight="1">
      <c r="A78" s="19"/>
      <c r="B78" s="19"/>
      <c r="C78" s="152"/>
      <c r="D78" s="20"/>
      <c r="E78" s="72"/>
      <c r="F78" s="22" t="s">
        <v>505</v>
      </c>
      <c r="G78" s="39" t="s">
        <v>506</v>
      </c>
      <c r="H78" s="121">
        <v>0.03</v>
      </c>
      <c r="I78" s="50" t="s">
        <v>507</v>
      </c>
      <c r="J78" s="26" t="s">
        <v>508</v>
      </c>
      <c r="K78" s="26" t="s">
        <v>492</v>
      </c>
      <c r="L78" s="41" t="s">
        <v>181</v>
      </c>
      <c r="M78" s="28" t="s">
        <v>493</v>
      </c>
      <c r="N78" s="29" t="s">
        <v>509</v>
      </c>
      <c r="O78" s="1384">
        <v>4019.9341</v>
      </c>
      <c r="P78" s="31">
        <v>46206</v>
      </c>
      <c r="Q78" s="31" t="inlineStr">
        <is>
          <t>2026-07-06 10:56</t>
        </is>
      </c>
      <c r="R78" s="1384">
        <v>0.000662289983493</v>
      </c>
      <c r="S78" s="1385" t="s">
        <v>218</v>
      </c>
      <c r="T78" s="1386" t="s">
        <v>218</v>
      </c>
      <c r="U78" s="35"/>
      <c r="V78" s="36" t="inlineStr">
        <is>
          <t>近期整体下行，最新较上期持平，创业板指3854.8点仍高于3500风险偏好阈值，但环比回落2.70%，成长风格风险偏好边际降温。</t>
        </is>
      </c>
    </row>
    <row r="79" s="4" customFormat="1" ht="81" customHeight="1">
      <c r="A79" s="19"/>
      <c r="B79" s="19"/>
      <c r="C79" s="152"/>
      <c r="D79" s="20"/>
      <c r="E79" s="72"/>
      <c r="F79" s="22" t="s">
        <v>510</v>
      </c>
      <c r="G79" s="154" t="s">
        <v>511</v>
      </c>
      <c r="H79" s="155">
        <v>0.035</v>
      </c>
      <c r="I79" s="148" t="s">
        <v>512</v>
      </c>
      <c r="J79" s="45" t="s">
        <v>513</v>
      </c>
      <c r="K79" s="26" t="s">
        <v>492</v>
      </c>
      <c r="L79" s="41" t="s">
        <v>181</v>
      </c>
      <c r="M79" s="28" t="s">
        <v>493</v>
      </c>
      <c r="N79" s="29" t="s">
        <v>514</v>
      </c>
      <c r="O79" s="1384">
        <v>23350.03</v>
      </c>
      <c r="P79" s="31">
        <v>46206</v>
      </c>
      <c r="Q79" s="31" t="inlineStr">
        <is>
          <t>2026-07-06 10:56</t>
        </is>
      </c>
      <c r="R79" s="1384">
        <v>0.012795472398</v>
      </c>
      <c r="S79" s="1385" t="s">
        <v>218</v>
      </c>
      <c r="T79" s="1386" t="s">
        <v>218</v>
      </c>
      <c r="U79" s="35"/>
      <c r="V79" s="36" t="inlineStr">
        <is>
          <t>近期整体下行，最新较上期回升，恒生指数24408点处于23000-27500区间，价格位置中性且环比回落，需结合PE和南向资金判断估值修复空间。</t>
        </is>
      </c>
    </row>
    <row r="80" s="4" customFormat="1" ht="81" customHeight="1">
      <c r="A80" s="19"/>
      <c r="B80" s="19"/>
      <c r="C80" s="152"/>
      <c r="D80" s="20"/>
      <c r="E80" s="72"/>
      <c r="F80" s="22" t="s">
        <v>515</v>
      </c>
      <c r="G80" s="39" t="s">
        <v>516</v>
      </c>
      <c r="H80" s="155">
        <v>0.035</v>
      </c>
      <c r="I80" s="148" t="s">
        <v>517</v>
      </c>
      <c r="J80" s="26" t="s">
        <v>518</v>
      </c>
      <c r="K80" s="26" t="s">
        <v>492</v>
      </c>
      <c r="L80" s="41" t="s">
        <v>181</v>
      </c>
      <c r="M80" s="28" t="s">
        <v>493</v>
      </c>
      <c r="N80" s="29" t="s">
        <v>519</v>
      </c>
      <c r="O80" s="1384">
        <v>4499</v>
      </c>
      <c r="P80" s="31">
        <v>46206</v>
      </c>
      <c r="Q80" s="31" t="inlineStr">
        <is>
          <t>2026-07-06 10:56</t>
        </is>
      </c>
      <c r="R80" s="1384">
        <v>0.0100397819625</v>
      </c>
      <c r="S80" s="1385" t="s">
        <v>218</v>
      </c>
      <c r="T80" s="1386" t="s">
        <v>218</v>
      </c>
      <c r="U80" s="35"/>
      <c r="V80" s="36" t="inlineStr">
        <is>
          <t>近期整体下行，最新较上期回升，恒生科技4724.8点低于5000且环比回落，成长情绪未明显转强，估值判断仍需PE和盈利预期支持。</t>
        </is>
      </c>
    </row>
    <row r="81" ht="65.25" customHeight="1">
      <c r="A81" s="19"/>
      <c r="B81" s="19"/>
      <c r="C81" s="152"/>
      <c r="D81" s="20"/>
      <c r="E81" s="156" t="s">
        <v>520</v>
      </c>
      <c r="F81" s="22" t="s">
        <v>521</v>
      </c>
      <c r="G81" s="154" t="s">
        <v>522</v>
      </c>
      <c r="H81" s="101">
        <v>0.1</v>
      </c>
      <c r="I81" s="148" t="s">
        <v>523</v>
      </c>
      <c r="J81" s="45" t="s">
        <v>524</v>
      </c>
      <c r="K81" s="26" t="s">
        <v>525</v>
      </c>
      <c r="L81" s="41" t="s">
        <v>181</v>
      </c>
      <c r="M81" s="28" t="s">
        <v>526</v>
      </c>
      <c r="N81" s="29" t="s">
        <v>527</v>
      </c>
      <c r="O81" s="1384">
        <v>16.9409999847</v>
      </c>
      <c r="P81" s="31">
        <v>46206</v>
      </c>
      <c r="Q81" s="31" t="inlineStr">
        <is>
          <t>2026-07-06 10:56</t>
        </is>
      </c>
      <c r="R81" s="1384">
        <v>0.00368512858342</v>
      </c>
      <c r="S81" s="1385" t="s">
        <v>218</v>
      </c>
      <c r="T81" s="1385" t="s">
        <v>218</v>
      </c>
      <c r="U81" s="35"/>
      <c r="V81" s="36" t="inlineStr">
        <is>
          <t>近期整体下行，最新较上期回升，上证指数：PE为17.18倍，近三年分位约94.4%，环比下行0.06倍，估值处于高位。</t>
        </is>
      </c>
    </row>
    <row r="82" ht="65.25" customHeight="1">
      <c r="A82" s="19"/>
      <c r="B82" s="19"/>
      <c r="C82" s="152"/>
      <c r="D82" s="20"/>
      <c r="E82" s="156"/>
      <c r="F82" s="22" t="s">
        <v>528</v>
      </c>
      <c r="G82" s="154" t="s">
        <v>529</v>
      </c>
      <c r="H82" s="132">
        <v>0.08</v>
      </c>
      <c r="I82" s="148" t="s">
        <v>530</v>
      </c>
      <c r="J82" s="45" t="s">
        <v>531</v>
      </c>
      <c r="K82" s="26" t="s">
        <v>525</v>
      </c>
      <c r="L82" s="41" t="s">
        <v>181</v>
      </c>
      <c r="M82" s="28" t="s">
        <v>526</v>
      </c>
      <c r="N82" s="29" t="s">
        <v>532</v>
      </c>
      <c r="O82" s="1384">
        <v>37.1804008484</v>
      </c>
      <c r="P82" s="31">
        <v>46206</v>
      </c>
      <c r="Q82" s="31" t="inlineStr">
        <is>
          <t>2026-07-06 10:56</t>
        </is>
      </c>
      <c r="R82" s="1384">
        <v>0.00868139479793</v>
      </c>
      <c r="S82" s="1385" t="s">
        <v>218</v>
      </c>
      <c r="T82" s="1385" t="s">
        <v>218</v>
      </c>
      <c r="U82" s="35"/>
      <c r="V82" s="36" t="inlineStr">
        <is>
          <t>近期整体下行，最新较上期回升，深成指数：PE为37.36倍，近三年分位约99.7%，环比上行0.28倍，估值处于高位。</t>
        </is>
      </c>
    </row>
    <row r="83" ht="65.25" customHeight="1">
      <c r="A83" s="19"/>
      <c r="B83" s="19"/>
      <c r="C83" s="152"/>
      <c r="D83" s="20"/>
      <c r="E83" s="156"/>
      <c r="F83" s="22" t="s">
        <v>533</v>
      </c>
      <c r="G83" s="154" t="s">
        <v>534</v>
      </c>
      <c r="H83" s="101">
        <v>0.18</v>
      </c>
      <c r="I83" s="148" t="s">
        <v>535</v>
      </c>
      <c r="J83" s="45" t="s">
        <v>536</v>
      </c>
      <c r="K83" s="26" t="s">
        <v>525</v>
      </c>
      <c r="L83" s="41" t="s">
        <v>181</v>
      </c>
      <c r="M83" s="28" t="s">
        <v>526</v>
      </c>
      <c r="N83" s="29" t="s">
        <v>537</v>
      </c>
      <c r="O83" s="1384">
        <v>14.3227996826</v>
      </c>
      <c r="P83" s="31">
        <v>46206</v>
      </c>
      <c r="Q83" s="31" t="inlineStr">
        <is>
          <t>2026-07-06 10:56</t>
        </is>
      </c>
      <c r="R83" s="1384">
        <v>0.00600533556043</v>
      </c>
      <c r="S83" s="1385" t="s">
        <v>218</v>
      </c>
      <c r="T83" s="1385" t="s">
        <v>218</v>
      </c>
      <c r="U83" s="35"/>
      <c r="V83" s="36" t="inlineStr">
        <is>
          <t>近期整体下行，最新较上期回升，沪深300：PE为14.69倍，近三年分位约98.4%，环比下行0.10倍，估值处于高位。</t>
        </is>
      </c>
    </row>
    <row r="84" ht="65.25" customHeight="1">
      <c r="A84" s="19"/>
      <c r="B84" s="19"/>
      <c r="C84" s="152"/>
      <c r="D84" s="20"/>
      <c r="E84" s="156"/>
      <c r="F84" s="22" t="s">
        <v>538</v>
      </c>
      <c r="G84" s="154" t="s">
        <v>539</v>
      </c>
      <c r="H84" s="101">
        <v>0.1</v>
      </c>
      <c r="I84" s="148" t="s">
        <v>540</v>
      </c>
      <c r="J84" s="45" t="s">
        <v>541</v>
      </c>
      <c r="K84" s="26" t="s">
        <v>525</v>
      </c>
      <c r="L84" s="41" t="s">
        <v>181</v>
      </c>
      <c r="M84" s="28" t="s">
        <v>526</v>
      </c>
      <c r="N84" s="29" t="s">
        <v>542</v>
      </c>
      <c r="O84" s="1384">
        <v>51.1865997314</v>
      </c>
      <c r="P84" s="31">
        <v>46206</v>
      </c>
      <c r="Q84" s="31" t="inlineStr">
        <is>
          <t>2026-07-06 10:56</t>
        </is>
      </c>
      <c r="R84" s="1384">
        <v>0.0022262465853</v>
      </c>
      <c r="S84" s="1385" t="s">
        <v>218</v>
      </c>
      <c r="T84" s="1385" t="s">
        <v>218</v>
      </c>
      <c r="U84" s="35"/>
      <c r="V84" s="36" t="inlineStr">
        <is>
          <t>近期整体下行，最新较上期回升，创业板指：PE为51.81倍，近三年分位约99.9%，环比上行0.90倍，估值处于高位。</t>
        </is>
      </c>
    </row>
    <row r="85" ht="65.25" customHeight="1">
      <c r="A85" s="19"/>
      <c r="B85" s="19"/>
      <c r="C85" s="152"/>
      <c r="D85" s="20"/>
      <c r="E85" s="156"/>
      <c r="F85" s="22" t="s">
        <v>543</v>
      </c>
      <c r="G85" s="154" t="s">
        <v>544</v>
      </c>
      <c r="H85" s="101">
        <v>0.16</v>
      </c>
      <c r="I85" s="148" t="s">
        <v>545</v>
      </c>
      <c r="J85" s="45" t="s">
        <v>546</v>
      </c>
      <c r="K85" s="26" t="s">
        <v>525</v>
      </c>
      <c r="L85" s="41" t="s">
        <v>181</v>
      </c>
      <c r="M85" s="28" t="s">
        <v>526</v>
      </c>
      <c r="N85" s="29" t="s">
        <v>547</v>
      </c>
      <c r="O85" s="1384">
        <v>11.2894001007</v>
      </c>
      <c r="P85" s="31">
        <v>46206</v>
      </c>
      <c r="Q85" s="31" t="inlineStr">
        <is>
          <t>2026-07-06 10:56</t>
        </is>
      </c>
      <c r="R85" s="1384">
        <v>0.01139561439</v>
      </c>
      <c r="S85" s="1385" t="s">
        <v>218</v>
      </c>
      <c r="T85" s="1385" t="s">
        <v>218</v>
      </c>
      <c r="U85" s="35"/>
      <c r="V85" s="36" t="inlineStr">
        <is>
          <t>近期整体下行，最新较上期回升，恒生指数：PE为11.99倍，近三年分位约83.9%，环比下行0.14倍，估值处于偏高位置。</t>
        </is>
      </c>
    </row>
    <row r="86" ht="65.25" customHeight="1">
      <c r="A86" s="19"/>
      <c r="B86" s="19"/>
      <c r="C86" s="152"/>
      <c r="D86" s="20"/>
      <c r="E86" s="156"/>
      <c r="F86" s="22" t="s">
        <v>548</v>
      </c>
      <c r="G86" s="154" t="s">
        <v>549</v>
      </c>
      <c r="H86" s="101">
        <v>0.1</v>
      </c>
      <c r="I86" s="148" t="s">
        <v>550</v>
      </c>
      <c r="J86" s="45" t="s">
        <v>551</v>
      </c>
      <c r="K86" s="26" t="s">
        <v>525</v>
      </c>
      <c r="L86" s="41" t="s">
        <v>181</v>
      </c>
      <c r="M86" s="28" t="s">
        <v>526</v>
      </c>
      <c r="N86" s="29" t="s">
        <v>552</v>
      </c>
      <c r="O86" s="1384">
        <v>21.8528995514</v>
      </c>
      <c r="P86" s="31">
        <v>46206</v>
      </c>
      <c r="Q86" s="31" t="inlineStr">
        <is>
          <t>2026-07-06 10:56</t>
        </is>
      </c>
      <c r="R86" s="1384">
        <v>0.174798965454</v>
      </c>
      <c r="S86" s="1385" t="s">
        <v>218</v>
      </c>
      <c r="T86" s="1385" t="s">
        <v>218</v>
      </c>
      <c r="U86" s="35"/>
      <c r="V86" s="36" t="inlineStr">
        <is>
          <t>近期整体下行，最新较上期回升，恒生科技：PE为22.50倍，近三年分位约57.1%，环比下行0.49倍，估值处于中性略偏高位置。</t>
        </is>
      </c>
    </row>
    <row r="87" ht="127.5" customHeight="1">
      <c r="A87" s="19"/>
      <c r="B87" s="19" t="s">
        <v>553</v>
      </c>
      <c r="C87" s="19" t="s">
        <v>20</v>
      </c>
      <c r="D87" s="20" t="s">
        <v>554</v>
      </c>
      <c r="E87" s="21" t="s">
        <v>22</v>
      </c>
      <c r="F87" s="22" t="s">
        <v>23</v>
      </c>
      <c r="G87" s="23" t="s">
        <v>24</v>
      </c>
      <c r="H87" s="24">
        <v>0.02</v>
      </c>
      <c r="I87" s="25" t="s">
        <v>25</v>
      </c>
      <c r="J87" s="26" t="s">
        <v>26</v>
      </c>
      <c r="K87" s="26" t="s">
        <v>27</v>
      </c>
      <c r="L87" s="27" t="s">
        <v>28</v>
      </c>
      <c r="M87" s="28" t="s">
        <v>15</v>
      </c>
      <c r="N87" s="29" t="s">
        <v>29</v>
      </c>
      <c r="O87" s="1636">
        <v>41090</v>
      </c>
      <c r="P87" s="31">
        <v>46173</v>
      </c>
      <c r="Q87" s="31" t="inlineStr">
        <is>
          <t xml:space="preserve">2026-07-02 09:15</t>
        </is>
      </c>
      <c r="R87" s="1637">
        <v>3843.5</v>
      </c>
      <c r="S87" s="1638">
        <v>-0.00570587865208</v>
      </c>
      <c r="T87" s="1639">
        <v>-235.8</v>
      </c>
      <c r="U87" s="35"/>
      <c r="V87" s="36" t="inlineStr">
        <is>
          <t>近期整体上行，最新较上期回升，社零当月值同比近零且环比回落，消费交易规模偏弱。</t>
        </is>
      </c>
    </row>
    <row r="88" ht="111" customHeight="1">
      <c r="A88" s="19"/>
      <c r="B88" s="19"/>
      <c r="C88" s="37"/>
      <c r="D88" s="20"/>
      <c r="E88" s="38"/>
      <c r="F88" s="22" t="s">
        <v>30</v>
      </c>
      <c r="G88" s="39" t="s">
        <v>31</v>
      </c>
      <c r="H88" s="40">
        <v>0.0388888888888889</v>
      </c>
      <c r="I88" s="25" t="s">
        <v>32</v>
      </c>
      <c r="J88" s="26" t="s">
        <v>33</v>
      </c>
      <c r="K88" s="26" t="s">
        <v>34</v>
      </c>
      <c r="L88" s="41" t="s">
        <v>28</v>
      </c>
      <c r="M88" s="28" t="s">
        <v>15</v>
      </c>
      <c r="N88" s="42" t="s">
        <v>35</v>
      </c>
      <c r="O88" s="1640">
        <v>-0.006</v>
      </c>
      <c r="P88" s="31">
        <v>46173</v>
      </c>
      <c r="Q88" s="31" t="inlineStr">
        <is>
          <t xml:space="preserve">2026-07-02 09:15</t>
        </is>
      </c>
      <c r="R88" s="1638">
        <v>-0.008</v>
      </c>
      <c r="S88" s="1640">
        <v>-0.006</v>
      </c>
      <c r="T88" s="1638">
        <v>-0.07</v>
      </c>
      <c r="U88" s="35"/>
      <c r="V88" s="36" t="inlineStr">
        <is>
          <t>近期整体下行，最新较上期回落，社零同比仅0.2%且较上月降1.5pct，消费动能明显降温。</t>
        </is>
      </c>
    </row>
    <row r="89" ht="111" customHeight="1">
      <c r="A89" s="19"/>
      <c r="B89" s="19"/>
      <c r="C89" s="37"/>
      <c r="D89" s="20"/>
      <c r="E89" s="38"/>
      <c r="F89" s="22" t="s">
        <v>36</v>
      </c>
      <c r="G89" s="23" t="s">
        <v>37</v>
      </c>
      <c r="H89" s="24">
        <v>0.0222222222222</v>
      </c>
      <c r="I89" s="25" t="s">
        <v>38</v>
      </c>
      <c r="J89" s="26" t="s">
        <v>39</v>
      </c>
      <c r="K89" s="26" t="s">
        <v>40</v>
      </c>
      <c r="L89" s="27" t="s">
        <v>41</v>
      </c>
      <c r="M89" s="28" t="s">
        <v>15</v>
      </c>
      <c r="N89" s="29" t="s">
        <v>42</v>
      </c>
      <c r="O89" s="1636">
        <v>334192.9</v>
      </c>
      <c r="P89" s="31">
        <v>46112</v>
      </c>
      <c r="Q89" s="31" t="inlineStr">
        <is>
          <t xml:space="preserve">2026-07-02 09:15</t>
        </is>
      </c>
      <c r="R89" s="1639">
        <v>-53718.4</v>
      </c>
      <c r="S89" s="1638">
        <v>0.0493819756181</v>
      </c>
      <c r="T89" s="1639">
        <v>15726.5</v>
      </c>
      <c r="U89" s="35"/>
      <c r="V89" s="36" t="inlineStr">
        <is>
          <t>近期整体上行，最新较上期回落，名义GDP同比约4.94%，经济规模仍扩张但季度数据偏滞后。</t>
        </is>
      </c>
    </row>
    <row r="90" ht="111" customHeight="1">
      <c r="A90" s="19"/>
      <c r="B90" s="19"/>
      <c r="C90" s="37"/>
      <c r="D90" s="20"/>
      <c r="E90" s="38"/>
      <c r="F90" s="22" t="s">
        <v>43</v>
      </c>
      <c r="G90" s="23" t="s">
        <v>44</v>
      </c>
      <c r="H90" s="44">
        <v>0.0333333333333</v>
      </c>
      <c r="I90" s="25" t="s">
        <v>45</v>
      </c>
      <c r="J90" s="26" t="s">
        <v>46</v>
      </c>
      <c r="K90" s="26" t="s">
        <v>47</v>
      </c>
      <c r="L90" s="41" t="s">
        <v>41</v>
      </c>
      <c r="M90" s="28" t="s">
        <v>15</v>
      </c>
      <c r="N90" s="42" t="s">
        <v>48</v>
      </c>
      <c r="O90" s="1638">
        <v>0.05</v>
      </c>
      <c r="P90" s="31">
        <v>46112</v>
      </c>
      <c r="Q90" s="31" t="inlineStr">
        <is>
          <t xml:space="preserve">2026-07-02 09:15</t>
        </is>
      </c>
      <c r="R90" s="1638">
        <v>0.005</v>
      </c>
      <c r="S90" s="1638">
        <v>0.05</v>
      </c>
      <c r="T90" s="1638">
        <v>-0.004</v>
      </c>
      <c r="U90" s="35"/>
      <c r="V90" s="36" t="inlineStr">
        <is>
          <t>近期整体下行，最新较上期回升，实际GDP同比5.0%、环比改善0.5pct，增长总体平稳。</t>
        </is>
      </c>
    </row>
    <row r="91" ht="111" customHeight="1">
      <c r="A91" s="19"/>
      <c r="B91" s="19"/>
      <c r="C91" s="37"/>
      <c r="D91" s="20"/>
      <c r="E91" s="38"/>
      <c r="F91" s="22" t="s">
        <v>49</v>
      </c>
      <c r="G91" s="45" t="s">
        <v>50</v>
      </c>
      <c r="H91" s="46">
        <v>0.0166666666667</v>
      </c>
      <c r="I91" s="25" t="s">
        <v>51</v>
      </c>
      <c r="J91" s="26" t="s">
        <v>52</v>
      </c>
      <c r="K91" s="26" t="s">
        <v>53</v>
      </c>
      <c r="L91" s="27" t="s">
        <v>41</v>
      </c>
      <c r="M91" s="28" t="s">
        <v>16</v>
      </c>
      <c r="N91" s="29" t="s">
        <v>54</v>
      </c>
      <c r="O91" s="1641">
        <v>0.467</v>
      </c>
      <c r="P91" s="31">
        <v>46112</v>
      </c>
      <c r="Q91" s="31" t="inlineStr">
        <is>
          <t xml:space="preserve">2026-07-02 09:15</t>
        </is>
      </c>
      <c r="R91" s="1638">
        <v>-0.053</v>
      </c>
      <c r="S91" s="1641">
        <v>0.467</v>
      </c>
      <c r="T91" s="1638">
        <v>-0.034</v>
      </c>
      <c r="U91" s="35"/>
      <c r="V91" s="36" t="inlineStr">
        <is>
          <t>近期整体下行，最新较上期回落，消费贡献率46.7%且环比回落，内需主动力减弱。</t>
        </is>
      </c>
    </row>
    <row r="92" ht="111" customHeight="1">
      <c r="A92" s="19"/>
      <c r="B92" s="19"/>
      <c r="C92" s="37"/>
      <c r="D92" s="20"/>
      <c r="E92" s="38"/>
      <c r="F92" s="22" t="s">
        <v>55</v>
      </c>
      <c r="G92" s="45" t="s">
        <v>56</v>
      </c>
      <c r="H92" s="46">
        <v>0.0166666666667</v>
      </c>
      <c r="I92" s="25" t="s">
        <v>57</v>
      </c>
      <c r="J92" s="26" t="s">
        <v>58</v>
      </c>
      <c r="K92" s="26" t="s">
        <v>59</v>
      </c>
      <c r="L92" s="27" t="s">
        <v>41</v>
      </c>
      <c r="M92" s="28" t="s">
        <v>16</v>
      </c>
      <c r="N92" s="29" t="s">
        <v>60</v>
      </c>
      <c r="O92" s="1642">
        <v>0.38</v>
      </c>
      <c r="P92" s="31">
        <v>46112</v>
      </c>
      <c r="Q92" s="31" t="inlineStr">
        <is>
          <t xml:space="preserve">2026-07-02 09:15</t>
        </is>
      </c>
      <c r="R92" s="1638">
        <v>0.227</v>
      </c>
      <c r="S92" s="1642">
        <v>0.38</v>
      </c>
      <c r="T92" s="1638">
        <v>0.333</v>
      </c>
      <c r="U92" s="35"/>
      <c r="V92" s="36" t="inlineStr">
        <is>
          <t>近期整体上行，最新较上期回升，资本形成贡献率38.0%且大幅上升，增长更依赖投资拉动。</t>
        </is>
      </c>
    </row>
    <row r="93" ht="111" customHeight="1">
      <c r="A93" s="19"/>
      <c r="B93" s="19"/>
      <c r="C93" s="37"/>
      <c r="D93" s="20"/>
      <c r="E93" s="38"/>
      <c r="F93" s="22" t="s">
        <v>61</v>
      </c>
      <c r="G93" s="45" t="s">
        <v>62</v>
      </c>
      <c r="H93" s="49">
        <v>0.0111111111111</v>
      </c>
      <c r="I93" s="25" t="s">
        <v>63</v>
      </c>
      <c r="J93" s="26" t="s">
        <v>64</v>
      </c>
      <c r="K93" s="26" t="s">
        <v>65</v>
      </c>
      <c r="L93" s="27" t="s">
        <v>41</v>
      </c>
      <c r="M93" s="28" t="s">
        <v>16</v>
      </c>
      <c r="N93" s="29" t="s">
        <v>66</v>
      </c>
      <c r="O93" s="1641">
        <v>0.153</v>
      </c>
      <c r="P93" s="31">
        <v>46112</v>
      </c>
      <c r="Q93" s="31" t="inlineStr">
        <is>
          <t xml:space="preserve">2026-07-02 09:15</t>
        </is>
      </c>
      <c r="R93" s="1638">
        <v>-0.174</v>
      </c>
      <c r="S93" s="1641">
        <v>0.153</v>
      </c>
      <c r="T93" s="1638">
        <v>-0.299</v>
      </c>
      <c r="U93" s="35"/>
      <c r="V93" s="36" t="inlineStr">
        <is>
          <t>近期整体下行，最新较上期回落，净出口贡献率15.3%但明显回落，外需拉动边际减弱。</t>
        </is>
      </c>
    </row>
    <row r="94" ht="111" customHeight="1">
      <c r="A94" s="19"/>
      <c r="B94" s="19"/>
      <c r="C94" s="37"/>
      <c r="D94" s="20"/>
      <c r="E94" s="38"/>
      <c r="F94" s="22" t="s">
        <v>67</v>
      </c>
      <c r="G94" s="39" t="s">
        <v>68</v>
      </c>
      <c r="H94" s="24">
        <v>0.02</v>
      </c>
      <c r="I94" s="50" t="s">
        <v>69</v>
      </c>
      <c r="J94" s="26" t="s">
        <v>70</v>
      </c>
      <c r="K94" s="26" t="s">
        <v>71</v>
      </c>
      <c r="L94" s="27" t="s">
        <v>28</v>
      </c>
      <c r="M94" s="28" t="s">
        <v>15</v>
      </c>
      <c r="N94" s="29" t="s">
        <v>72</v>
      </c>
      <c r="O94" s="51">
        <v>-4.1</v>
      </c>
      <c r="P94" s="31">
        <v>46173</v>
      </c>
      <c r="Q94" s="31" t="inlineStr">
        <is>
          <t xml:space="preserve">2026-07-02 09:15</t>
        </is>
      </c>
      <c r="R94" s="34">
        <v>-2.5</v>
      </c>
      <c r="S94" s="33">
        <v>-0.0389800304712</v>
      </c>
      <c r="T94" s="34">
        <v>-5731</v>
      </c>
      <c r="U94" s="35"/>
      <c r="V94" s="52" t="inlineStr">
        <is>
          <t>近期整体下行，最新较上期回落，固投累计值同比下降3.9%，投资总量偏弱。</t>
        </is>
      </c>
    </row>
    <row r="95" ht="111" customHeight="1">
      <c r="A95" s="19"/>
      <c r="B95" s="19"/>
      <c r="C95" s="37"/>
      <c r="D95" s="20"/>
      <c r="E95" s="38"/>
      <c r="F95" s="22" t="s">
        <v>73</v>
      </c>
      <c r="G95" s="39" t="s">
        <v>74</v>
      </c>
      <c r="H95" s="53">
        <v>0.0444444444444444</v>
      </c>
      <c r="I95" s="25" t="s">
        <v>75</v>
      </c>
      <c r="J95" s="26" t="s">
        <v>76</v>
      </c>
      <c r="K95" s="26" t="s">
        <v>77</v>
      </c>
      <c r="L95" s="41" t="s">
        <v>28</v>
      </c>
      <c r="M95" s="28" t="s">
        <v>15</v>
      </c>
      <c r="N95" s="42" t="s">
        <v>78</v>
      </c>
      <c r="O95" s="1640">
        <v>-0.041</v>
      </c>
      <c r="P95" s="31">
        <v>46173</v>
      </c>
      <c r="Q95" s="31" t="inlineStr">
        <is>
          <t xml:space="preserve">2026-07-02 09:15</t>
        </is>
      </c>
      <c r="R95" s="1643">
        <v>-0.025</v>
      </c>
      <c r="S95" s="1640">
        <v>-0.041</v>
      </c>
      <c r="T95" s="1638">
        <v>-0.078</v>
      </c>
      <c r="U95" s="35"/>
      <c r="V95" s="36" t="inlineStr">
        <is>
          <t>近期整体下行，最新较上期回落，固投同比-1.6%且环比回落3.3pct，投资动能走弱。</t>
        </is>
      </c>
    </row>
    <row r="96" ht="79.5" customHeight="1">
      <c r="A96" s="19"/>
      <c r="B96" s="19"/>
      <c r="C96" s="37"/>
      <c r="D96" s="20"/>
      <c r="E96" s="38"/>
      <c r="F96" s="22" t="s">
        <v>79</v>
      </c>
      <c r="G96" s="39" t="s">
        <v>80</v>
      </c>
      <c r="H96" s="24">
        <v>0.0222222222222</v>
      </c>
      <c r="I96" s="50" t="s">
        <v>81</v>
      </c>
      <c r="J96" s="26" t="s">
        <v>82</v>
      </c>
      <c r="K96" s="26" t="s">
        <v>83</v>
      </c>
      <c r="L96" s="27" t="s">
        <v>28</v>
      </c>
      <c r="M96" s="28" t="s">
        <v>15</v>
      </c>
      <c r="N96" s="29" t="s">
        <v>84</v>
      </c>
      <c r="O96" s="1644">
        <v>-0.162</v>
      </c>
      <c r="P96" s="31">
        <v>46173</v>
      </c>
      <c r="Q96" s="31" t="inlineStr">
        <is>
          <t xml:space="preserve">2026-07-02 09:15</t>
        </is>
      </c>
      <c r="R96" s="1641">
        <v>-0.025</v>
      </c>
      <c r="S96" s="1644">
        <v>-0.162</v>
      </c>
      <c r="T96" s="1638">
        <v>-0.055</v>
      </c>
      <c r="U96" s="35"/>
      <c r="V96" s="36" t="inlineStr">
        <is>
          <t>近期整体下行，最新较上期回落，地产投资同比-13.7%且降幅扩大，地产仍是主要拖累。</t>
        </is>
      </c>
    </row>
    <row r="97" ht="79.5" customHeight="1">
      <c r="A97" s="19"/>
      <c r="B97" s="19"/>
      <c r="C97" s="37"/>
      <c r="D97" s="20"/>
      <c r="E97" s="38"/>
      <c r="F97" s="22" t="s">
        <v>85</v>
      </c>
      <c r="G97" s="26" t="s">
        <v>86</v>
      </c>
      <c r="H97" s="56">
        <v>0.018</v>
      </c>
      <c r="I97" s="50" t="s">
        <v>87</v>
      </c>
      <c r="J97" s="26" t="s">
        <v>88</v>
      </c>
      <c r="K97" s="26" t="s">
        <v>89</v>
      </c>
      <c r="L97" s="27" t="s">
        <v>28</v>
      </c>
      <c r="M97" s="28" t="s">
        <v>15</v>
      </c>
      <c r="N97" s="29" t="s">
        <v>90</v>
      </c>
      <c r="O97" s="1640">
        <v>-0.004</v>
      </c>
      <c r="P97" s="31">
        <v>46173</v>
      </c>
      <c r="Q97" s="31" t="inlineStr">
        <is>
          <t xml:space="preserve">2026-07-02 09:15</t>
        </is>
      </c>
      <c r="R97" s="1643">
        <v>-0.016</v>
      </c>
      <c r="S97" s="1640">
        <v>-0.004</v>
      </c>
      <c r="T97" s="1638">
        <v>-0.089</v>
      </c>
      <c r="U97" s="35"/>
      <c r="V97" s="36" t="inlineStr">
        <is>
          <t>近期整体下行，最新较上期回落，制造业投资同比1.2%但回落2.9pct，扩张动能放缓。</t>
        </is>
      </c>
    </row>
    <row r="98" ht="79.5" customHeight="1">
      <c r="A98" s="19"/>
      <c r="B98" s="19"/>
      <c r="C98" s="37"/>
      <c r="D98" s="20"/>
      <c r="E98" s="38"/>
      <c r="F98" s="22" t="s">
        <v>91</v>
      </c>
      <c r="G98" s="26" t="s">
        <v>92</v>
      </c>
      <c r="H98" s="56">
        <v>0.018</v>
      </c>
      <c r="I98" s="50" t="s">
        <v>93</v>
      </c>
      <c r="J98" s="26" t="s">
        <v>94</v>
      </c>
      <c r="K98" s="26" t="s">
        <v>95</v>
      </c>
      <c r="L98" s="27" t="s">
        <v>28</v>
      </c>
      <c r="M98" s="28" t="s">
        <v>15</v>
      </c>
      <c r="N98" s="29" t="s">
        <v>96</v>
      </c>
      <c r="O98" s="1645">
        <v>0.0075</v>
      </c>
      <c r="P98" s="31">
        <v>46173</v>
      </c>
      <c r="Q98" s="31" t="inlineStr">
        <is>
          <t xml:space="preserve">2026-07-02 09:15</t>
        </is>
      </c>
      <c r="R98" s="1643">
        <v>-0.0417</v>
      </c>
      <c r="S98" s="1645">
        <v>0.0075</v>
      </c>
      <c r="T98" s="1638">
        <v>-0.0967</v>
      </c>
      <c r="U98" s="35"/>
      <c r="V98" s="36" t="inlineStr">
        <is>
          <t>近期整体下行，最新较上期回落，基建投资同比4.3%但回落4.6pct，财政托底边际减弱。</t>
        </is>
      </c>
    </row>
    <row r="99" ht="79.5" customHeight="1">
      <c r="A99" s="19"/>
      <c r="B99" s="19"/>
      <c r="C99" s="37"/>
      <c r="D99" s="20"/>
      <c r="E99" s="38"/>
      <c r="F99" s="22" t="s">
        <v>97</v>
      </c>
      <c r="G99" s="39" t="s">
        <v>98</v>
      </c>
      <c r="H99" s="58">
        <v>0.0277777777777778</v>
      </c>
      <c r="I99" s="50" t="s">
        <v>99</v>
      </c>
      <c r="J99" s="26" t="s">
        <v>100</v>
      </c>
      <c r="K99" s="26" t="s">
        <v>101</v>
      </c>
      <c r="L99" s="41" t="s">
        <v>28</v>
      </c>
      <c r="M99" s="28" t="s">
        <v>15</v>
      </c>
      <c r="N99" s="29" t="s">
        <v>102</v>
      </c>
      <c r="O99" s="1644">
        <v>-0.108</v>
      </c>
      <c r="P99" s="31">
        <v>46173</v>
      </c>
      <c r="Q99" s="31" t="inlineStr">
        <is>
          <t xml:space="preserve">2026-07-02 09:15</t>
        </is>
      </c>
      <c r="R99" s="1638">
        <v>-0.006</v>
      </c>
      <c r="S99" s="1644">
        <v>-0.108</v>
      </c>
      <c r="T99" s="1638">
        <v>-0.079</v>
      </c>
      <c r="U99" s="35"/>
      <c r="V99" s="36" t="inlineStr">
        <is>
          <t>近期整体下行，最新较上期回落，房屋销售同比-10.2%，边际微修复但地产需求仍弱。</t>
        </is>
      </c>
    </row>
    <row r="100" ht="147.75" customHeight="1">
      <c r="A100" s="19"/>
      <c r="B100" s="19"/>
      <c r="C100" s="37"/>
      <c r="D100" s="20"/>
      <c r="E100" s="38"/>
      <c r="F100" s="22" t="s">
        <v>103</v>
      </c>
      <c r="G100" s="45" t="s">
        <v>104</v>
      </c>
      <c r="H100" s="59">
        <v>0.0166666666666667</v>
      </c>
      <c r="I100" s="25" t="s">
        <v>105</v>
      </c>
      <c r="J100" s="45" t="s">
        <v>106</v>
      </c>
      <c r="K100" s="26" t="s">
        <v>107</v>
      </c>
      <c r="L100" s="27" t="s">
        <v>28</v>
      </c>
      <c r="M100" s="28" t="s">
        <v>15</v>
      </c>
      <c r="N100" s="29" t="s">
        <v>108</v>
      </c>
      <c r="O100" s="1638">
        <v>-0.059</v>
      </c>
      <c r="P100" s="31">
        <v>46173</v>
      </c>
      <c r="Q100" s="31" t="inlineStr">
        <is>
          <t xml:space="preserve">2026-07-02 09:15</t>
        </is>
      </c>
      <c r="R100" s="1646">
        <v>0.003</v>
      </c>
      <c r="S100" s="1638">
        <v>-0.059</v>
      </c>
      <c r="T100" s="1638">
        <v>0.004</v>
      </c>
      <c r="U100" s="35"/>
      <c r="V100" s="36" t="inlineStr">
        <is>
          <t>近期整体下行，最新较上期回升，70城二手房价同比-6.2%，仍在下跌但降幅略收窄。</t>
        </is>
      </c>
    </row>
    <row r="101" ht="81.75" customHeight="1">
      <c r="A101" s="19"/>
      <c r="B101" s="19"/>
      <c r="C101" s="37"/>
      <c r="D101" s="20"/>
      <c r="E101" s="38"/>
      <c r="F101" s="22" t="s">
        <v>109</v>
      </c>
      <c r="G101" s="23" t="s">
        <v>110</v>
      </c>
      <c r="H101" s="61">
        <v>0.0333333333333333</v>
      </c>
      <c r="I101" s="25" t="s">
        <v>111</v>
      </c>
      <c r="J101" s="45" t="s">
        <v>112</v>
      </c>
      <c r="K101" s="26" t="s">
        <v>113</v>
      </c>
      <c r="L101" s="27" t="s">
        <v>28</v>
      </c>
      <c r="M101" s="28" t="s">
        <v>15</v>
      </c>
      <c r="N101" s="42" t="s">
        <v>114</v>
      </c>
      <c r="O101" s="1647">
        <v>0.194</v>
      </c>
      <c r="P101" s="31">
        <v>46173</v>
      </c>
      <c r="Q101" s="31" t="inlineStr">
        <is>
          <t xml:space="preserve">2026-07-02 09:15</t>
        </is>
      </c>
      <c r="R101" s="1638">
        <v>0.054</v>
      </c>
      <c r="S101" s="1647">
        <v>0.194</v>
      </c>
      <c r="T101" s="1638">
        <v>0.1474722</v>
      </c>
      <c r="U101" s="35"/>
      <c r="V101" s="36" t="inlineStr">
        <is>
          <t>近期整体上行，最新较上期回升，出口同比19.4%且继续改善，外需和抢出口支撑较强。</t>
        </is>
      </c>
    </row>
    <row r="102" ht="99" customHeight="1">
      <c r="A102" s="19"/>
      <c r="B102" s="19"/>
      <c r="C102" s="37"/>
      <c r="D102" s="20"/>
      <c r="E102" s="38"/>
      <c r="F102" s="22" t="s">
        <v>115</v>
      </c>
      <c r="G102" s="45" t="s">
        <v>116</v>
      </c>
      <c r="H102" s="49">
        <v>0.0111111111111</v>
      </c>
      <c r="I102" s="25" t="s">
        <v>117</v>
      </c>
      <c r="J102" s="45" t="s">
        <v>118</v>
      </c>
      <c r="K102" s="45" t="s">
        <v>119</v>
      </c>
      <c r="L102" s="27" t="s">
        <v>28</v>
      </c>
      <c r="M102" s="28" t="s">
        <v>15</v>
      </c>
      <c r="N102" s="29" t="s">
        <v>120</v>
      </c>
      <c r="O102" s="1648">
        <v>-0.027</v>
      </c>
      <c r="P102" s="31">
        <v>46173</v>
      </c>
      <c r="Q102" s="31" t="inlineStr">
        <is>
          <t xml:space="preserve">2026-07-02 09:15</t>
        </is>
      </c>
      <c r="R102" s="1649">
        <v>0.075</v>
      </c>
      <c r="S102" s="1648">
        <v>-0.027</v>
      </c>
      <c r="T102" s="1638">
        <v>0.07</v>
      </c>
      <c r="U102" s="35"/>
      <c r="V102" s="36" t="inlineStr">
        <is>
          <t>近期整体上行，最新较上期回升，对美出口累计同比-2.7%，仍负增长但边际明显修复。</t>
        </is>
      </c>
    </row>
    <row r="103" ht="99" customHeight="1">
      <c r="A103" s="19"/>
      <c r="B103" s="19"/>
      <c r="C103" s="37"/>
      <c r="D103" s="20"/>
      <c r="E103" s="38"/>
      <c r="F103" s="22" t="s">
        <v>121</v>
      </c>
      <c r="G103" s="45" t="s">
        <v>122</v>
      </c>
      <c r="H103" s="49">
        <v>0.0111111111111</v>
      </c>
      <c r="I103" s="25" t="s">
        <v>123</v>
      </c>
      <c r="J103" s="45" t="s">
        <v>124</v>
      </c>
      <c r="K103" s="45" t="s">
        <v>125</v>
      </c>
      <c r="L103" s="27" t="s">
        <v>28</v>
      </c>
      <c r="M103" s="28" t="s">
        <v>15</v>
      </c>
      <c r="N103" s="29" t="s">
        <v>126</v>
      </c>
      <c r="O103" s="1650">
        <v>0.203</v>
      </c>
      <c r="P103" s="31">
        <v>46173</v>
      </c>
      <c r="Q103" s="31" t="inlineStr">
        <is>
          <t xml:space="preserve">2026-07-02 09:15</t>
        </is>
      </c>
      <c r="R103" s="1638">
        <v>0.012</v>
      </c>
      <c r="S103" s="1650">
        <v>0.203</v>
      </c>
      <c r="T103" s="1638">
        <v>0.081</v>
      </c>
      <c r="U103" s="35"/>
      <c r="V103" s="36" t="inlineStr">
        <is>
          <t>近期整体上行，最新较上期回升，对东盟出口累计同比20.3%，区域外需支撑较强。</t>
        </is>
      </c>
    </row>
    <row r="104" ht="99" customHeight="1">
      <c r="A104" s="19"/>
      <c r="B104" s="19"/>
      <c r="C104" s="37"/>
      <c r="D104" s="20"/>
      <c r="E104" s="38"/>
      <c r="F104" s="22" t="s">
        <v>127</v>
      </c>
      <c r="G104" s="45" t="s">
        <v>128</v>
      </c>
      <c r="H104" s="66">
        <v>0.014</v>
      </c>
      <c r="I104" s="25" t="s">
        <v>129</v>
      </c>
      <c r="J104" s="45" t="s">
        <v>130</v>
      </c>
      <c r="K104" s="26" t="s">
        <v>131</v>
      </c>
      <c r="L104" s="27" t="s">
        <v>28</v>
      </c>
      <c r="M104" s="28" t="s">
        <v>16</v>
      </c>
      <c r="N104" s="29" t="s">
        <v>132</v>
      </c>
      <c r="O104" s="1651">
        <v>1054.335842</v>
      </c>
      <c r="P104" s="31">
        <v>46173</v>
      </c>
      <c r="Q104" s="31" t="inlineStr">
        <is>
          <t xml:space="preserve">2026-07-02 09:15</t>
        </is>
      </c>
      <c r="R104" s="1639">
        <v>207.478127</v>
      </c>
      <c r="S104" s="1652">
        <v>0.026468876924</v>
      </c>
      <c r="T104" s="1639">
        <v>27.187464</v>
      </c>
      <c r="U104" s="35"/>
      <c r="V104" s="36" t="inlineStr">
        <is>
          <t>近期整体下行，最新较上期回升，贸易顺差1054.3亿美元且环比扩大，净出口仍有支撑。</t>
        </is>
      </c>
    </row>
    <row r="105" ht="99" customHeight="1">
      <c r="A105" s="19"/>
      <c r="B105" s="19"/>
      <c r="C105" s="37"/>
      <c r="D105" s="20"/>
      <c r="E105" s="38"/>
      <c r="F105" s="22" t="s">
        <v>133</v>
      </c>
      <c r="G105" s="23" t="s">
        <v>134</v>
      </c>
      <c r="H105" s="58">
        <v>0.0277777777777778</v>
      </c>
      <c r="I105" s="25" t="s">
        <v>135</v>
      </c>
      <c r="J105" s="45" t="s">
        <v>136</v>
      </c>
      <c r="K105" s="26" t="s">
        <v>137</v>
      </c>
      <c r="L105" s="27" t="s">
        <v>28</v>
      </c>
      <c r="M105" s="28" t="s">
        <v>14</v>
      </c>
      <c r="N105" s="42" t="s">
        <v>138</v>
      </c>
      <c r="O105" s="1653">
        <v>50.3</v>
      </c>
      <c r="P105" s="31">
        <v>46203</v>
      </c>
      <c r="Q105" s="31" t="inlineStr">
        <is>
          <t xml:space="preserve">2026-07-02 09:53</t>
        </is>
      </c>
      <c r="R105" s="1639">
        <v>0.3</v>
      </c>
      <c r="S105" s="1654" t="inlineStr">
        <is>
          <t>-</t>
        </is>
      </c>
      <c r="T105" s="1639">
        <v>0.6</v>
      </c>
      <c r="U105" s="35"/>
      <c r="V105" s="36" t="inlineStr">
        <is>
          <t>近期整体上行，最新较上期回升，制造业PMI回落至50.0，扩张动能转为临界状态。</t>
        </is>
      </c>
    </row>
    <row r="106" ht="93" customHeight="1">
      <c r="A106" s="19"/>
      <c r="B106" s="19"/>
      <c r="C106" s="37"/>
      <c r="D106" s="20"/>
      <c r="E106" s="38"/>
      <c r="F106" s="22" t="s">
        <v>139</v>
      </c>
      <c r="G106" s="23" t="s">
        <v>140</v>
      </c>
      <c r="H106" s="40">
        <v>0.0388888888888889</v>
      </c>
      <c r="I106" s="25" t="s">
        <v>141</v>
      </c>
      <c r="J106" s="45" t="s">
        <v>142</v>
      </c>
      <c r="K106" s="26" t="s">
        <v>143</v>
      </c>
      <c r="L106" s="27" t="s">
        <v>28</v>
      </c>
      <c r="M106" s="28" t="s">
        <v>14</v>
      </c>
      <c r="N106" s="29" t="s">
        <v>144</v>
      </c>
      <c r="O106" s="1655">
        <v>51.2</v>
      </c>
      <c r="P106" s="31">
        <v>46203</v>
      </c>
      <c r="Q106" s="31" t="inlineStr">
        <is>
          <t xml:space="preserve">2026-07-02 09:53</t>
        </is>
      </c>
      <c r="R106" s="1656">
        <v>1.3</v>
      </c>
      <c r="S106" s="1654" t="inlineStr">
        <is>
          <t>-</t>
        </is>
      </c>
      <c r="T106" s="1639">
        <v>1</v>
      </c>
      <c r="U106" s="35"/>
      <c r="V106" s="36" t="inlineStr">
        <is>
          <t>近期整体上行，最新较上期回升，PMI新订单49.9且回落，需求前瞻信号偏弱。</t>
        </is>
      </c>
    </row>
    <row r="107" ht="93" customHeight="1">
      <c r="A107" s="19"/>
      <c r="B107" s="19"/>
      <c r="C107" s="37"/>
      <c r="D107" s="20"/>
      <c r="E107" s="38"/>
      <c r="F107" s="22" t="s">
        <v>145</v>
      </c>
      <c r="G107" s="45" t="s">
        <v>146</v>
      </c>
      <c r="H107" s="59">
        <v>0.0166666666666667</v>
      </c>
      <c r="I107" s="25" t="s">
        <v>147</v>
      </c>
      <c r="J107" s="45" t="s">
        <v>148</v>
      </c>
      <c r="K107" s="26" t="s">
        <v>149</v>
      </c>
      <c r="L107" s="27" t="s">
        <v>28</v>
      </c>
      <c r="M107" s="28" t="s">
        <v>14</v>
      </c>
      <c r="N107" s="29" t="s">
        <v>150</v>
      </c>
      <c r="O107" s="1651">
        <v>51.4</v>
      </c>
      <c r="P107" s="31">
        <v>46203</v>
      </c>
      <c r="Q107" s="31" t="inlineStr">
        <is>
          <t xml:space="preserve">2026-07-02 09:53</t>
        </is>
      </c>
      <c r="R107" s="1639">
        <v>0.2</v>
      </c>
      <c r="S107" s="1654" t="inlineStr">
        <is>
          <t>-</t>
        </is>
      </c>
      <c r="T107" s="1639">
        <v>0.4</v>
      </c>
      <c r="U107" s="35"/>
      <c r="V107" s="36" t="inlineStr">
        <is>
          <t>近期整体上行，最新较上期回升，PMI生产51.2仍扩张但回落，供给强于需求。</t>
        </is>
      </c>
    </row>
    <row r="108" ht="93" customHeight="1">
      <c r="A108" s="19"/>
      <c r="B108" s="19"/>
      <c r="C108" s="37"/>
      <c r="D108" s="20"/>
      <c r="E108" s="38"/>
      <c r="F108" s="22" t="s">
        <v>151</v>
      </c>
      <c r="G108" s="45" t="s">
        <v>152</v>
      </c>
      <c r="H108" s="59">
        <v>0.0166666666666667</v>
      </c>
      <c r="I108" s="25" t="s">
        <v>153</v>
      </c>
      <c r="J108" s="45" t="s">
        <v>154</v>
      </c>
      <c r="K108" s="26" t="s">
        <v>155</v>
      </c>
      <c r="L108" s="27" t="s">
        <v>28</v>
      </c>
      <c r="M108" s="28" t="s">
        <v>14</v>
      </c>
      <c r="N108" s="42" t="s">
        <v>156</v>
      </c>
      <c r="O108" s="1657">
        <v>50.2</v>
      </c>
      <c r="P108" s="31">
        <v>46203</v>
      </c>
      <c r="Q108" s="31" t="inlineStr">
        <is>
          <t xml:space="preserve">2026-07-02 09:53</t>
        </is>
      </c>
      <c r="R108" s="1658">
        <v>0.1</v>
      </c>
      <c r="S108" s="1654" t="inlineStr">
        <is>
          <t>-</t>
        </is>
      </c>
      <c r="T108" s="1639">
        <v>-0.3</v>
      </c>
      <c r="U108" s="35"/>
      <c r="V108" s="36" t="inlineStr">
        <is>
          <t>近期总体震荡，最新较上期回升，非制造业PMI升至50.1，服务景气弱修复。</t>
        </is>
      </c>
    </row>
    <row r="109" ht="93" customHeight="1">
      <c r="A109" s="19"/>
      <c r="B109" s="19"/>
      <c r="C109" s="37"/>
      <c r="D109" s="20"/>
      <c r="E109" s="38"/>
      <c r="F109" s="22" t="s">
        <v>157</v>
      </c>
      <c r="G109" s="45" t="s">
        <v>158</v>
      </c>
      <c r="H109" s="59">
        <v>0.0166666666666667</v>
      </c>
      <c r="I109" s="25" t="s">
        <v>159</v>
      </c>
      <c r="J109" s="45" t="s">
        <v>160</v>
      </c>
      <c r="K109" s="26" t="s">
        <v>161</v>
      </c>
      <c r="L109" s="27" t="s">
        <v>28</v>
      </c>
      <c r="M109" s="28" t="s">
        <v>15</v>
      </c>
      <c r="N109" s="42" t="s">
        <v>162</v>
      </c>
      <c r="O109" s="1659">
        <v>0.045</v>
      </c>
      <c r="P109" s="31">
        <v>46173</v>
      </c>
      <c r="Q109" s="31" t="inlineStr">
        <is>
          <t xml:space="preserve">2026-07-02 09:15</t>
        </is>
      </c>
      <c r="R109" s="1638">
        <v>0.004</v>
      </c>
      <c r="S109" s="1659">
        <v>0.045</v>
      </c>
      <c r="T109" s="1638">
        <v>-0.013</v>
      </c>
      <c r="U109" s="35"/>
      <c r="V109" s="36" t="inlineStr">
        <is>
          <t>近期整体下行，最新较上期回升，工业增加值同比4.1%但回落1.6pct，生产端放缓。</t>
        </is>
      </c>
    </row>
    <row r="110" ht="93" customHeight="1">
      <c r="A110" s="19"/>
      <c r="B110" s="19"/>
      <c r="C110" s="37"/>
      <c r="D110" s="20"/>
      <c r="E110" s="72" t="s">
        <v>163</v>
      </c>
      <c r="F110" s="22" t="s">
        <v>164</v>
      </c>
      <c r="G110" s="23" t="s">
        <v>165</v>
      </c>
      <c r="H110" s="73">
        <v>0.0555555555555556</v>
      </c>
      <c r="I110" s="25" t="s">
        <v>166</v>
      </c>
      <c r="J110" s="45" t="s">
        <v>167</v>
      </c>
      <c r="K110" s="26" t="s">
        <v>168</v>
      </c>
      <c r="L110" s="27" t="s">
        <v>28</v>
      </c>
      <c r="M110" s="28" t="s">
        <v>15</v>
      </c>
      <c r="N110" s="42" t="s">
        <v>169</v>
      </c>
      <c r="O110" s="1648">
        <v>0.039</v>
      </c>
      <c r="P110" s="31">
        <v>46173</v>
      </c>
      <c r="Q110" s="31" t="inlineStr">
        <is>
          <t xml:space="preserve">2026-07-02 09:15</t>
        </is>
      </c>
      <c r="R110" s="1646">
        <v>0.011</v>
      </c>
      <c r="S110" s="1648">
        <v>0.039</v>
      </c>
      <c r="T110" s="1660">
        <v>0.072</v>
      </c>
      <c r="U110" s="35"/>
      <c r="V110" s="36" t="inlineStr">
        <is>
          <t>近期整体上行，最新较上期回升，PPI同比3.9%且上行，上游价格和收入端改善，但不等于终端需求全面恢复。</t>
        </is>
      </c>
    </row>
    <row r="111" ht="93" customHeight="1">
      <c r="A111" s="19"/>
      <c r="B111" s="19"/>
      <c r="C111" s="37"/>
      <c r="D111" s="20"/>
      <c r="E111" s="38"/>
      <c r="F111" s="22" t="s">
        <v>170</v>
      </c>
      <c r="G111" s="23" t="s">
        <v>171</v>
      </c>
      <c r="H111" s="58">
        <v>0.0277777777777778</v>
      </c>
      <c r="I111" s="25" t="s">
        <v>172</v>
      </c>
      <c r="J111" s="45" t="s">
        <v>173</v>
      </c>
      <c r="K111" s="26" t="s">
        <v>174</v>
      </c>
      <c r="L111" s="27" t="s">
        <v>28</v>
      </c>
      <c r="M111" s="28" t="s">
        <v>15</v>
      </c>
      <c r="N111" s="42" t="s">
        <v>175</v>
      </c>
      <c r="O111" s="1661">
        <v>0.012</v>
      </c>
      <c r="P111" s="31">
        <v>46173</v>
      </c>
      <c r="Q111" s="31" t="inlineStr">
        <is>
          <t xml:space="preserve">2026-07-02 09:15</t>
        </is>
      </c>
      <c r="R111" s="1638">
        <v>0</v>
      </c>
      <c r="S111" s="1661">
        <v>0.012</v>
      </c>
      <c r="T111" s="1652">
        <v>0.013</v>
      </c>
      <c r="U111" s="35"/>
      <c r="V111" s="36" t="inlineStr">
        <is>
          <t>近期整体上行，最新较上期持平，CPI同比1.2%且持平，居民端通胀温和，需求拉动仍不强。</t>
        </is>
      </c>
    </row>
    <row r="112" ht="81" customHeight="1">
      <c r="A112" s="19"/>
      <c r="B112" s="19"/>
      <c r="C112" s="37"/>
      <c r="D112" s="20"/>
      <c r="E112" s="38"/>
      <c r="F112" s="22" t="s">
        <v>176</v>
      </c>
      <c r="G112" s="45" t="s">
        <v>177</v>
      </c>
      <c r="H112" s="49">
        <v>0.0111111111111</v>
      </c>
      <c r="I112" s="76" t="s">
        <v>178</v>
      </c>
      <c r="J112" s="45" t="s">
        <v>179</v>
      </c>
      <c r="K112" s="45" t="s">
        <v>180</v>
      </c>
      <c r="L112" s="27" t="s">
        <v>181</v>
      </c>
      <c r="M112" s="28" t="s">
        <v>14</v>
      </c>
      <c r="N112" s="29" t="s">
        <v>182</v>
      </c>
      <c r="O112" s="1662">
        <v>79.58</v>
      </c>
      <c r="P112" s="31">
        <v>46206</v>
      </c>
      <c r="Q112" s="31" t="inlineStr">
        <is>
          <t>2026-07-06 10:56</t>
        </is>
      </c>
      <c r="R112" s="1663">
        <v>1.12</v>
      </c>
      <c r="S112" s="1664">
        <v>-0.226251823043</v>
      </c>
      <c r="T112" s="1665">
        <v>-23.27</v>
      </c>
      <c r="U112" s="35"/>
      <c r="V112" s="36" t="inlineStr">
        <is>
          <t>近期整体上行，最新较上期回升，猪肉价格指数同比仍弱，食品端对CPI支撑有限。</t>
        </is>
      </c>
    </row>
    <row r="113" ht="81" customHeight="1">
      <c r="A113" s="19"/>
      <c r="B113" s="19"/>
      <c r="C113" s="37"/>
      <c r="D113" s="20"/>
      <c r="E113" s="38"/>
      <c r="F113" s="22" t="s">
        <v>183</v>
      </c>
      <c r="G113" s="45" t="s">
        <v>184</v>
      </c>
      <c r="H113" s="46">
        <v>0.0166666666667</v>
      </c>
      <c r="I113" s="76" t="s">
        <v>185</v>
      </c>
      <c r="J113" s="45" t="s">
        <v>186</v>
      </c>
      <c r="K113" s="45" t="s">
        <v>187</v>
      </c>
      <c r="L113" s="27" t="s">
        <v>181</v>
      </c>
      <c r="M113" s="28" t="s">
        <v>14</v>
      </c>
      <c r="N113" s="29" t="s">
        <v>188</v>
      </c>
      <c r="O113" s="1666">
        <v>72.12</v>
      </c>
      <c r="P113" s="31">
        <v>46206</v>
      </c>
      <c r="Q113" s="31" t="inlineStr">
        <is>
          <t>2026-07-06 10:56</t>
        </is>
      </c>
      <c r="R113" s="1639">
        <v>0.32</v>
      </c>
      <c r="S113" s="1638">
        <v>0.0482558139535</v>
      </c>
      <c r="T113" s="1667">
        <v>3.32</v>
      </c>
      <c r="U113" s="35"/>
      <c r="V113" s="36" t="inlineStr">
        <is>
          <t>近期整体下行，最新较上期回升，布伦特油价93.1且环比上涨，输入性因素对PPI和通胀预期形成支撑。</t>
        </is>
      </c>
    </row>
    <row r="114" ht="81" customHeight="1">
      <c r="A114" s="19"/>
      <c r="B114" s="19"/>
      <c r="C114" s="37"/>
      <c r="D114" s="20"/>
      <c r="E114" s="38"/>
      <c r="F114" s="22" t="s">
        <v>189</v>
      </c>
      <c r="G114" s="23" t="s">
        <v>190</v>
      </c>
      <c r="H114" s="58">
        <v>0.0277777777777778</v>
      </c>
      <c r="I114" s="76" t="s">
        <v>191</v>
      </c>
      <c r="J114" s="45" t="s">
        <v>192</v>
      </c>
      <c r="K114" s="26" t="s">
        <v>193</v>
      </c>
      <c r="L114" s="27" t="s">
        <v>28</v>
      </c>
      <c r="M114" s="28" t="s">
        <v>14</v>
      </c>
      <c r="N114" s="29" t="s">
        <v>194</v>
      </c>
      <c r="O114" s="1668">
        <v>54.2</v>
      </c>
      <c r="P114" s="31">
        <v>46203</v>
      </c>
      <c r="Q114" s="31" t="inlineStr">
        <is>
          <t xml:space="preserve">2026-07-02 09:53</t>
        </is>
      </c>
      <c r="R114" s="1669">
        <v>-6.3</v>
      </c>
      <c r="S114" s="1654" t="inlineStr">
        <is>
          <t>-</t>
        </is>
      </c>
      <c r="T114" s="1670">
        <v>5.8</v>
      </c>
      <c r="U114" s="35"/>
      <c r="V114" s="36" t="inlineStr">
        <is>
          <t>近期整体上行，最新较上期回落，原材料购价指数60.5仍高，但环比回落，成本压力边际缓和。</t>
        </is>
      </c>
    </row>
    <row r="115" ht="81" customHeight="1">
      <c r="A115" s="19"/>
      <c r="B115" s="19"/>
      <c r="C115" s="37"/>
      <c r="D115" s="20"/>
      <c r="E115" s="38"/>
      <c r="F115" s="22" t="s">
        <v>195</v>
      </c>
      <c r="G115" s="23" t="s">
        <v>196</v>
      </c>
      <c r="H115" s="84">
        <v>0.0666666666666667</v>
      </c>
      <c r="I115" s="76" t="s">
        <v>197</v>
      </c>
      <c r="J115" s="45" t="s">
        <v>198</v>
      </c>
      <c r="K115" s="26" t="s">
        <v>199</v>
      </c>
      <c r="L115" s="27" t="s">
        <v>28</v>
      </c>
      <c r="M115" s="85" t="s">
        <v>15</v>
      </c>
      <c r="N115" s="86" t="s">
        <v>200</v>
      </c>
      <c r="O115" s="1671">
        <v>0.188</v>
      </c>
      <c r="P115" s="31">
        <v>46173</v>
      </c>
      <c r="Q115" s="31" t="inlineStr">
        <is>
          <t xml:space="preserve">2026-07-02 09:15</t>
        </is>
      </c>
      <c r="R115" s="1672">
        <v>0.006</v>
      </c>
      <c r="S115" s="1671">
        <v>0.188</v>
      </c>
      <c r="T115" s="1672">
        <v>0.199</v>
      </c>
      <c r="U115" s="35"/>
      <c r="V115" s="36" t="inlineStr">
        <is>
          <t>近期整体上行，最新较上期回升，工业企业利润同比18.2%且继续改善，盈利修复较强，但需和终端需求分开看。</t>
        </is>
      </c>
    </row>
    <row r="116" ht="81" customHeight="1">
      <c r="A116" s="19"/>
      <c r="B116" s="19"/>
      <c r="C116" s="37"/>
      <c r="D116" s="20"/>
      <c r="E116" s="38"/>
      <c r="F116" s="22" t="s">
        <v>201</v>
      </c>
      <c r="G116" s="23" t="s">
        <v>202</v>
      </c>
      <c r="H116" s="53">
        <v>0.0444444444444444</v>
      </c>
      <c r="I116" s="76" t="s">
        <v>203</v>
      </c>
      <c r="J116" s="45" t="s">
        <v>204</v>
      </c>
      <c r="K116" s="26" t="s">
        <v>205</v>
      </c>
      <c r="L116" s="27" t="s">
        <v>28</v>
      </c>
      <c r="M116" s="85" t="s">
        <v>16</v>
      </c>
      <c r="N116" s="86" t="s">
        <v>206</v>
      </c>
      <c r="O116" s="1671">
        <v>0.0556</v>
      </c>
      <c r="P116" s="31">
        <v>46173</v>
      </c>
      <c r="Q116" s="31" t="inlineStr">
        <is>
          <t xml:space="preserve">2026-07-02 09:15</t>
        </is>
      </c>
      <c r="R116" s="1672">
        <v>0.0013</v>
      </c>
      <c r="S116" s="1673">
        <v>0.118712273642</v>
      </c>
      <c r="T116" s="1672">
        <v>0.0059</v>
      </c>
      <c r="U116" s="35"/>
      <c r="V116" s="36" t="inlineStr">
        <is>
          <t>近期整体上行，最新较上期回升，工业企业利润率5.43%且同比提升，盈利质量改善，更多体现价格和成本结构修复。</t>
        </is>
      </c>
    </row>
    <row r="117" ht="69" customHeight="1">
      <c r="A117" s="19"/>
      <c r="B117" s="19"/>
      <c r="C117" s="19" t="s">
        <v>207</v>
      </c>
      <c r="D117" s="20" t="s">
        <v>555</v>
      </c>
      <c r="E117" s="72" t="s">
        <v>209</v>
      </c>
      <c r="F117" s="22" t="s">
        <v>210</v>
      </c>
      <c r="G117" s="39" t="s">
        <v>211</v>
      </c>
      <c r="H117" s="90">
        <v>0.032</v>
      </c>
      <c r="I117" s="50" t="s">
        <v>212</v>
      </c>
      <c r="J117" s="26" t="s">
        <v>213</v>
      </c>
      <c r="K117" s="26" t="s">
        <v>214</v>
      </c>
      <c r="L117" s="41" t="s">
        <v>215</v>
      </c>
      <c r="M117" s="28" t="s">
        <v>216</v>
      </c>
      <c r="N117" s="29" t="s">
        <v>217</v>
      </c>
      <c r="O117" s="91" t="s">
        <v>217</v>
      </c>
      <c r="P117" s="31" t="s">
        <v>217</v>
      </c>
      <c r="Q117" s="31" t="inlineStr">
        <is>
          <t xml:space="preserve">2026-07-02 09:15</t>
        </is>
      </c>
      <c r="R117" s="92" t="s">
        <v>217</v>
      </c>
      <c r="S117" s="93" t="s">
        <v>218</v>
      </c>
      <c r="T117" s="92" t="s">
        <v>218</v>
      </c>
      <c r="U117" s="35"/>
      <c r="V117" s="52" t="inlineStr">
        <is>
          <t>定性跟踪项，缺少可量化底层序列，需结合最新政策表述确认。</t>
        </is>
      </c>
    </row>
    <row r="118" ht="69" customHeight="1">
      <c r="A118" s="19"/>
      <c r="B118" s="19"/>
      <c r="C118" s="37"/>
      <c r="D118" s="20"/>
      <c r="E118" s="94" t="s">
        <v>219</v>
      </c>
      <c r="F118" s="22" t="s">
        <v>220</v>
      </c>
      <c r="G118" s="26" t="s">
        <v>221</v>
      </c>
      <c r="H118" s="66">
        <v>0.014</v>
      </c>
      <c r="I118" s="50" t="s">
        <v>222</v>
      </c>
      <c r="J118" s="26" t="s">
        <v>223</v>
      </c>
      <c r="K118" s="26" t="s">
        <v>224</v>
      </c>
      <c r="L118" s="27" t="s">
        <v>28</v>
      </c>
      <c r="M118" s="28" t="s">
        <v>15</v>
      </c>
      <c r="N118" s="29" t="s">
        <v>225</v>
      </c>
      <c r="O118" s="1639">
        <v>100465</v>
      </c>
      <c r="P118" s="31">
        <v>46173</v>
      </c>
      <c r="Q118" s="31" t="inlineStr">
        <is>
          <t xml:space="preserve">2026-07-02 09:15</t>
        </is>
      </c>
      <c r="R118" s="1639">
        <v>17061</v>
      </c>
      <c r="S118" s="1673">
        <v>0.039762789398</v>
      </c>
      <c r="T118" s="1639">
        <v>3842</v>
      </c>
      <c r="U118" s="35"/>
      <c r="V118" s="36" t="inlineStr">
        <is>
          <t>近期整体下行，最新较上期回升，财政收入累计同比3.46%，收入端小幅修复但不等同于政策发力。</t>
        </is>
      </c>
    </row>
    <row r="119" ht="69" customHeight="1">
      <c r="A119" s="19"/>
      <c r="B119" s="19"/>
      <c r="C119" s="37"/>
      <c r="D119" s="20"/>
      <c r="E119" s="38"/>
      <c r="F119" s="22" t="s">
        <v>226</v>
      </c>
      <c r="G119" s="26" t="s">
        <v>227</v>
      </c>
      <c r="H119" s="56">
        <v>0.016</v>
      </c>
      <c r="I119" s="50" t="s">
        <v>228</v>
      </c>
      <c r="J119" s="26" t="s">
        <v>229</v>
      </c>
      <c r="K119" s="26" t="s">
        <v>230</v>
      </c>
      <c r="L119" s="27" t="s">
        <v>28</v>
      </c>
      <c r="M119" s="28" t="s">
        <v>15</v>
      </c>
      <c r="N119" s="29" t="s">
        <v>231</v>
      </c>
      <c r="O119" s="1639">
        <v>113877</v>
      </c>
      <c r="P119" s="31">
        <v>46173</v>
      </c>
      <c r="Q119" s="31" t="inlineStr">
        <is>
          <t xml:space="preserve">2026-07-02 09:15</t>
        </is>
      </c>
      <c r="R119" s="1639">
        <v>19068</v>
      </c>
      <c r="S119" s="1644">
        <v>0.00818039361504</v>
      </c>
      <c r="T119" s="1639">
        <v>924</v>
      </c>
      <c r="U119" s="35"/>
      <c r="V119" s="36" t="inlineStr">
        <is>
          <t>近期整体下行，最新较上期回升，财政支出累计同比1.31%，支出扩张偏温和，托底力度不强。</t>
        </is>
      </c>
    </row>
    <row r="120" ht="69" customHeight="1">
      <c r="A120" s="19"/>
      <c r="B120" s="19"/>
      <c r="C120" s="37"/>
      <c r="D120" s="20"/>
      <c r="E120" s="38"/>
      <c r="F120" s="22" t="s">
        <v>232</v>
      </c>
      <c r="G120" s="26" t="s">
        <v>233</v>
      </c>
      <c r="H120" s="95">
        <v>0.012</v>
      </c>
      <c r="I120" s="50" t="s">
        <v>234</v>
      </c>
      <c r="J120" s="26" t="s">
        <v>235</v>
      </c>
      <c r="K120" s="26" t="s">
        <v>236</v>
      </c>
      <c r="L120" s="27" t="s">
        <v>28</v>
      </c>
      <c r="M120" s="28" t="s">
        <v>15</v>
      </c>
      <c r="N120" s="29" t="s">
        <v>237</v>
      </c>
      <c r="O120" s="1640">
        <v>-0.287</v>
      </c>
      <c r="P120" s="31">
        <v>46173</v>
      </c>
      <c r="Q120" s="31" t="inlineStr">
        <is>
          <t xml:space="preserve">2026-07-02 09:15</t>
        </is>
      </c>
      <c r="R120" s="1638">
        <v>-0.015</v>
      </c>
      <c r="S120" s="1640">
        <v>-0.287</v>
      </c>
      <c r="T120" s="1638">
        <v>-0.168</v>
      </c>
      <c r="U120" s="35"/>
      <c r="V120" s="36" t="inlineStr">
        <is>
          <t>近期整体下行，最新较上期回落，土地出让收入同比-27.2%且降幅扩大，地方财政和地产链压力偏大。</t>
        </is>
      </c>
    </row>
    <row r="121" ht="69" customHeight="1">
      <c r="A121" s="19"/>
      <c r="B121" s="19"/>
      <c r="C121" s="37"/>
      <c r="D121" s="20"/>
      <c r="E121" s="38"/>
      <c r="F121" s="22" t="s">
        <v>238</v>
      </c>
      <c r="G121" s="26" t="s">
        <v>239</v>
      </c>
      <c r="H121" s="96">
        <v>0.01</v>
      </c>
      <c r="I121" s="50" t="s">
        <v>240</v>
      </c>
      <c r="J121" s="26" t="s">
        <v>241</v>
      </c>
      <c r="K121" s="26" t="s">
        <v>242</v>
      </c>
      <c r="L121" s="27" t="s">
        <v>28</v>
      </c>
      <c r="M121" s="28" t="s">
        <v>15</v>
      </c>
      <c r="N121" s="29" t="s">
        <v>243</v>
      </c>
      <c r="O121" s="1674">
        <v>42349.8</v>
      </c>
      <c r="P121" s="31">
        <v>46112</v>
      </c>
      <c r="Q121" s="31" t="inlineStr">
        <is>
          <t xml:space="preserve">2026-07-02 09:15</t>
        </is>
      </c>
      <c r="R121" s="1639">
        <v>1118</v>
      </c>
      <c r="S121" s="1638">
        <v>0.174566018688</v>
      </c>
      <c r="T121" s="1639">
        <v>6294.1</v>
      </c>
      <c r="U121" s="35"/>
      <c r="V121" s="36" t="inlineStr">
        <is>
          <t>近期整体上行，最新较上期回升，中央政府债务余额同比增19.3%，中央财政加杠杆信号明显。</t>
        </is>
      </c>
    </row>
    <row r="122" ht="65.1500015258789" customHeight="1">
      <c r="A122" s="19"/>
      <c r="B122" s="19"/>
      <c r="C122" s="37"/>
      <c r="D122" s="20"/>
      <c r="E122" s="38"/>
      <c r="F122" s="22" t="s">
        <v>244</v>
      </c>
      <c r="G122" s="39" t="s">
        <v>245</v>
      </c>
      <c r="H122" s="24">
        <v>0.02</v>
      </c>
      <c r="I122" s="76" t="s">
        <v>246</v>
      </c>
      <c r="J122" s="45" t="s">
        <v>247</v>
      </c>
      <c r="K122" s="26" t="s">
        <v>248</v>
      </c>
      <c r="L122" s="27" t="s">
        <v>41</v>
      </c>
      <c r="M122" s="28" t="s">
        <v>16</v>
      </c>
      <c r="N122" s="29" t="s">
        <v>249</v>
      </c>
      <c r="O122" s="1675">
        <v>-0.95671581403</v>
      </c>
      <c r="P122" s="31">
        <v>46173</v>
      </c>
      <c r="Q122" s="31" t="inlineStr">
        <is>
          <t xml:space="preserve">2026-07-02 09:15</t>
        </is>
      </c>
      <c r="R122" s="1639">
        <v>-0.143164974557</v>
      </c>
      <c r="S122" s="1654" t="inlineStr">
        <is>
          <t>-</t>
        </is>
      </c>
      <c r="T122" s="1676" t="inlineStr">
        <is>
          <t>-</t>
        </is>
      </c>
      <c r="U122" s="35"/>
      <c r="V122" s="36" t="inlineStr">
        <is>
          <t>近期整体下行，最新较上期回落，财政赤字脉冲仍为负但环比改善，财政边际由收缩向修复。</t>
        </is>
      </c>
    </row>
    <row r="123" ht="74" customHeight="1">
      <c r="A123" s="19"/>
      <c r="B123" s="19"/>
      <c r="C123" s="37"/>
      <c r="D123" s="20"/>
      <c r="E123" s="38"/>
      <c r="F123" s="22" t="s">
        <v>250</v>
      </c>
      <c r="G123" s="45" t="s">
        <v>251</v>
      </c>
      <c r="H123" s="95">
        <v>0.012</v>
      </c>
      <c r="I123" s="76" t="s">
        <v>252</v>
      </c>
      <c r="J123" s="45" t="s">
        <v>253</v>
      </c>
      <c r="K123" s="26" t="s">
        <v>254</v>
      </c>
      <c r="L123" s="27" t="s">
        <v>28</v>
      </c>
      <c r="M123" s="28" t="s">
        <v>15</v>
      </c>
      <c r="N123" s="29" t="s">
        <v>255</v>
      </c>
      <c r="O123" s="1639">
        <v>19100</v>
      </c>
      <c r="P123" s="31">
        <v>46173</v>
      </c>
      <c r="Q123" s="31" t="inlineStr">
        <is>
          <t xml:space="preserve">2026-07-02 09:15</t>
        </is>
      </c>
      <c r="R123" s="1639">
        <v>7100</v>
      </c>
      <c r="S123" s="1638">
        <v>-0.0772946859903</v>
      </c>
      <c r="T123" s="1639">
        <v>-1600</v>
      </c>
      <c r="U123" s="35"/>
      <c r="V123" s="36" t="inlineStr">
        <is>
          <t>近期整体下行，最新较上期回升，财政存款累计增加1.2万亿且环比大增，资金仍有沉淀，财政落地节奏偏慢。</t>
        </is>
      </c>
    </row>
    <row r="124" ht="111.75" customHeight="1">
      <c r="A124" s="19"/>
      <c r="B124" s="19"/>
      <c r="C124" s="100" t="s">
        <v>256</v>
      </c>
      <c r="D124" s="20" t="s">
        <v>556</v>
      </c>
      <c r="E124" s="72" t="s">
        <v>258</v>
      </c>
      <c r="F124" s="22" t="s">
        <v>259</v>
      </c>
      <c r="G124" s="39" t="s">
        <v>260</v>
      </c>
      <c r="H124" s="101">
        <v>0.036</v>
      </c>
      <c r="I124" s="102" t="s">
        <v>261</v>
      </c>
      <c r="J124" s="26" t="s">
        <v>262</v>
      </c>
      <c r="K124" s="26" t="s">
        <v>263</v>
      </c>
      <c r="L124" s="41" t="s">
        <v>181</v>
      </c>
      <c r="M124" s="28" t="s">
        <v>14</v>
      </c>
      <c r="N124" s="103" t="s">
        <v>264</v>
      </c>
      <c r="O124" s="1638">
        <v>0.014</v>
      </c>
      <c r="P124" s="31">
        <v>46209</v>
      </c>
      <c r="Q124" s="31" t="inlineStr">
        <is>
          <t>2026-07-06 10:56</t>
        </is>
      </c>
      <c r="R124" s="1638">
        <v>0</v>
      </c>
      <c r="S124" s="1654" t="inlineStr">
        <is>
          <t>-</t>
        </is>
      </c>
      <c r="T124" s="1638">
        <v>0</v>
      </c>
      <c r="U124" s="104"/>
      <c r="V124" s="36" t="inlineStr">
        <is>
          <t>近期总体震荡，最新较上期持平，7天逆回购1.40%持平，政策利率锚稳定，短端基调中性偏宽。</t>
        </is>
      </c>
    </row>
    <row r="125" ht="81.75" customHeight="1">
      <c r="A125" s="19"/>
      <c r="B125" s="19"/>
      <c r="C125" s="37"/>
      <c r="D125" s="20"/>
      <c r="E125" s="38"/>
      <c r="F125" s="22" t="s">
        <v>265</v>
      </c>
      <c r="G125" s="26" t="s">
        <v>266</v>
      </c>
      <c r="H125" s="95">
        <v>0.012</v>
      </c>
      <c r="I125" s="102" t="s">
        <v>267</v>
      </c>
      <c r="J125" s="26" t="s">
        <v>268</v>
      </c>
      <c r="K125" s="26" t="s">
        <v>269</v>
      </c>
      <c r="L125" s="41" t="s">
        <v>215</v>
      </c>
      <c r="M125" s="28" t="s">
        <v>14</v>
      </c>
      <c r="N125" s="103" t="s">
        <v>270</v>
      </c>
      <c r="O125" s="1638">
        <v>0.09</v>
      </c>
      <c r="P125" s="31">
        <v>46203</v>
      </c>
      <c r="Q125" s="31" t="inlineStr">
        <is>
          <t xml:space="preserve">2026-07-02 09:15</t>
        </is>
      </c>
      <c r="R125" s="1638">
        <v>0</v>
      </c>
      <c r="S125" s="1654" t="inlineStr">
        <is>
          <t>-</t>
        </is>
      </c>
      <c r="T125" s="1638">
        <v>0</v>
      </c>
      <c r="U125" s="104"/>
      <c r="V125" s="36" t="inlineStr">
        <is>
          <t>近期总体震荡，最新较上期持平，大型银行准备金率9.0%未变，长期基础货币未新增宽松。</t>
        </is>
      </c>
    </row>
    <row r="126" s="2" customFormat="1" ht="55.5" customHeight="1">
      <c r="A126" s="19"/>
      <c r="B126" s="19"/>
      <c r="C126" s="37"/>
      <c r="D126" s="20"/>
      <c r="E126" s="38"/>
      <c r="F126" s="22" t="s">
        <v>271</v>
      </c>
      <c r="G126" s="39" t="s">
        <v>272</v>
      </c>
      <c r="H126" s="24">
        <v>0.02</v>
      </c>
      <c r="I126" s="50" t="s">
        <v>273</v>
      </c>
      <c r="J126" s="26" t="s">
        <v>274</v>
      </c>
      <c r="K126" s="26" t="s">
        <v>275</v>
      </c>
      <c r="L126" s="41" t="s">
        <v>181</v>
      </c>
      <c r="M126" s="28" t="s">
        <v>14</v>
      </c>
      <c r="N126" s="29" t="s">
        <v>276</v>
      </c>
      <c r="O126" s="1677">
        <v>495</v>
      </c>
      <c r="P126" s="31">
        <v>46209</v>
      </c>
      <c r="Q126" s="31" t="inlineStr">
        <is>
          <t>2026-07-06 10:56</t>
        </is>
      </c>
      <c r="R126" s="1678">
        <v>2180</v>
      </c>
      <c r="S126" s="1654" t="inlineStr">
        <is>
          <t>-</t>
        </is>
      </c>
      <c r="T126" s="1679">
        <v>2745</v>
      </c>
      <c r="U126" s="104"/>
      <c r="V126" s="36" t="inlineStr">
        <is>
          <t>近期整体下行，最新较上期回升，单日公开市场净投放2065亿元、环比多285亿元，央行短端呵护仍在。</t>
        </is>
      </c>
    </row>
    <row r="127" ht="55.5" customHeight="1">
      <c r="A127" s="19"/>
      <c r="B127" s="19"/>
      <c r="C127" s="37"/>
      <c r="D127" s="20"/>
      <c r="E127" s="38"/>
      <c r="F127" s="22" t="s">
        <v>277</v>
      </c>
      <c r="G127" s="26" t="s">
        <v>272</v>
      </c>
      <c r="H127" s="108">
        <v>0.006</v>
      </c>
      <c r="I127" s="50" t="s">
        <v>278</v>
      </c>
      <c r="J127" s="38"/>
      <c r="K127" s="38"/>
      <c r="L127" s="41" t="s">
        <v>279</v>
      </c>
      <c r="M127" s="28" t="s">
        <v>14</v>
      </c>
      <c r="N127" s="29" t="s">
        <v>280</v>
      </c>
      <c r="O127" s="1680">
        <v>-15870</v>
      </c>
      <c r="P127" s="31">
        <v>46206</v>
      </c>
      <c r="Q127" s="31" t="inlineStr">
        <is>
          <t>2026-07-06 10:56</t>
        </is>
      </c>
      <c r="R127" s="1681">
        <v>-19167</v>
      </c>
      <c r="S127" s="1654" t="inlineStr">
        <is>
          <t>-</t>
        </is>
      </c>
      <c r="T127" s="1639">
        <v>-2117</v>
      </c>
      <c r="U127" s="104"/>
      <c r="V127" s="36" t="inlineStr">
        <is>
          <t>近期总体震荡，最新较上期回落，但该项权重低，需结合DR007判断。</t>
        </is>
      </c>
    </row>
    <row r="128" ht="59.25" customHeight="1">
      <c r="A128" s="19"/>
      <c r="B128" s="19"/>
      <c r="C128" s="37"/>
      <c r="D128" s="20"/>
      <c r="E128" s="38"/>
      <c r="F128" s="22" t="s">
        <v>281</v>
      </c>
      <c r="G128" s="26" t="s">
        <v>282</v>
      </c>
      <c r="H128" s="95">
        <v>0.012</v>
      </c>
      <c r="I128" s="50" t="s">
        <v>283</v>
      </c>
      <c r="J128" s="26" t="s">
        <v>284</v>
      </c>
      <c r="K128" s="26" t="s">
        <v>285</v>
      </c>
      <c r="L128" s="41" t="s">
        <v>28</v>
      </c>
      <c r="M128" s="28" t="s">
        <v>14</v>
      </c>
      <c r="N128" s="29" t="s">
        <v>286</v>
      </c>
      <c r="O128" s="1639">
        <v>10128</v>
      </c>
      <c r="P128" s="31">
        <v>46203</v>
      </c>
      <c r="Q128" s="31" t="inlineStr">
        <is>
          <t>2026-07-03 08:55</t>
        </is>
      </c>
      <c r="R128" s="1639">
        <v>-465</v>
      </c>
      <c r="S128" s="1682" t="inlineStr">
        <is>
          <t>-</t>
        </is>
      </c>
      <c r="T128" s="1676" t="inlineStr">
        <is>
          <t>-</t>
        </is>
      </c>
      <c r="U128" s="104"/>
      <c r="V128" s="36" t="inlineStr">
        <is>
          <t>底层序列待补，暂不据图表缓存单独判断趋势。</t>
        </is>
      </c>
    </row>
    <row r="129" ht="82.5" customHeight="1">
      <c r="A129" s="19"/>
      <c r="B129" s="19"/>
      <c r="C129" s="37"/>
      <c r="D129" s="20"/>
      <c r="E129" s="38"/>
      <c r="F129" s="22" t="s">
        <v>287</v>
      </c>
      <c r="G129" s="26" t="s">
        <v>288</v>
      </c>
      <c r="H129" s="110">
        <v>0.0024</v>
      </c>
      <c r="I129" s="50" t="s">
        <v>289</v>
      </c>
      <c r="J129" s="26" t="s">
        <v>290</v>
      </c>
      <c r="K129" s="38" t="s">
        <v>291</v>
      </c>
      <c r="L129" s="41" t="s">
        <v>28</v>
      </c>
      <c r="M129" s="28" t="s">
        <v>14</v>
      </c>
      <c r="N129" s="29" t="s">
        <v>292</v>
      </c>
      <c r="O129" s="1683">
        <v>0</v>
      </c>
      <c r="P129" s="31">
        <v>46203</v>
      </c>
      <c r="Q129" s="31" t="inlineStr">
        <is>
          <t>2026-07-03 08:55</t>
        </is>
      </c>
      <c r="R129" s="1639">
        <v>-9</v>
      </c>
      <c r="S129" s="1654" t="inlineStr">
        <is>
          <t>-</t>
        </is>
      </c>
      <c r="T129" s="1639">
        <v>-3</v>
      </c>
      <c r="U129" s="104"/>
      <c r="V129" s="36" t="inlineStr">
        <is>
          <t>近期总体震荡，最新较上期回落，SLF仅净投放9亿，虽环比转正但规模很小，应急压力有限。</t>
        </is>
      </c>
    </row>
    <row r="130" ht="82.5" customHeight="1">
      <c r="A130" s="19"/>
      <c r="B130" s="19"/>
      <c r="C130" s="37"/>
      <c r="D130" s="20"/>
      <c r="E130" s="38"/>
      <c r="F130" s="22" t="s">
        <v>293</v>
      </c>
      <c r="G130" s="26" t="s">
        <v>294</v>
      </c>
      <c r="H130" s="111">
        <v>0.00479999999999999</v>
      </c>
      <c r="I130" s="50" t="s">
        <v>295</v>
      </c>
      <c r="J130" s="26" t="s">
        <v>296</v>
      </c>
      <c r="K130" s="38" t="s">
        <v>297</v>
      </c>
      <c r="L130" s="41" t="s">
        <v>28</v>
      </c>
      <c r="M130" s="28" t="s">
        <v>14</v>
      </c>
      <c r="N130" s="29" t="s">
        <v>298</v>
      </c>
      <c r="O130" s="1684">
        <v>2000</v>
      </c>
      <c r="P130" s="31">
        <v>46203</v>
      </c>
      <c r="Q130" s="31" t="inlineStr">
        <is>
          <t>2026-07-03 08:55</t>
        </is>
      </c>
      <c r="R130" s="1685">
        <v>1000</v>
      </c>
      <c r="S130" s="1654" t="inlineStr">
        <is>
          <t>-</t>
        </is>
      </c>
      <c r="T130" s="1639">
        <v>820</v>
      </c>
      <c r="U130" s="104"/>
      <c r="V130" s="36" t="inlineStr">
        <is>
          <t>近期整体下行，最新较上期回升，MLF净投放1000亿、环比多3000亿，边际宽松但同比仍少投放。</t>
        </is>
      </c>
    </row>
    <row r="131" ht="82.5" customHeight="1">
      <c r="A131" s="19"/>
      <c r="B131" s="19"/>
      <c r="C131" s="37"/>
      <c r="D131" s="20"/>
      <c r="E131" s="38"/>
      <c r="F131" s="22" t="s">
        <v>299</v>
      </c>
      <c r="G131" s="26" t="s">
        <v>300</v>
      </c>
      <c r="H131" s="113">
        <v>0.0014</v>
      </c>
      <c r="I131" s="50" t="s">
        <v>301</v>
      </c>
      <c r="J131" s="26" t="s">
        <v>302</v>
      </c>
      <c r="K131" s="38" t="s">
        <v>303</v>
      </c>
      <c r="L131" s="41" t="s">
        <v>28</v>
      </c>
      <c r="M131" s="28" t="s">
        <v>14</v>
      </c>
      <c r="N131" s="29" t="s">
        <v>304</v>
      </c>
      <c r="O131" s="1639">
        <v>-500</v>
      </c>
      <c r="P131" s="31">
        <v>46203</v>
      </c>
      <c r="Q131" s="31" t="inlineStr">
        <is>
          <t>2026-07-03 08:55</t>
        </is>
      </c>
      <c r="R131" s="1686">
        <v>1045</v>
      </c>
      <c r="S131" s="1654" t="inlineStr">
        <is>
          <t>-</t>
        </is>
      </c>
      <c r="T131" s="1687">
        <v>2500</v>
      </c>
      <c r="U131" s="104"/>
      <c r="V131" s="36" t="inlineStr">
        <is>
          <t>近期总体震荡，最新较上期回升，PSL仍净回笼1545亿，回笼幅度收窄但结构支持仍偏弱。</t>
        </is>
      </c>
    </row>
    <row r="132" ht="99.75" customHeight="1">
      <c r="A132" s="19"/>
      <c r="B132" s="19"/>
      <c r="C132" s="37"/>
      <c r="D132" s="20"/>
      <c r="E132" s="38"/>
      <c r="F132" s="22" t="s">
        <v>305</v>
      </c>
      <c r="G132" s="26" t="s">
        <v>306</v>
      </c>
      <c r="H132" s="113">
        <v>0.0014</v>
      </c>
      <c r="I132" s="50" t="s">
        <v>307</v>
      </c>
      <c r="J132" s="26" t="s">
        <v>308</v>
      </c>
      <c r="K132" s="38" t="s">
        <v>309</v>
      </c>
      <c r="L132" s="41" t="s">
        <v>28</v>
      </c>
      <c r="M132" s="28" t="s">
        <v>14</v>
      </c>
      <c r="N132" s="29" t="s">
        <v>310</v>
      </c>
      <c r="O132" s="1688">
        <v>-1372</v>
      </c>
      <c r="P132" s="31">
        <v>46203</v>
      </c>
      <c r="Q132" s="31" t="inlineStr">
        <is>
          <t>2026-07-03 08:55</t>
        </is>
      </c>
      <c r="R132" s="1689">
        <v>-2501</v>
      </c>
      <c r="S132" s="1654" t="inlineStr">
        <is>
          <t>-</t>
        </is>
      </c>
      <c r="T132" s="1639">
        <v>-3390</v>
      </c>
      <c r="U132" s="104"/>
      <c r="V132" s="36" t="inlineStr">
        <is>
          <t>近期整体上行，最新较上期回落，其他工具净投放1129亿但环比少2538亿，结构支持边际放缓。</t>
        </is>
      </c>
    </row>
    <row r="133" s="2" customFormat="1" ht="72.75" customHeight="1">
      <c r="A133" s="19"/>
      <c r="B133" s="19"/>
      <c r="C133" s="37"/>
      <c r="D133" s="20"/>
      <c r="E133" s="72" t="s">
        <v>311</v>
      </c>
      <c r="F133" s="22" t="s">
        <v>312</v>
      </c>
      <c r="G133" s="26" t="s">
        <v>313</v>
      </c>
      <c r="H133" s="114">
        <v>0.0144</v>
      </c>
      <c r="I133" s="50" t="s">
        <v>314</v>
      </c>
      <c r="J133" s="115" t="s">
        <v>315</v>
      </c>
      <c r="K133" s="115" t="s">
        <v>316</v>
      </c>
      <c r="L133" s="116" t="s">
        <v>181</v>
      </c>
      <c r="M133" s="28" t="s">
        <v>14</v>
      </c>
      <c r="N133" s="117" t="s">
        <v>317</v>
      </c>
      <c r="O133" s="1690">
        <v>0.013608</v>
      </c>
      <c r="P133" s="31">
        <v>46206</v>
      </c>
      <c r="Q133" s="31" t="inlineStr">
        <is>
          <t>2026-07-06 10:56</t>
        </is>
      </c>
      <c r="R133" s="1691">
        <v>-0.00044</v>
      </c>
      <c r="S133" s="1692">
        <v>0.0348288973384</v>
      </c>
      <c r="T133" s="1693">
        <v>0.000458</v>
      </c>
      <c r="U133" s="104"/>
      <c r="V133" s="36" t="inlineStr">
        <is>
          <t>近期整体下行，最新较上期回落，DR001为1.3939%，低于7天逆回购1.40%，隔夜资金偏宽松。</t>
        </is>
      </c>
    </row>
    <row r="134" s="2" customFormat="1" ht="96" customHeight="1">
      <c r="A134" s="19"/>
      <c r="B134" s="19"/>
      <c r="C134" s="37"/>
      <c r="D134" s="20"/>
      <c r="E134" s="38"/>
      <c r="F134" s="22" t="s">
        <v>318</v>
      </c>
      <c r="G134" s="39" t="s">
        <v>319</v>
      </c>
      <c r="H134" s="121">
        <v>0.03</v>
      </c>
      <c r="I134" s="50" t="s">
        <v>320</v>
      </c>
      <c r="J134" s="115" t="s">
        <v>321</v>
      </c>
      <c r="K134" s="115" t="s">
        <v>322</v>
      </c>
      <c r="L134" s="116" t="s">
        <v>181</v>
      </c>
      <c r="M134" s="28" t="s">
        <v>14</v>
      </c>
      <c r="N134" s="117" t="s">
        <v>323</v>
      </c>
      <c r="O134" s="1694">
        <v>0.013924</v>
      </c>
      <c r="P134" s="31">
        <v>46206</v>
      </c>
      <c r="Q134" s="31" t="inlineStr">
        <is>
          <t>2026-07-06 10:56</t>
        </is>
      </c>
      <c r="R134" s="1695">
        <v>-0.000354</v>
      </c>
      <c r="S134" s="1696">
        <v>-0.0511108082322</v>
      </c>
      <c r="T134" s="1697">
        <v>-0.00075</v>
      </c>
      <c r="U134" s="104"/>
      <c r="V134" s="36" t="inlineStr">
        <is>
          <t>近期整体下行，最新较上期回落，DR007为1.4671%，较7天逆回购高约6.7bp，资金价格继续高于政策利率，边际收敛延续。</t>
        </is>
      </c>
    </row>
    <row r="135" s="2" customFormat="1" ht="69" customHeight="1">
      <c r="A135" s="19"/>
      <c r="B135" s="19"/>
      <c r="C135" s="37"/>
      <c r="D135" s="20"/>
      <c r="E135" s="38"/>
      <c r="F135" s="22" t="s">
        <v>324</v>
      </c>
      <c r="G135" s="26" t="s">
        <v>325</v>
      </c>
      <c r="H135" s="124">
        <v>0.0072</v>
      </c>
      <c r="I135" s="50" t="s">
        <v>326</v>
      </c>
      <c r="J135" s="115" t="s">
        <v>327</v>
      </c>
      <c r="K135" s="115" t="s">
        <v>328</v>
      </c>
      <c r="L135" s="116" t="s">
        <v>181</v>
      </c>
      <c r="M135" s="28" t="s">
        <v>14</v>
      </c>
      <c r="N135" s="117" t="s">
        <v>329</v>
      </c>
      <c r="O135" s="1698">
        <v>0.013861</v>
      </c>
      <c r="P135" s="31">
        <v>46206</v>
      </c>
      <c r="Q135" s="31" t="inlineStr">
        <is>
          <t>2026-07-06 10:56</t>
        </is>
      </c>
      <c r="R135" s="1699">
        <v>-0.000503</v>
      </c>
      <c r="S135" s="1700">
        <v>0.0107189733119</v>
      </c>
      <c r="T135" s="1701">
        <v>0.000147</v>
      </c>
      <c r="U135" s="104"/>
      <c r="V135" s="36" t="inlineStr">
        <is>
          <t>近期整体下行，最新较上期回落，R001与DR001利差约2.7bp，非银隔夜融资分层不明显。</t>
        </is>
      </c>
    </row>
    <row r="136" s="2" customFormat="1" ht="69" customHeight="1">
      <c r="A136" s="19"/>
      <c r="B136" s="19"/>
      <c r="C136" s="37"/>
      <c r="D136" s="20"/>
      <c r="E136" s="38"/>
      <c r="F136" s="22" t="s">
        <v>330</v>
      </c>
      <c r="G136" s="26" t="s">
        <v>331</v>
      </c>
      <c r="H136" s="127">
        <v>0.0084</v>
      </c>
      <c r="I136" s="50" t="s">
        <v>332</v>
      </c>
      <c r="J136" s="115" t="s">
        <v>333</v>
      </c>
      <c r="K136" s="38" t="s">
        <v>334</v>
      </c>
      <c r="L136" s="116" t="s">
        <v>181</v>
      </c>
      <c r="M136" s="28" t="s">
        <v>14</v>
      </c>
      <c r="N136" s="117" t="s">
        <v>335</v>
      </c>
      <c r="O136" s="1702">
        <v>0.014225</v>
      </c>
      <c r="P136" s="31">
        <v>46206</v>
      </c>
      <c r="Q136" s="31" t="inlineStr">
        <is>
          <t>2026-07-06 10:56</t>
        </is>
      </c>
      <c r="R136" s="1703">
        <v>-0.000612</v>
      </c>
      <c r="S136" s="1704">
        <v>-0.0622940013184</v>
      </c>
      <c r="T136" s="1705">
        <v>-0.000945</v>
      </c>
      <c r="U136" s="104"/>
      <c r="V136" s="36" t="inlineStr">
        <is>
          <t>近期总体震荡，最新较上期回落，R007与DR007几乎持平，非银7天资金传导顺畅。</t>
        </is>
      </c>
    </row>
    <row r="137" ht="79.5" customHeight="1">
      <c r="A137" s="19"/>
      <c r="B137" s="19"/>
      <c r="C137" s="37"/>
      <c r="D137" s="20"/>
      <c r="E137" s="38"/>
      <c r="F137" s="22" t="s">
        <v>336</v>
      </c>
      <c r="G137" s="26" t="s">
        <v>337</v>
      </c>
      <c r="H137" s="95">
        <v>0.012</v>
      </c>
      <c r="I137" s="76" t="s">
        <v>338</v>
      </c>
      <c r="J137" s="115" t="s">
        <v>339</v>
      </c>
      <c r="K137" s="115" t="s">
        <v>340</v>
      </c>
      <c r="L137" s="27" t="s">
        <v>181</v>
      </c>
      <c r="M137" s="28" t="s">
        <v>14</v>
      </c>
      <c r="N137" s="29" t="s">
        <v>341</v>
      </c>
      <c r="O137" s="1706">
        <v>0.01435</v>
      </c>
      <c r="P137" s="31">
        <v>46206</v>
      </c>
      <c r="Q137" s="31" t="inlineStr">
        <is>
          <t>2026-07-06 10:56</t>
        </is>
      </c>
      <c r="R137" s="1707">
        <v>-2e-05</v>
      </c>
      <c r="S137" s="1638">
        <v>-0.106475716065</v>
      </c>
      <c r="T137" s="1708">
        <v>-0.00171</v>
      </c>
      <c r="U137" s="104"/>
      <c r="V137" s="36" t="inlineStr">
        <is>
          <t>近期总体震荡，最新较上期回落，3MShibor低位微升0.6bp，中期资金价格边际收敛但整体不紧。</t>
        </is>
      </c>
    </row>
    <row r="138" ht="79.5" customHeight="1">
      <c r="A138" s="19"/>
      <c r="B138" s="19"/>
      <c r="C138" s="37"/>
      <c r="D138" s="20"/>
      <c r="E138" s="72" t="s">
        <v>342</v>
      </c>
      <c r="F138" s="22" t="s">
        <v>343</v>
      </c>
      <c r="G138" s="23" t="s">
        <v>344</v>
      </c>
      <c r="H138" s="132">
        <v>0.072</v>
      </c>
      <c r="I138" s="76" t="s">
        <v>345</v>
      </c>
      <c r="J138" s="45" t="s">
        <v>346</v>
      </c>
      <c r="K138" s="26" t="s">
        <v>347</v>
      </c>
      <c r="L138" s="27" t="s">
        <v>28</v>
      </c>
      <c r="M138" s="28" t="s">
        <v>16</v>
      </c>
      <c r="N138" s="29" t="s">
        <v>348</v>
      </c>
      <c r="O138" s="1709">
        <v>20264</v>
      </c>
      <c r="P138" s="31">
        <v>46173</v>
      </c>
      <c r="Q138" s="31" t="inlineStr">
        <is>
          <t xml:space="preserve">2026-07-02 09:15</t>
        </is>
      </c>
      <c r="R138" s="1639">
        <v>14026</v>
      </c>
      <c r="S138" s="1638">
        <v>-0.115109170306</v>
      </c>
      <c r="T138" s="1639">
        <v>-2636</v>
      </c>
      <c r="U138" s="104"/>
      <c r="V138" s="36" t="inlineStr">
        <is>
          <t>近期总体震荡，最新较上期回升，社融2.03万亿元且同比少增2636亿元，较上月明显修复但仍低于去年同期。</t>
        </is>
      </c>
    </row>
    <row r="139" ht="79.5" customHeight="1">
      <c r="A139" s="19"/>
      <c r="B139" s="19"/>
      <c r="C139" s="37"/>
      <c r="D139" s="20"/>
      <c r="E139" s="72"/>
      <c r="F139" s="22" t="s">
        <v>349</v>
      </c>
      <c r="G139" s="23" t="s">
        <v>350</v>
      </c>
      <c r="H139" s="134">
        <v>0.06</v>
      </c>
      <c r="I139" s="76" t="s">
        <v>351</v>
      </c>
      <c r="J139" s="45" t="s">
        <v>352</v>
      </c>
      <c r="K139" s="26" t="s">
        <v>353</v>
      </c>
      <c r="L139" s="27" t="s">
        <v>28</v>
      </c>
      <c r="M139" s="28" t="s">
        <v>16</v>
      </c>
      <c r="N139" s="29" t="s">
        <v>354</v>
      </c>
      <c r="O139" s="1636">
        <v>4965</v>
      </c>
      <c r="P139" s="31">
        <v>46173</v>
      </c>
      <c r="Q139" s="31" t="inlineStr">
        <is>
          <t xml:space="preserve">2026-07-02 09:15</t>
        </is>
      </c>
      <c r="R139" s="1639">
        <v>8971</v>
      </c>
      <c r="S139" s="1638">
        <v>-0.16174236029</v>
      </c>
      <c r="T139" s="1639">
        <v>-958</v>
      </c>
      <c r="U139" s="104"/>
      <c r="V139" s="36" t="inlineStr">
        <is>
          <t>近期总体震荡，最新较上期回升，新增人民币贷款4965亿元且同比少增958亿元，信贷较上月修复但仍低于去年同期。</t>
        </is>
      </c>
    </row>
    <row r="140" ht="79.5" customHeight="1">
      <c r="A140" s="19"/>
      <c r="B140" s="19"/>
      <c r="C140" s="37"/>
      <c r="D140" s="20"/>
      <c r="E140" s="72"/>
      <c r="F140" s="22" t="s">
        <v>355</v>
      </c>
      <c r="G140" s="23" t="s">
        <v>356</v>
      </c>
      <c r="H140" s="101">
        <v>0.036</v>
      </c>
      <c r="I140" s="76" t="s">
        <v>357</v>
      </c>
      <c r="J140" s="45" t="s">
        <v>358</v>
      </c>
      <c r="K140" s="26" t="s">
        <v>359</v>
      </c>
      <c r="L140" s="27" t="s">
        <v>28</v>
      </c>
      <c r="M140" s="28" t="s">
        <v>16</v>
      </c>
      <c r="N140" s="29" t="s">
        <v>360</v>
      </c>
      <c r="O140" s="1639">
        <v>12236</v>
      </c>
      <c r="P140" s="31">
        <v>46173</v>
      </c>
      <c r="Q140" s="31" t="inlineStr">
        <is>
          <t xml:space="preserve">2026-07-02 09:15</t>
        </is>
      </c>
      <c r="R140" s="1639">
        <v>3195</v>
      </c>
      <c r="S140" s="1638">
        <v>-0.161055879328</v>
      </c>
      <c r="T140" s="1639">
        <v>-2349</v>
      </c>
      <c r="U140" s="35"/>
      <c r="V140" s="36" t="inlineStr">
        <is>
          <t>近期总体震荡，最新较上期回升，政府债融资1.22万亿元、较上月增加3195亿元，政府债供给边际增加。</t>
        </is>
      </c>
    </row>
    <row r="141" ht="69" customHeight="1">
      <c r="A141" s="19"/>
      <c r="B141" s="19"/>
      <c r="C141" s="37"/>
      <c r="D141" s="20"/>
      <c r="E141" s="72"/>
      <c r="F141" s="22" t="s">
        <v>361</v>
      </c>
      <c r="G141" s="45" t="s">
        <v>362</v>
      </c>
      <c r="H141" s="114">
        <v>0.0144</v>
      </c>
      <c r="I141" s="76" t="s">
        <v>363</v>
      </c>
      <c r="J141" s="45" t="s">
        <v>364</v>
      </c>
      <c r="K141" s="26" t="s">
        <v>365</v>
      </c>
      <c r="L141" s="27" t="s">
        <v>28</v>
      </c>
      <c r="M141" s="28" t="s">
        <v>16</v>
      </c>
      <c r="N141" s="29" t="s">
        <v>366</v>
      </c>
      <c r="O141" s="1639">
        <v>-685</v>
      </c>
      <c r="P141" s="31">
        <v>46173</v>
      </c>
      <c r="Q141" s="31" t="inlineStr">
        <is>
          <t xml:space="preserve">2026-07-02 09:15</t>
        </is>
      </c>
      <c r="R141" s="1639">
        <v>4599</v>
      </c>
      <c r="S141" s="1652">
        <v>0.411512027491</v>
      </c>
      <c r="T141" s="1639">
        <v>479</v>
      </c>
      <c r="U141" s="35"/>
      <c r="V141" s="36" t="inlineStr">
        <is>
          <t>近期整体下行，最新较上期回升，票据融资-5284亿且同比少增2490亿，银行冲量因素减弱。</t>
        </is>
      </c>
    </row>
    <row r="142" ht="106.5" customHeight="1">
      <c r="A142" s="19"/>
      <c r="B142" s="19"/>
      <c r="C142" s="37"/>
      <c r="D142" s="20"/>
      <c r="E142" s="72"/>
      <c r="F142" s="22" t="s">
        <v>367</v>
      </c>
      <c r="G142" s="45" t="s">
        <v>368</v>
      </c>
      <c r="H142" s="135">
        <v>0.0168</v>
      </c>
      <c r="I142" s="76" t="s">
        <v>369</v>
      </c>
      <c r="J142" s="45" t="s">
        <v>370</v>
      </c>
      <c r="K142" s="26" t="s">
        <v>371</v>
      </c>
      <c r="L142" s="27" t="s">
        <v>28</v>
      </c>
      <c r="M142" s="28" t="s">
        <v>16</v>
      </c>
      <c r="N142" s="29" t="s">
        <v>372</v>
      </c>
      <c r="O142" s="1639">
        <v>1680</v>
      </c>
      <c r="P142" s="31">
        <v>46173</v>
      </c>
      <c r="Q142" s="31" t="inlineStr">
        <is>
          <t xml:space="preserve">2026-07-02 09:15</t>
        </is>
      </c>
      <c r="R142" s="1710">
        <v>-2840</v>
      </c>
      <c r="S142" s="1638">
        <v>0.122994652406</v>
      </c>
      <c r="T142" s="1639">
        <v>184</v>
      </c>
      <c r="U142" s="35"/>
      <c r="V142" s="36" t="inlineStr">
        <is>
          <t>近期整体上行，最新较上期回落，企业债融资1680亿元、较上月减少2840亿元，信用债供给边际回落。</t>
        </is>
      </c>
    </row>
    <row r="143" ht="106.5" customHeight="1">
      <c r="A143" s="19"/>
      <c r="B143" s="19"/>
      <c r="C143" s="37"/>
      <c r="D143" s="20"/>
      <c r="E143" s="72"/>
      <c r="F143" s="22" t="s">
        <v>373</v>
      </c>
      <c r="G143" s="23" t="s">
        <v>374</v>
      </c>
      <c r="H143" s="137">
        <v>0.042</v>
      </c>
      <c r="I143" s="76" t="s">
        <v>375</v>
      </c>
      <c r="J143" s="45" t="s">
        <v>376</v>
      </c>
      <c r="K143" s="26" t="s">
        <v>377</v>
      </c>
      <c r="L143" s="27" t="s">
        <v>28</v>
      </c>
      <c r="M143" s="28" t="s">
        <v>15</v>
      </c>
      <c r="N143" s="29" t="s">
        <v>378</v>
      </c>
      <c r="O143" s="1638">
        <v>0.055</v>
      </c>
      <c r="P143" s="31">
        <v>46173</v>
      </c>
      <c r="Q143" s="31" t="inlineStr">
        <is>
          <t xml:space="preserve">2026-07-02 09:15</t>
        </is>
      </c>
      <c r="R143" s="1638">
        <v>0.005</v>
      </c>
      <c r="S143" s="1638">
        <v>0.055</v>
      </c>
      <c r="T143" s="1660">
        <v>0.032</v>
      </c>
      <c r="U143" s="35"/>
      <c r="V143" s="36" t="inlineStr">
        <is>
          <t>近期总体震荡，最新较上期回升，M1为5.0%且同比改善，但仍低于M2的8.6%，资金活化修复不充分。</t>
        </is>
      </c>
    </row>
    <row r="144" ht="114" customHeight="1">
      <c r="A144" s="19"/>
      <c r="B144" s="19"/>
      <c r="C144" s="37"/>
      <c r="D144" s="20"/>
      <c r="E144" s="72"/>
      <c r="F144" s="22" t="s">
        <v>379</v>
      </c>
      <c r="G144" s="23" t="s">
        <v>380</v>
      </c>
      <c r="H144" s="138">
        <v>0.0228</v>
      </c>
      <c r="I144" s="76" t="s">
        <v>381</v>
      </c>
      <c r="J144" s="45" t="s">
        <v>382</v>
      </c>
      <c r="K144" s="26" t="s">
        <v>383</v>
      </c>
      <c r="L144" s="27" t="s">
        <v>28</v>
      </c>
      <c r="M144" s="28" t="s">
        <v>15</v>
      </c>
      <c r="N144" s="29" t="s">
        <v>384</v>
      </c>
      <c r="O144" s="1638">
        <v>0.086</v>
      </c>
      <c r="P144" s="31">
        <v>46173</v>
      </c>
      <c r="Q144" s="31" t="inlineStr">
        <is>
          <t xml:space="preserve">2026-07-02 09:15</t>
        </is>
      </c>
      <c r="R144" s="1638">
        <v>0</v>
      </c>
      <c r="S144" s="1638">
        <v>0.086</v>
      </c>
      <c r="T144" s="1652">
        <v>0.007</v>
      </c>
      <c r="U144" s="35"/>
      <c r="V144" s="36" t="inlineStr">
        <is>
          <t>近期总体震荡，最新较上期持平，M2为8.6%、环比小升0.1pct，总量流动性平稳偏宽。</t>
        </is>
      </c>
    </row>
    <row r="145" ht="114" customHeight="1">
      <c r="A145" s="19"/>
      <c r="B145" s="19"/>
      <c r="C145" s="37"/>
      <c r="D145" s="20"/>
      <c r="E145" s="72"/>
      <c r="F145" s="22" t="s">
        <v>385</v>
      </c>
      <c r="G145" s="45" t="s">
        <v>386</v>
      </c>
      <c r="H145" s="95">
        <v>0.012</v>
      </c>
      <c r="I145" s="76" t="s">
        <v>387</v>
      </c>
      <c r="J145" s="45" t="s">
        <v>388</v>
      </c>
      <c r="K145" s="45" t="s">
        <v>389</v>
      </c>
      <c r="L145" s="27" t="s">
        <v>41</v>
      </c>
      <c r="M145" s="28" t="s">
        <v>16</v>
      </c>
      <c r="N145" s="29" t="s">
        <v>390</v>
      </c>
      <c r="O145" s="1641">
        <v>0.59</v>
      </c>
      <c r="P145" s="31">
        <v>46112</v>
      </c>
      <c r="Q145" s="31" t="inlineStr">
        <is>
          <t xml:space="preserve">2026-07-02 09:15</t>
        </is>
      </c>
      <c r="R145" s="1638">
        <v>-0.004</v>
      </c>
      <c r="S145" s="1654" t="inlineStr">
        <is>
          <t>-</t>
        </is>
      </c>
      <c r="T145" s="1638">
        <v>-0.025</v>
      </c>
      <c r="U145" s="35"/>
      <c r="V145" s="36" t="inlineStr">
        <is>
          <t>近期整体下行，最新较上期回落，居民杠杆率59.0%、同比降2.5pct，居民信用扩张仍谨慎。</t>
        </is>
      </c>
    </row>
    <row r="146" ht="114" customHeight="1">
      <c r="A146" s="19"/>
      <c r="B146" s="19"/>
      <c r="C146" s="37"/>
      <c r="D146" s="20"/>
      <c r="E146" s="72"/>
      <c r="F146" s="22" t="s">
        <v>391</v>
      </c>
      <c r="G146" s="45" t="s">
        <v>392</v>
      </c>
      <c r="H146" s="66">
        <v>0.014</v>
      </c>
      <c r="I146" s="76" t="s">
        <v>393</v>
      </c>
      <c r="J146" s="45" t="s">
        <v>394</v>
      </c>
      <c r="K146" s="45" t="s">
        <v>395</v>
      </c>
      <c r="L146" s="27" t="s">
        <v>41</v>
      </c>
      <c r="M146" s="28" t="s">
        <v>16</v>
      </c>
      <c r="N146" s="29" t="s">
        <v>396</v>
      </c>
      <c r="O146" s="1642">
        <v>0.703</v>
      </c>
      <c r="P146" s="31">
        <v>46112</v>
      </c>
      <c r="Q146" s="31" t="inlineStr">
        <is>
          <t xml:space="preserve">2026-07-02 09:15</t>
        </is>
      </c>
      <c r="R146" s="1638">
        <v>0.019</v>
      </c>
      <c r="S146" s="1654" t="inlineStr">
        <is>
          <t>-</t>
        </is>
      </c>
      <c r="T146" s="1638">
        <v>0.071</v>
      </c>
      <c r="U146" s="35"/>
      <c r="V146" s="36" t="inlineStr">
        <is>
          <t>近期整体上行，最新较上期回升，政府杠杆率70.3%、同比升7.1pct，财政加杠杆明显。</t>
        </is>
      </c>
    </row>
    <row r="147" ht="114" customHeight="1">
      <c r="A147" s="19"/>
      <c r="B147" s="19"/>
      <c r="C147" s="37"/>
      <c r="D147" s="20"/>
      <c r="E147" s="72"/>
      <c r="F147" s="22" t="s">
        <v>397</v>
      </c>
      <c r="G147" s="45" t="s">
        <v>398</v>
      </c>
      <c r="H147" s="56">
        <v>0.018</v>
      </c>
      <c r="I147" s="76" t="s">
        <v>399</v>
      </c>
      <c r="J147" s="45" t="s">
        <v>400</v>
      </c>
      <c r="K147" s="45" t="s">
        <v>401</v>
      </c>
      <c r="L147" s="27" t="s">
        <v>41</v>
      </c>
      <c r="M147" s="28" t="s">
        <v>16</v>
      </c>
      <c r="N147" s="29" t="s">
        <v>402</v>
      </c>
      <c r="O147" s="1642">
        <v>1.8</v>
      </c>
      <c r="P147" s="31">
        <v>46112</v>
      </c>
      <c r="Q147" s="31" t="inlineStr">
        <is>
          <t xml:space="preserve">2026-07-02 09:15</t>
        </is>
      </c>
      <c r="R147" s="1638">
        <v>0.054</v>
      </c>
      <c r="S147" s="1654" t="inlineStr">
        <is>
          <t>-</t>
        </is>
      </c>
      <c r="T147" s="1638">
        <v>0.063</v>
      </c>
      <c r="U147" s="35"/>
      <c r="V147" s="36" t="inlineStr">
        <is>
          <t>近期整体上行，最新较上期回升，企业杠杆率180.0%、同比升6.3pct，融资扩张伴随债务压力。</t>
        </is>
      </c>
    </row>
    <row r="148" ht="105" customHeight="1">
      <c r="A148" s="19"/>
      <c r="B148" s="19"/>
      <c r="C148" s="37"/>
      <c r="D148" s="20"/>
      <c r="E148" s="72"/>
      <c r="F148" s="22" t="s">
        <v>403</v>
      </c>
      <c r="G148" s="45" t="s">
        <v>404</v>
      </c>
      <c r="H148" s="56">
        <v>0.018</v>
      </c>
      <c r="I148" s="76" t="s">
        <v>405</v>
      </c>
      <c r="J148" s="45" t="s">
        <v>406</v>
      </c>
      <c r="K148" s="45" t="s">
        <v>407</v>
      </c>
      <c r="L148" s="27" t="s">
        <v>28</v>
      </c>
      <c r="M148" s="28" t="s">
        <v>14</v>
      </c>
      <c r="N148" s="29" t="s">
        <v>408</v>
      </c>
      <c r="O148" s="1638">
        <v>0.03</v>
      </c>
      <c r="P148" s="31">
        <v>46195</v>
      </c>
      <c r="Q148" s="31" t="inlineStr">
        <is>
          <t xml:space="preserve">2026-07-02 09:15</t>
        </is>
      </c>
      <c r="R148" s="1638">
        <v>0</v>
      </c>
      <c r="S148" s="1654" t="inlineStr">
        <is>
          <t>-</t>
        </is>
      </c>
      <c r="T148" s="1638">
        <v>0</v>
      </c>
      <c r="U148" s="35"/>
      <c r="V148" s="36" t="inlineStr">
        <is>
          <t>近期总体震荡，最新较上期持平，1年LPR为3.00%且持平，贷款定价未进一步宽松。</t>
        </is>
      </c>
    </row>
    <row r="149" ht="79.5" customHeight="1">
      <c r="A149" s="19"/>
      <c r="B149" s="19"/>
      <c r="C149" s="157" t="s">
        <v>557</v>
      </c>
      <c r="D149" s="20" t="s">
        <v>558</v>
      </c>
      <c r="E149" s="72" t="s">
        <v>559</v>
      </c>
      <c r="F149" s="22" t="s">
        <v>560</v>
      </c>
      <c r="G149" s="23" t="s">
        <v>344</v>
      </c>
      <c r="H149" s="132">
        <v>0.08</v>
      </c>
      <c r="I149" s="76" t="s">
        <v>561</v>
      </c>
      <c r="J149" s="45" t="s">
        <v>562</v>
      </c>
      <c r="K149" s="26" t="s">
        <v>563</v>
      </c>
      <c r="L149" s="27" t="s">
        <v>28</v>
      </c>
      <c r="M149" s="28" t="s">
        <v>16</v>
      </c>
      <c r="N149" s="29" t="s">
        <v>348</v>
      </c>
      <c r="O149" s="1709">
        <v>20264</v>
      </c>
      <c r="P149" s="31">
        <v>46173</v>
      </c>
      <c r="Q149" s="31" t="inlineStr">
        <is>
          <t xml:space="preserve">2026-07-02 09:15</t>
        </is>
      </c>
      <c r="R149" s="1639">
        <v>14026</v>
      </c>
      <c r="S149" s="1638">
        <v>-0.115109170306</v>
      </c>
      <c r="T149" s="1639">
        <v>-2636</v>
      </c>
      <c r="U149" s="104"/>
      <c r="V149" s="36" t="inlineStr">
        <is>
          <t>近期总体震荡，最新较上期回升，社融6245亿且同比少增5354亿，实体融资需求偏弱，对债市配置需求形成支撑。</t>
        </is>
      </c>
    </row>
    <row r="150" ht="79.5" customHeight="1">
      <c r="A150" s="19"/>
      <c r="B150" s="19"/>
      <c r="C150" s="157"/>
      <c r="D150" s="20"/>
      <c r="E150" s="72" t="s">
        <v>559</v>
      </c>
      <c r="F150" s="22" t="s">
        <v>564</v>
      </c>
      <c r="G150" s="23" t="s">
        <v>350</v>
      </c>
      <c r="H150" s="132">
        <v>0.08</v>
      </c>
      <c r="I150" s="76" t="s">
        <v>565</v>
      </c>
      <c r="J150" s="45" t="s">
        <v>566</v>
      </c>
      <c r="K150" s="26" t="s">
        <v>567</v>
      </c>
      <c r="L150" s="27" t="s">
        <v>28</v>
      </c>
      <c r="M150" s="28" t="s">
        <v>16</v>
      </c>
      <c r="N150" s="29" t="s">
        <v>354</v>
      </c>
      <c r="O150" s="1636">
        <v>4965</v>
      </c>
      <c r="P150" s="31">
        <v>46173</v>
      </c>
      <c r="Q150" s="31" t="inlineStr">
        <is>
          <t xml:space="preserve">2026-07-02 09:15</t>
        </is>
      </c>
      <c r="R150" s="1639">
        <v>8971</v>
      </c>
      <c r="S150" s="1638">
        <v>-0.16174236029</v>
      </c>
      <c r="T150" s="1639">
        <v>-958</v>
      </c>
      <c r="U150" s="104"/>
      <c r="V150" s="36" t="inlineStr">
        <is>
          <t>近期总体震荡，最新较上期回升，新增人民币贷款为-4006亿且同比少增4890亿，信贷需求偏弱，利多利率债配置需求。</t>
        </is>
      </c>
    </row>
    <row r="151" ht="79.5" customHeight="1">
      <c r="A151" s="19"/>
      <c r="B151" s="19"/>
      <c r="C151" s="157"/>
      <c r="D151" s="20"/>
      <c r="E151" s="72" t="s">
        <v>568</v>
      </c>
      <c r="F151" s="22" t="s">
        <v>569</v>
      </c>
      <c r="G151" s="23" t="s">
        <v>356</v>
      </c>
      <c r="H151" s="101">
        <v>0.12</v>
      </c>
      <c r="I151" s="76" t="s">
        <v>570</v>
      </c>
      <c r="J151" s="45" t="s">
        <v>571</v>
      </c>
      <c r="K151" s="26" t="s">
        <v>572</v>
      </c>
      <c r="L151" s="27" t="s">
        <v>28</v>
      </c>
      <c r="M151" s="28" t="s">
        <v>16</v>
      </c>
      <c r="N151" s="29" t="s">
        <v>360</v>
      </c>
      <c r="O151" s="1639">
        <v>12236</v>
      </c>
      <c r="P151" s="31">
        <v>46173</v>
      </c>
      <c r="Q151" s="31" t="inlineStr">
        <is>
          <t xml:space="preserve">2026-07-02 09:15</t>
        </is>
      </c>
      <c r="R151" s="1639">
        <v>3195</v>
      </c>
      <c r="S151" s="1638">
        <v>-0.161055879328</v>
      </c>
      <c r="T151" s="1639">
        <v>-2349</v>
      </c>
      <c r="U151" s="35"/>
      <c r="V151" s="36" t="inlineStr">
        <is>
          <t>近期总体震荡，最新较上期回升，政府债融资1.22万亿元、较上月增加3195亿元，利率债供给边际增加。</t>
        </is>
      </c>
    </row>
    <row r="152" ht="69" customHeight="1">
      <c r="A152" s="19"/>
      <c r="B152" s="19"/>
      <c r="C152" s="157"/>
      <c r="D152" s="20"/>
      <c r="E152" s="72" t="s">
        <v>573</v>
      </c>
      <c r="F152" s="22" t="s">
        <v>574</v>
      </c>
      <c r="G152" s="23" t="s">
        <v>362</v>
      </c>
      <c r="H152" s="121">
        <v>0.03</v>
      </c>
      <c r="I152" s="76" t="s">
        <v>575</v>
      </c>
      <c r="J152" s="45" t="s">
        <v>576</v>
      </c>
      <c r="K152" s="26" t="s">
        <v>577</v>
      </c>
      <c r="L152" s="27" t="s">
        <v>28</v>
      </c>
      <c r="M152" s="28" t="s">
        <v>16</v>
      </c>
      <c r="N152" s="29" t="s">
        <v>366</v>
      </c>
      <c r="O152" s="1639">
        <v>-685</v>
      </c>
      <c r="P152" s="31">
        <v>46173</v>
      </c>
      <c r="Q152" s="31" t="inlineStr">
        <is>
          <t xml:space="preserve">2026-07-02 09:15</t>
        </is>
      </c>
      <c r="R152" s="1639">
        <v>4599</v>
      </c>
      <c r="S152" s="1652">
        <v>0.411512027491</v>
      </c>
      <c r="T152" s="1639">
        <v>479</v>
      </c>
      <c r="U152" s="35"/>
      <c r="V152" s="36" t="inlineStr">
        <is>
          <t>近期整体下行，最新较上期回升，票据融资-685亿元、较上月增加4599亿元，真实融资需求仍未明显转强但边际改善。</t>
        </is>
      </c>
    </row>
    <row r="153" ht="106.5" customHeight="1">
      <c r="A153" s="19"/>
      <c r="B153" s="19"/>
      <c r="C153" s="157"/>
      <c r="D153" s="20"/>
      <c r="E153" s="72" t="s">
        <v>578</v>
      </c>
      <c r="F153" s="22" t="s">
        <v>367</v>
      </c>
      <c r="G153" s="23" t="s">
        <v>368</v>
      </c>
      <c r="H153" s="135">
        <v>0.05</v>
      </c>
      <c r="I153" s="76" t="s">
        <v>579</v>
      </c>
      <c r="J153" s="45" t="s">
        <v>580</v>
      </c>
      <c r="K153" s="26" t="s">
        <v>581</v>
      </c>
      <c r="L153" s="27" t="s">
        <v>28</v>
      </c>
      <c r="M153" s="28" t="s">
        <v>16</v>
      </c>
      <c r="N153" s="29" t="s">
        <v>372</v>
      </c>
      <c r="O153" s="1639">
        <v>1680</v>
      </c>
      <c r="P153" s="31">
        <v>46173</v>
      </c>
      <c r="Q153" s="31" t="inlineStr">
        <is>
          <t xml:space="preserve">2026-07-02 09:15</t>
        </is>
      </c>
      <c r="R153" s="1710">
        <v>-2840</v>
      </c>
      <c r="S153" s="1638">
        <v>0.122994652406</v>
      </c>
      <c r="T153" s="1639">
        <v>184</v>
      </c>
      <c r="U153" s="35"/>
      <c r="V153" s="36" t="inlineStr">
        <is>
          <t>近期整体上行，最新较上期回落，企业债融资1680亿元、较上月减少2840亿元，信用债供给边际回落。</t>
        </is>
      </c>
    </row>
    <row r="154" ht="111" customHeight="1">
      <c r="A154" s="152" t="s">
        <v>582</v>
      </c>
      <c r="B154" s="152"/>
      <c r="C154" s="19" t="s">
        <v>583</v>
      </c>
      <c r="D154" s="20" t="s">
        <v>584</v>
      </c>
      <c r="E154" s="72" t="s">
        <v>585</v>
      </c>
      <c r="F154" s="22" t="s">
        <v>586</v>
      </c>
      <c r="G154" s="39" t="s">
        <v>587</v>
      </c>
      <c r="H154" s="158">
        <v>0.025</v>
      </c>
      <c r="I154" s="50" t="s">
        <v>588</v>
      </c>
      <c r="J154" s="26" t="s">
        <v>589</v>
      </c>
      <c r="K154" s="26" t="s">
        <v>137</v>
      </c>
      <c r="L154" s="41" t="s">
        <v>28</v>
      </c>
      <c r="M154" s="28" t="s">
        <v>14</v>
      </c>
      <c r="N154" s="29" t="s">
        <v>590</v>
      </c>
      <c r="O154" s="1723">
        <v>53.3</v>
      </c>
      <c r="P154" s="31">
        <v>46203</v>
      </c>
      <c r="Q154" s="31" t="inlineStr">
        <is>
          <t xml:space="preserve">2026-07-02 09:53</t>
        </is>
      </c>
      <c r="R154" s="1724">
        <v>-0.7</v>
      </c>
      <c r="S154" s="1654" t="inlineStr">
        <is>
          <t>-</t>
        </is>
      </c>
      <c r="T154" s="1670">
        <v>4.3</v>
      </c>
      <c r="U154" s="35"/>
      <c r="V154" s="36" t="inlineStr">
        <is>
          <t>近期整体上行，最新较上期回落，制造业ISM为54.0且上行，制造业扩张增强，但美国经济需求判断更需结合服务业、零售和就业。</t>
        </is>
      </c>
    </row>
    <row r="155" ht="124.5" customHeight="1">
      <c r="A155" s="152"/>
      <c r="B155" s="152"/>
      <c r="C155" s="37"/>
      <c r="D155" s="20"/>
      <c r="E155" s="38"/>
      <c r="F155" s="22" t="s">
        <v>591</v>
      </c>
      <c r="G155" s="39" t="s">
        <v>592</v>
      </c>
      <c r="H155" s="158">
        <v>0.029</v>
      </c>
      <c r="I155" s="50" t="s">
        <v>593</v>
      </c>
      <c r="J155" s="26" t="s">
        <v>594</v>
      </c>
      <c r="K155" s="26" t="s">
        <v>595</v>
      </c>
      <c r="L155" s="41" t="s">
        <v>28</v>
      </c>
      <c r="M155" s="28" t="s">
        <v>14</v>
      </c>
      <c r="N155" s="29" t="s">
        <v>596</v>
      </c>
      <c r="O155" s="1725">
        <v>54.5</v>
      </c>
      <c r="P155" s="31">
        <v>46173</v>
      </c>
      <c r="Q155" s="31" t="inlineStr">
        <is>
          <t xml:space="preserve">2026-07-02 09:15</t>
        </is>
      </c>
      <c r="R155" s="1639">
        <v>0.9</v>
      </c>
      <c r="S155" s="1654" t="inlineStr">
        <is>
          <t>-</t>
        </is>
      </c>
      <c r="T155" s="1726">
        <v>4.6</v>
      </c>
      <c r="U155" s="35"/>
      <c r="V155" s="36" t="inlineStr">
        <is>
          <t>近期整体上行，最新较上期回升，非制造业ISM为54.5且上行，服务业需求韧性较强，是判断美国实际需求的重要证据。</t>
        </is>
      </c>
    </row>
    <row r="156" ht="88.5" customHeight="1">
      <c r="A156" s="152"/>
      <c r="B156" s="152"/>
      <c r="C156" s="37"/>
      <c r="D156" s="20"/>
      <c r="E156" s="38"/>
      <c r="F156" s="22" t="s">
        <v>597</v>
      </c>
      <c r="G156" s="26" t="s">
        <v>598</v>
      </c>
      <c r="H156" s="56">
        <v>0.018</v>
      </c>
      <c r="I156" s="50" t="s">
        <v>599</v>
      </c>
      <c r="J156" s="26" t="s">
        <v>600</v>
      </c>
      <c r="K156" s="26" t="s">
        <v>601</v>
      </c>
      <c r="L156" s="41" t="s">
        <v>28</v>
      </c>
      <c r="M156" s="28" t="s">
        <v>14</v>
      </c>
      <c r="N156" s="29" t="s">
        <v>217</v>
      </c>
      <c r="O156" s="91" t="s">
        <v>217</v>
      </c>
      <c r="P156" s="31" t="s">
        <v>217</v>
      </c>
      <c r="Q156" s="31" t="inlineStr">
        <is>
          <t xml:space="preserve">2026-07-02 09:15</t>
        </is>
      </c>
      <c r="R156" s="92" t="s">
        <v>217</v>
      </c>
      <c r="S156" s="93" t="s">
        <v>218</v>
      </c>
      <c r="T156" s="92" t="s">
        <v>218</v>
      </c>
      <c r="U156" s="35"/>
      <c r="V156" s="52"/>
    </row>
    <row r="157" s="4" customFormat="1" ht="112.5" customHeight="1">
      <c r="A157" s="152"/>
      <c r="B157" s="152"/>
      <c r="C157" s="37"/>
      <c r="D157" s="20"/>
      <c r="E157" s="38"/>
      <c r="F157" s="22" t="s">
        <v>602</v>
      </c>
      <c r="G157" s="26" t="s">
        <v>603</v>
      </c>
      <c r="H157" s="66">
        <v>0.035</v>
      </c>
      <c r="I157" s="50" t="s">
        <v>604</v>
      </c>
      <c r="J157" s="26" t="s">
        <v>605</v>
      </c>
      <c r="K157" s="26" t="s">
        <v>606</v>
      </c>
      <c r="L157" s="41" t="s">
        <v>28</v>
      </c>
      <c r="M157" s="28" t="s">
        <v>14</v>
      </c>
      <c r="N157" s="29" t="s">
        <v>607</v>
      </c>
      <c r="O157" s="1727">
        <v>57</v>
      </c>
      <c r="P157" s="31">
        <v>46203</v>
      </c>
      <c r="Q157" s="31" t="inlineStr">
        <is>
          <t>2026-07-03 08:55</t>
        </is>
      </c>
      <c r="R157" s="1639">
        <v>-115</v>
      </c>
      <c r="S157" s="1728">
        <v>-0.612244897959</v>
      </c>
      <c r="T157" s="1639">
        <v>-90</v>
      </c>
      <c r="U157" s="35"/>
      <c r="V157" s="36" t="inlineStr">
        <is>
          <t>近期整体上行，最新较上期回落，非农新增17.2万人且环比多5.7万，就业仍具韧性，是美国需求和收入支撑的重要硬数据。</t>
        </is>
      </c>
    </row>
    <row r="158" s="4" customFormat="1" ht="112.5" customHeight="1">
      <c r="A158" s="152"/>
      <c r="B158" s="152"/>
      <c r="C158" s="37"/>
      <c r="D158" s="20"/>
      <c r="E158" s="38"/>
      <c r="F158" s="22" t="s">
        <v>608</v>
      </c>
      <c r="G158" s="26" t="s">
        <v>609</v>
      </c>
      <c r="H158" s="56">
        <v>0.014</v>
      </c>
      <c r="I158" s="50" t="s">
        <v>610</v>
      </c>
      <c r="J158" s="26" t="s">
        <v>611</v>
      </c>
      <c r="K158" s="26" t="s">
        <v>612</v>
      </c>
      <c r="L158" s="41" t="s">
        <v>28</v>
      </c>
      <c r="M158" s="28" t="s">
        <v>14</v>
      </c>
      <c r="N158" s="29" t="s">
        <v>613</v>
      </c>
      <c r="O158" s="1729">
        <v>95.3</v>
      </c>
      <c r="P158" s="31">
        <v>46173</v>
      </c>
      <c r="Q158" s="31" t="inlineStr">
        <is>
          <t xml:space="preserve">2026-07-02 09:15</t>
        </is>
      </c>
      <c r="R158" s="1639">
        <v>-0.6</v>
      </c>
      <c r="S158" s="1711">
        <v>-0.0354251012146</v>
      </c>
      <c r="T158" s="1665">
        <v>-3.5</v>
      </c>
      <c r="U158" s="35"/>
      <c r="V158" s="36" t="inlineStr">
        <is>
          <t>近期整体下行，最新较上期回落，中小企业乐观指数95.3且回落，经营预期偏弱，但属于软数据，需与ISM、非农、零售交叉验证。</t>
        </is>
      </c>
    </row>
    <row r="159" s="4" customFormat="1" ht="88.5" customHeight="1">
      <c r="A159" s="152"/>
      <c r="B159" s="152"/>
      <c r="C159" s="37"/>
      <c r="D159" s="20"/>
      <c r="E159" s="38"/>
      <c r="F159" s="22" t="s">
        <v>614</v>
      </c>
      <c r="G159" s="26" t="s">
        <v>615</v>
      </c>
      <c r="H159" s="164">
        <v>0.016</v>
      </c>
      <c r="I159" s="102" t="s">
        <v>616</v>
      </c>
      <c r="J159" s="26" t="s">
        <v>617</v>
      </c>
      <c r="K159" s="26" t="s">
        <v>618</v>
      </c>
      <c r="L159" s="41" t="s">
        <v>28</v>
      </c>
      <c r="M159" s="28" t="s">
        <v>14</v>
      </c>
      <c r="N159" s="29" t="s">
        <v>619</v>
      </c>
      <c r="O159" s="1730">
        <v>0.042</v>
      </c>
      <c r="P159" s="31">
        <v>46203</v>
      </c>
      <c r="Q159" s="31" t="inlineStr">
        <is>
          <t>2026-07-03 08:55</t>
        </is>
      </c>
      <c r="R159" s="1638">
        <v>-0.001</v>
      </c>
      <c r="S159" s="1731">
        <v>0.0243902439024</v>
      </c>
      <c r="T159" s="1732">
        <v>0.001</v>
      </c>
      <c r="U159" s="35"/>
      <c r="V159" s="36" t="inlineStr">
        <is>
          <t>近期总体震荡，最新较上期回落，失业率4.3%持平，劳动力市场稳定但已不算过热。</t>
        </is>
      </c>
    </row>
    <row r="160" s="2" customFormat="1" ht="88.5" customHeight="1">
      <c r="A160" s="152"/>
      <c r="B160" s="152"/>
      <c r="C160" s="37"/>
      <c r="D160" s="20"/>
      <c r="E160" s="38"/>
      <c r="F160" s="22" t="s">
        <v>620</v>
      </c>
      <c r="G160" s="26" t="s">
        <v>621</v>
      </c>
      <c r="H160" s="96">
        <v>0.01</v>
      </c>
      <c r="I160" s="102" t="s">
        <v>622</v>
      </c>
      <c r="J160" s="26" t="s">
        <v>623</v>
      </c>
      <c r="K160" s="26" t="s">
        <v>624</v>
      </c>
      <c r="L160" s="41" t="s">
        <v>28</v>
      </c>
      <c r="M160" s="28" t="s">
        <v>15</v>
      </c>
      <c r="N160" s="103" t="s">
        <v>625</v>
      </c>
      <c r="O160" s="1650">
        <v>0.0163</v>
      </c>
      <c r="P160" s="31">
        <v>46173</v>
      </c>
      <c r="Q160" s="31" t="inlineStr">
        <is>
          <t xml:space="preserve">2026-07-02 09:15</t>
        </is>
      </c>
      <c r="R160" s="1638">
        <v>0.0048</v>
      </c>
      <c r="S160" s="1650">
        <v>0.0163</v>
      </c>
      <c r="T160" s="1660">
        <v>0.016</v>
      </c>
      <c r="U160" s="35"/>
      <c r="V160" s="36" t="inlineStr">
        <is>
          <t>近期整体下行，最新较上期回升，工业生产同比1.15%且改善，供给端温和修复。</t>
        </is>
      </c>
    </row>
    <row r="161" s="4" customFormat="1" ht="88.5" customHeight="1">
      <c r="A161" s="152"/>
      <c r="B161" s="152"/>
      <c r="C161" s="37"/>
      <c r="D161" s="20"/>
      <c r="E161" s="72" t="s">
        <v>626</v>
      </c>
      <c r="F161" s="22" t="s">
        <v>627</v>
      </c>
      <c r="G161" s="26" t="s">
        <v>628</v>
      </c>
      <c r="H161" s="56">
        <v>0.012</v>
      </c>
      <c r="I161" s="50" t="s">
        <v>629</v>
      </c>
      <c r="J161" s="26" t="s">
        <v>630</v>
      </c>
      <c r="K161" s="26" t="s">
        <v>631</v>
      </c>
      <c r="L161" s="41" t="s">
        <v>28</v>
      </c>
      <c r="M161" s="28" t="s">
        <v>14</v>
      </c>
      <c r="N161" s="29" t="s">
        <v>632</v>
      </c>
      <c r="O161" s="1733">
        <v>49.5</v>
      </c>
      <c r="P161" s="31">
        <v>46203</v>
      </c>
      <c r="Q161" s="31" t="inlineStr">
        <is>
          <t xml:space="preserve">2026-07-02 09:15</t>
        </is>
      </c>
      <c r="R161" s="1734">
        <v>4.7</v>
      </c>
      <c r="S161" s="1638">
        <v>-0.184514003295</v>
      </c>
      <c r="T161" s="1665">
        <v>-11.2</v>
      </c>
      <c r="U161" s="35"/>
      <c r="V161" s="36" t="inlineStr">
        <is>
          <t>近期整体下行，最新较上期回升，密歇根消费者信心44.8且大幅回落，说明消费预期降温，但不能单独证明实际需求明显转弱。</t>
        </is>
      </c>
    </row>
    <row r="162" s="4" customFormat="1" ht="88.5" customHeight="1">
      <c r="A162" s="152"/>
      <c r="B162" s="152"/>
      <c r="C162" s="37"/>
      <c r="D162" s="20"/>
      <c r="E162" s="38"/>
      <c r="F162" s="22" t="s">
        <v>633</v>
      </c>
      <c r="G162" s="26" t="s">
        <v>634</v>
      </c>
      <c r="H162" s="95">
        <v>0.006</v>
      </c>
      <c r="I162" s="50" t="s">
        <v>635</v>
      </c>
      <c r="J162" s="26" t="s">
        <v>636</v>
      </c>
      <c r="K162" s="26" t="s">
        <v>637</v>
      </c>
      <c r="L162" s="41" t="s">
        <v>41</v>
      </c>
      <c r="M162" s="28" t="s">
        <v>15</v>
      </c>
      <c r="N162" s="29" t="s">
        <v>638</v>
      </c>
      <c r="O162" s="51">
        <v>31819.5</v>
      </c>
      <c r="P162" s="31">
        <v>46112</v>
      </c>
      <c r="Q162" s="31" t="inlineStr">
        <is>
          <t xml:space="preserve">2026-07-02 09:15</t>
        </is>
      </c>
      <c r="R162" s="166">
        <v>397</v>
      </c>
      <c r="S162" s="167">
        <v>0.059163640358</v>
      </c>
      <c r="T162" s="83">
        <v>1777.4</v>
      </c>
      <c r="U162" s="35"/>
      <c r="V162" s="168" t="inlineStr">
        <is>
          <t>底层序列待补，暂不据图表缓存单独判断趋势。</t>
        </is>
      </c>
    </row>
    <row r="163" s="4" customFormat="1" ht="88.5" customHeight="1">
      <c r="A163" s="152"/>
      <c r="B163" s="152"/>
      <c r="C163" s="37"/>
      <c r="D163" s="20"/>
      <c r="E163" s="38"/>
      <c r="F163" s="22" t="s">
        <v>639</v>
      </c>
      <c r="G163" s="39" t="s">
        <v>640</v>
      </c>
      <c r="H163" s="24">
        <v>0.014</v>
      </c>
      <c r="I163" s="102" t="s">
        <v>641</v>
      </c>
      <c r="J163" s="26" t="s">
        <v>642</v>
      </c>
      <c r="K163" s="26" t="s">
        <v>643</v>
      </c>
      <c r="L163" s="27" t="s">
        <v>41</v>
      </c>
      <c r="M163" s="28" t="s">
        <v>15</v>
      </c>
      <c r="N163" s="29" t="s">
        <v>644</v>
      </c>
      <c r="O163" s="1642">
        <v>0.026847</v>
      </c>
      <c r="P163" s="31">
        <v>46112</v>
      </c>
      <c r="Q163" s="31" t="inlineStr">
        <is>
          <t xml:space="preserve">2026-07-02 09:15</t>
        </is>
      </c>
      <c r="R163" s="1638">
        <v>0.006954</v>
      </c>
      <c r="S163" s="1642">
        <v>0.026847</v>
      </c>
      <c r="T163" s="1638">
        <v>0.006654</v>
      </c>
      <c r="U163" s="35"/>
      <c r="V163" s="36" t="inlineStr">
        <is>
          <t>近期整体上行，最新较上期回升，实际GDP同比约2.57%且改善，美国经济韧性较强。</t>
        </is>
      </c>
    </row>
    <row r="164" s="4" customFormat="1" ht="88.5" customHeight="1">
      <c r="A164" s="152"/>
      <c r="B164" s="152"/>
      <c r="C164" s="37"/>
      <c r="D164" s="20"/>
      <c r="E164" s="38"/>
      <c r="F164" s="22" t="s">
        <v>645</v>
      </c>
      <c r="G164" s="39" t="s">
        <v>646</v>
      </c>
      <c r="H164" s="169">
        <v>0.02</v>
      </c>
      <c r="I164" s="102" t="s">
        <v>647</v>
      </c>
      <c r="J164" s="26" t="s">
        <v>648</v>
      </c>
      <c r="K164" s="26" t="s">
        <v>649</v>
      </c>
      <c r="L164" s="41" t="s">
        <v>41</v>
      </c>
      <c r="M164" s="28" t="s">
        <v>15</v>
      </c>
      <c r="N164" s="103" t="s">
        <v>644</v>
      </c>
      <c r="O164" s="1642">
        <v>0.026847</v>
      </c>
      <c r="P164" s="31">
        <v>46112</v>
      </c>
      <c r="Q164" s="31" t="inlineStr">
        <is>
          <t xml:space="preserve">2026-07-02 09:15</t>
        </is>
      </c>
      <c r="R164" s="1638">
        <v>0.006954</v>
      </c>
      <c r="S164" s="1642">
        <v>0.026847</v>
      </c>
      <c r="T164" s="1638">
        <v>0.006654</v>
      </c>
      <c r="U164" s="35"/>
      <c r="V164" s="36" t="inlineStr">
        <is>
          <t>近期整体上行，最新较上期回升，按表内口径GDP增速约2.57%，仍高于2%健康区间。</t>
        </is>
      </c>
    </row>
    <row r="165" s="2" customFormat="1" ht="88.5" customHeight="1">
      <c r="A165" s="152"/>
      <c r="B165" s="152"/>
      <c r="C165" s="37"/>
      <c r="D165" s="20"/>
      <c r="E165" s="38"/>
      <c r="F165" s="22" t="s">
        <v>650</v>
      </c>
      <c r="G165" s="39" t="s">
        <v>651</v>
      </c>
      <c r="H165" s="153">
        <v>0.04</v>
      </c>
      <c r="I165" s="102" t="s">
        <v>652</v>
      </c>
      <c r="J165" s="26" t="s">
        <v>653</v>
      </c>
      <c r="K165" s="26" t="s">
        <v>654</v>
      </c>
      <c r="L165" s="41" t="s">
        <v>28</v>
      </c>
      <c r="M165" s="28" t="s">
        <v>14</v>
      </c>
      <c r="N165" s="103" t="s">
        <v>655</v>
      </c>
      <c r="O165" s="1650">
        <v>0.00880936</v>
      </c>
      <c r="P165" s="31">
        <v>46173</v>
      </c>
      <c r="Q165" s="31" t="inlineStr">
        <is>
          <t xml:space="preserve">2026-07-02 09:15</t>
        </is>
      </c>
      <c r="R165" s="1638">
        <v>0.00480015</v>
      </c>
      <c r="S165" s="1638">
        <v>1.80826193626</v>
      </c>
      <c r="T165" s="1660">
        <v>0.0197085</v>
      </c>
      <c r="U165" s="35"/>
      <c r="V165" s="36" t="inlineStr">
        <is>
          <t>近期整体上行，最新较上期回升，零售环比仍为正但较前期明显回落，消费实际需求仍有韧性但边际降温。</t>
        </is>
      </c>
    </row>
    <row r="166" s="2" customFormat="1" ht="88.5" customHeight="1">
      <c r="A166" s="152"/>
      <c r="B166" s="152"/>
      <c r="C166" s="37"/>
      <c r="D166" s="20"/>
      <c r="E166" s="38"/>
      <c r="F166" s="22" t="s">
        <v>656</v>
      </c>
      <c r="G166" s="39" t="s">
        <v>657</v>
      </c>
      <c r="H166" s="169">
        <v>0.026</v>
      </c>
      <c r="I166" s="102" t="s">
        <v>658</v>
      </c>
      <c r="J166" s="26" t="s">
        <v>659</v>
      </c>
      <c r="K166" s="26" t="s">
        <v>660</v>
      </c>
      <c r="L166" s="41" t="s">
        <v>28</v>
      </c>
      <c r="M166" s="28" t="s">
        <v>15</v>
      </c>
      <c r="N166" s="170" t="s">
        <v>661</v>
      </c>
      <c r="O166" s="171">
        <v>0.04873508</v>
      </c>
      <c r="P166" s="31">
        <v>46142</v>
      </c>
      <c r="Q166" s="31" t="inlineStr">
        <is>
          <t xml:space="preserve">2026-07-02 09:15</t>
        </is>
      </c>
      <c r="R166" s="172">
        <v>0.00721789</v>
      </c>
      <c r="S166" s="173">
        <v>0.04873508</v>
      </c>
      <c r="T166" s="172">
        <v>-0.00114987999999999</v>
      </c>
      <c r="U166" s="35"/>
      <c r="V166" s="174" t="inlineStr">
        <is>
          <t>底层序列待补，暂不据图表缓存单独判断趋势。</t>
        </is>
      </c>
    </row>
    <row r="167" s="2" customFormat="1" ht="88.5" customHeight="1">
      <c r="A167" s="152"/>
      <c r="B167" s="152"/>
      <c r="C167" s="37"/>
      <c r="D167" s="20"/>
      <c r="E167" s="38"/>
      <c r="F167" s="22" t="s">
        <v>662</v>
      </c>
      <c r="G167" s="26" t="s">
        <v>663</v>
      </c>
      <c r="H167" s="56">
        <v>0.018</v>
      </c>
      <c r="I167" s="102" t="s">
        <v>664</v>
      </c>
      <c r="J167" s="26" t="s">
        <v>665</v>
      </c>
      <c r="K167" s="26" t="s">
        <v>666</v>
      </c>
      <c r="L167" s="41" t="s">
        <v>28</v>
      </c>
      <c r="M167" s="28" t="s">
        <v>15</v>
      </c>
      <c r="N167" s="170" t="s">
        <v>667</v>
      </c>
      <c r="O167" s="1735">
        <v>0.51</v>
      </c>
      <c r="P167" s="31">
        <v>46173</v>
      </c>
      <c r="Q167" s="31" t="inlineStr">
        <is>
          <t xml:space="preserve">2026-07-02 09:15</t>
        </is>
      </c>
      <c r="R167" s="1736">
        <v>-0.08</v>
      </c>
      <c r="S167" s="1735">
        <v>0.51</v>
      </c>
      <c r="T167" s="1638">
        <v>-0.05</v>
      </c>
      <c r="U167" s="35"/>
      <c r="V167" s="36" t="inlineStr">
        <is>
          <t>近期总体震荡，最新较上期回落，房屋销售指标环比下降5，地产需求边际走弱，单位口径需复核。</t>
        </is>
      </c>
    </row>
    <row r="168" s="2" customFormat="1" ht="88.5" customHeight="1">
      <c r="A168" s="152"/>
      <c r="B168" s="152"/>
      <c r="C168" s="37"/>
      <c r="D168" s="20"/>
      <c r="E168" s="38"/>
      <c r="F168" s="22" t="s">
        <v>668</v>
      </c>
      <c r="G168" s="26" t="s">
        <v>669</v>
      </c>
      <c r="H168" s="56">
        <v>0.018</v>
      </c>
      <c r="I168" s="102" t="s">
        <v>670</v>
      </c>
      <c r="J168" s="26" t="s">
        <v>671</v>
      </c>
      <c r="K168" s="26" t="s">
        <v>672</v>
      </c>
      <c r="L168" s="41" t="s">
        <v>28</v>
      </c>
      <c r="M168" s="28" t="s">
        <v>15</v>
      </c>
      <c r="N168" s="170" t="s">
        <v>673</v>
      </c>
      <c r="O168" s="1737">
        <v>0.035</v>
      </c>
      <c r="P168" s="31">
        <v>46203</v>
      </c>
      <c r="Q168" s="31" t="inlineStr">
        <is>
          <t>2026-07-03 08:55</t>
        </is>
      </c>
      <c r="R168" s="1738">
        <v>0.001</v>
      </c>
      <c r="S168" s="1737">
        <v>0.035</v>
      </c>
      <c r="T168" s="1739">
        <v>-0.004</v>
      </c>
      <c r="U168" s="35"/>
      <c r="V168" s="36" t="inlineStr">
        <is>
          <t>近期整体下行，最新较上期回升，时薪同比3.4%且回落，工资收入支撑边际减弱，同时也缓和工资通胀压力。</t>
        </is>
      </c>
    </row>
    <row r="169" s="2" customFormat="1" ht="88.5" customHeight="1">
      <c r="A169" s="152"/>
      <c r="B169" s="152"/>
      <c r="C169" s="37"/>
      <c r="D169" s="20"/>
      <c r="E169" s="38"/>
      <c r="F169" s="22" t="s">
        <v>674</v>
      </c>
      <c r="G169" s="39" t="s">
        <v>675</v>
      </c>
      <c r="H169" s="158">
        <v>0.025</v>
      </c>
      <c r="I169" s="102" t="s">
        <v>676</v>
      </c>
      <c r="J169" s="26" t="s">
        <v>677</v>
      </c>
      <c r="K169" s="26" t="s">
        <v>678</v>
      </c>
      <c r="L169" s="41" t="s">
        <v>41</v>
      </c>
      <c r="M169" s="28" t="s">
        <v>15</v>
      </c>
      <c r="N169" s="170" t="s">
        <v>679</v>
      </c>
      <c r="O169" s="1641">
        <v>0.007</v>
      </c>
      <c r="P169" s="31">
        <v>46112</v>
      </c>
      <c r="Q169" s="31" t="inlineStr">
        <is>
          <t xml:space="preserve">2026-07-02 09:15</t>
        </is>
      </c>
      <c r="R169" s="1638">
        <v>-0.003</v>
      </c>
      <c r="S169" s="1641">
        <v>0.007</v>
      </c>
      <c r="T169" s="1638">
        <v>-0.013</v>
      </c>
      <c r="U169" s="35"/>
      <c r="V169" s="36" t="inlineStr">
        <is>
          <t>近期整体下行，最新较上期回落，个人可支配收入同比0.7%且回落，消费能力边际承压，作为收入端背景验证。</t>
        </is>
      </c>
    </row>
    <row r="170" s="4" customFormat="1" ht="88.5" customHeight="1">
      <c r="A170" s="152"/>
      <c r="B170" s="152"/>
      <c r="C170" s="37"/>
      <c r="D170" s="20"/>
      <c r="E170" s="72" t="s">
        <v>680</v>
      </c>
      <c r="F170" s="22" t="s">
        <v>681</v>
      </c>
      <c r="G170" s="39" t="s">
        <v>682</v>
      </c>
      <c r="H170" s="132">
        <v>0.08</v>
      </c>
      <c r="I170" s="102" t="s">
        <v>683</v>
      </c>
      <c r="J170" s="26" t="s">
        <v>684</v>
      </c>
      <c r="K170" s="26" t="s">
        <v>174</v>
      </c>
      <c r="L170" s="41" t="s">
        <v>28</v>
      </c>
      <c r="M170" s="28" t="s">
        <v>15</v>
      </c>
      <c r="N170" s="103" t="s">
        <v>685</v>
      </c>
      <c r="O170" s="1740">
        <v>0.042</v>
      </c>
      <c r="P170" s="31">
        <v>46173</v>
      </c>
      <c r="Q170" s="31" t="inlineStr">
        <is>
          <t xml:space="preserve">2026-07-02 09:15</t>
        </is>
      </c>
      <c r="R170" s="1741">
        <v>0.004</v>
      </c>
      <c r="S170" s="1740">
        <v>0.042</v>
      </c>
      <c r="T170" s="1660">
        <v>0.018</v>
      </c>
      <c r="U170" s="35"/>
      <c r="V170" s="36" t="inlineStr">
        <is>
          <t>近期整体上行，最新较上期回升，CPI同比4.2%且上行，标题通胀偏高，主要约束降息预期。</t>
        </is>
      </c>
    </row>
    <row r="171" s="4" customFormat="1" ht="88.5" customHeight="1">
      <c r="A171" s="152"/>
      <c r="B171" s="152"/>
      <c r="C171" s="37"/>
      <c r="D171" s="20"/>
      <c r="E171" s="38"/>
      <c r="F171" s="22" t="s">
        <v>686</v>
      </c>
      <c r="G171" s="39" t="s">
        <v>687</v>
      </c>
      <c r="H171" s="132">
        <v>0.08</v>
      </c>
      <c r="I171" s="102" t="s">
        <v>688</v>
      </c>
      <c r="J171" s="26" t="s">
        <v>689</v>
      </c>
      <c r="K171" s="26" t="s">
        <v>690</v>
      </c>
      <c r="L171" s="41" t="s">
        <v>28</v>
      </c>
      <c r="M171" s="28" t="s">
        <v>15</v>
      </c>
      <c r="N171" s="29" t="s">
        <v>691</v>
      </c>
      <c r="O171" s="1638">
        <v>0.028</v>
      </c>
      <c r="P171" s="31">
        <v>46173</v>
      </c>
      <c r="Q171" s="31" t="inlineStr">
        <is>
          <t xml:space="preserve">2026-07-02 09:15</t>
        </is>
      </c>
      <c r="R171" s="1638">
        <v>0.001</v>
      </c>
      <c r="S171" s="1638">
        <v>0.028</v>
      </c>
      <c r="T171" s="1638">
        <v>0</v>
      </c>
      <c r="U171" s="35"/>
      <c r="V171" s="36" t="inlineStr">
        <is>
          <t>近期整体下行，最新较上期回升，核心CPI同比2.8%且小幅回升，核心通胀有粘性但未出现失控式上行。</t>
        </is>
      </c>
    </row>
    <row r="172" s="4" customFormat="1" ht="88.5" customHeight="1">
      <c r="A172" s="152"/>
      <c r="B172" s="152"/>
      <c r="C172" s="37"/>
      <c r="D172" s="20"/>
      <c r="E172" s="38"/>
      <c r="F172" s="22" t="s">
        <v>692</v>
      </c>
      <c r="G172" s="39" t="s">
        <v>693</v>
      </c>
      <c r="H172" s="135">
        <v>0.05</v>
      </c>
      <c r="I172" s="102" t="s">
        <v>694</v>
      </c>
      <c r="J172" s="26" t="s">
        <v>695</v>
      </c>
      <c r="K172" s="26" t="s">
        <v>168</v>
      </c>
      <c r="L172" s="41" t="s">
        <v>28</v>
      </c>
      <c r="M172" s="28" t="s">
        <v>15</v>
      </c>
      <c r="N172" s="29" t="s">
        <v>696</v>
      </c>
      <c r="O172" s="1742">
        <v>0.065</v>
      </c>
      <c r="P172" s="31">
        <v>46173</v>
      </c>
      <c r="Q172" s="31" t="inlineStr">
        <is>
          <t xml:space="preserve">2026-07-02 09:15</t>
        </is>
      </c>
      <c r="R172" s="1743">
        <v>0.008</v>
      </c>
      <c r="S172" s="1742">
        <v>0.065</v>
      </c>
      <c r="T172" s="1744">
        <v>0.038</v>
      </c>
      <c r="U172" s="35"/>
      <c r="V172" s="36" t="inlineStr">
        <is>
          <t>近期整体上行，最新较上期回升，PPI同比6.0%且明显上行，上游通胀压力增强，需观察向终端传导。</t>
        </is>
      </c>
    </row>
    <row r="173" s="4" customFormat="1" ht="88.5" customHeight="1">
      <c r="A173" s="152"/>
      <c r="B173" s="152"/>
      <c r="C173" s="37"/>
      <c r="D173" s="20"/>
      <c r="E173" s="38"/>
      <c r="F173" s="22" t="s">
        <v>697</v>
      </c>
      <c r="G173" s="39" t="s">
        <v>698</v>
      </c>
      <c r="H173" s="132">
        <v>0.08</v>
      </c>
      <c r="I173" s="102" t="s">
        <v>699</v>
      </c>
      <c r="J173" s="26" t="s">
        <v>700</v>
      </c>
      <c r="K173" s="26" t="s">
        <v>701</v>
      </c>
      <c r="L173" s="41" t="s">
        <v>28</v>
      </c>
      <c r="M173" s="28" t="s">
        <v>15</v>
      </c>
      <c r="N173" s="103" t="s">
        <v>702</v>
      </c>
      <c r="O173" s="1648">
        <v>0.03412</v>
      </c>
      <c r="P173" s="31">
        <v>46173</v>
      </c>
      <c r="Q173" s="31" t="inlineStr">
        <is>
          <t xml:space="preserve">2026-07-02 09:15</t>
        </is>
      </c>
      <c r="R173" s="1745">
        <v>0.000933</v>
      </c>
      <c r="S173" s="1648">
        <v>0.03412</v>
      </c>
      <c r="T173" s="1660">
        <v>0.006281</v>
      </c>
      <c r="U173" s="35"/>
      <c r="V173" s="36" t="inlineStr">
        <is>
          <t>近期整体上行，最新较上期回升，核心PCE同比3.29%且小幅上行，仍高于舒适区间，降息空间受限但并非失控。</t>
        </is>
      </c>
    </row>
    <row r="174" ht="88.5" customHeight="1">
      <c r="A174" s="152"/>
      <c r="B174" s="152"/>
      <c r="C174" s="19" t="s">
        <v>256</v>
      </c>
      <c r="D174" s="20" t="s">
        <v>703</v>
      </c>
      <c r="E174" s="72" t="s">
        <v>704</v>
      </c>
      <c r="F174" s="22" t="s">
        <v>705</v>
      </c>
      <c r="G174" s="39" t="s">
        <v>706</v>
      </c>
      <c r="H174" s="135">
        <v>0.05</v>
      </c>
      <c r="I174" s="50" t="s">
        <v>707</v>
      </c>
      <c r="J174" s="26" t="s">
        <v>708</v>
      </c>
      <c r="K174" s="26" t="s">
        <v>709</v>
      </c>
      <c r="L174" s="41" t="s">
        <v>41</v>
      </c>
      <c r="M174" s="28" t="s">
        <v>14</v>
      </c>
      <c r="N174" s="29" t="s">
        <v>710</v>
      </c>
      <c r="O174" s="1746">
        <v>0.0363</v>
      </c>
      <c r="P174" s="31">
        <v>46204</v>
      </c>
      <c r="Q174" s="31" t="inlineStr">
        <is>
          <t>2026-07-03 08:55</t>
        </is>
      </c>
      <c r="R174" s="1638">
        <v>0</v>
      </c>
      <c r="S174" s="1654" t="inlineStr">
        <is>
          <t>-</t>
        </is>
      </c>
      <c r="T174" s="1708">
        <v>-0.007</v>
      </c>
      <c r="U174" s="35"/>
      <c r="V174" s="36" t="inlineStr">
        <is>
          <t>近期总体震荡，最新较上期持平，联邦基金利率3.62%持平但同比下行，政策限制性较去年下降。</t>
        </is>
      </c>
    </row>
    <row r="175" ht="88.5" customHeight="1">
      <c r="A175" s="152"/>
      <c r="B175" s="152"/>
      <c r="C175" s="19"/>
      <c r="D175" s="20"/>
      <c r="E175" s="38"/>
      <c r="F175" s="22" t="s">
        <v>711</v>
      </c>
      <c r="G175" s="39" t="s">
        <v>712</v>
      </c>
      <c r="H175" s="155">
        <v>0.035</v>
      </c>
      <c r="I175" s="50" t="s">
        <v>713</v>
      </c>
      <c r="J175" s="26" t="s">
        <v>714</v>
      </c>
      <c r="K175" s="26" t="s">
        <v>715</v>
      </c>
      <c r="L175" s="41" t="s">
        <v>279</v>
      </c>
      <c r="M175" s="28" t="s">
        <v>14</v>
      </c>
      <c r="N175" s="29" t="s">
        <v>716</v>
      </c>
      <c r="O175" s="1747">
        <v>6724564</v>
      </c>
      <c r="P175" s="31">
        <v>46204</v>
      </c>
      <c r="Q175" s="31" t="inlineStr">
        <is>
          <t>2026-07-03 08:55</t>
        </is>
      </c>
      <c r="R175" s="1639">
        <v>-11081</v>
      </c>
      <c r="S175" s="1748">
        <v>0.00975524348467</v>
      </c>
      <c r="T175" s="1749">
        <v>64966</v>
      </c>
      <c r="U175" s="35"/>
      <c r="V175" s="36" t="inlineStr">
        <is>
          <t>近期总体震荡，最新较上期回落，美联储资产负债表环比增加13902（原表口径），流动性供给边际改善。</t>
        </is>
      </c>
    </row>
    <row r="176" ht="88.5" customHeight="1">
      <c r="A176" s="152"/>
      <c r="B176" s="152"/>
      <c r="C176" s="19"/>
      <c r="D176" s="20"/>
      <c r="E176" s="38"/>
      <c r="F176" s="22" t="s">
        <v>717</v>
      </c>
      <c r="G176" s="39" t="s">
        <v>718</v>
      </c>
      <c r="H176" s="24">
        <v>0.02</v>
      </c>
      <c r="I176" s="102" t="s">
        <v>719</v>
      </c>
      <c r="J176" s="26" t="s">
        <v>720</v>
      </c>
      <c r="K176" s="26" t="s">
        <v>721</v>
      </c>
      <c r="L176" s="41" t="s">
        <v>181</v>
      </c>
      <c r="M176" s="28" t="s">
        <v>14</v>
      </c>
      <c r="N176" s="103" t="s">
        <v>722</v>
      </c>
      <c r="O176" s="1750">
        <v>0.0365</v>
      </c>
      <c r="P176" s="31">
        <v>46209</v>
      </c>
      <c r="Q176" s="31" t="inlineStr">
        <is>
          <t>2026-07-06 10:56</t>
        </is>
      </c>
      <c r="R176" s="1638">
        <v>0</v>
      </c>
      <c r="S176" s="1654" t="inlineStr">
        <is>
          <t>-</t>
        </is>
      </c>
      <c r="T176" s="1708">
        <v>-0.0075</v>
      </c>
      <c r="U176" s="35"/>
      <c r="V176" s="36" t="inlineStr">
        <is>
          <t>近期总体震荡，最新较上期持平，IORB为3.65%持平但同比下调，准备金机会成本较去年降低。</t>
        </is>
      </c>
    </row>
    <row r="177" ht="81.44999694824219" customHeight="1">
      <c r="A177" s="152"/>
      <c r="B177" s="152"/>
      <c r="C177" s="19"/>
      <c r="D177" s="20"/>
      <c r="E177" s="38"/>
      <c r="F177" s="22" t="s">
        <v>723</v>
      </c>
      <c r="G177" s="26" t="s">
        <v>724</v>
      </c>
      <c r="H177" s="95">
        <v>0.012</v>
      </c>
      <c r="I177" s="50" t="s">
        <v>725</v>
      </c>
      <c r="J177" s="26" t="s">
        <v>726</v>
      </c>
      <c r="K177" s="26" t="s">
        <v>727</v>
      </c>
      <c r="L177" s="41" t="s">
        <v>41</v>
      </c>
      <c r="M177" s="28" t="s">
        <v>14</v>
      </c>
      <c r="N177" s="103" t="s">
        <v>217</v>
      </c>
      <c r="O177" s="171" t="s">
        <v>217</v>
      </c>
      <c r="P177" s="31" t="s">
        <v>217</v>
      </c>
      <c r="Q177" s="31" t="inlineStr">
        <is>
          <t xml:space="preserve">2026-07-02 09:15</t>
        </is>
      </c>
      <c r="R177" s="92" t="s">
        <v>217</v>
      </c>
      <c r="S177" s="93" t="s">
        <v>218</v>
      </c>
      <c r="T177" s="92" t="s">
        <v>218</v>
      </c>
      <c r="U177" s="35"/>
      <c r="V177" s="52"/>
    </row>
    <row r="178" ht="88.5" customHeight="1">
      <c r="A178" s="152"/>
      <c r="B178" s="152"/>
      <c r="C178" s="19"/>
      <c r="D178" s="20"/>
      <c r="E178" s="38"/>
      <c r="F178" s="22" t="s">
        <v>728</v>
      </c>
      <c r="G178" s="39" t="s">
        <v>729</v>
      </c>
      <c r="H178" s="24">
        <v>0.02</v>
      </c>
      <c r="I178" s="50" t="s">
        <v>730</v>
      </c>
      <c r="J178" s="26" t="s">
        <v>731</v>
      </c>
      <c r="K178" s="26" t="s">
        <v>732</v>
      </c>
      <c r="L178" s="41" t="s">
        <v>279</v>
      </c>
      <c r="M178" s="28" t="s">
        <v>14</v>
      </c>
      <c r="N178" s="29" t="s">
        <v>733</v>
      </c>
      <c r="O178" s="1751">
        <v>807359</v>
      </c>
      <c r="P178" s="31">
        <v>46204</v>
      </c>
      <c r="Q178" s="31" t="inlineStr">
        <is>
          <t>2026-07-03 08:55</t>
        </is>
      </c>
      <c r="R178" s="1752">
        <v>-94486</v>
      </c>
      <c r="S178" s="1753">
        <v>1.16896720325</v>
      </c>
      <c r="T178" s="1726">
        <v>435127</v>
      </c>
      <c r="U178" s="35"/>
      <c r="V178" s="36" t="inlineStr">
        <is>
          <t>近期整体下行，最新较上期回落，TGA余额环比减少44638（原表口径），对准备金形成边际释放。</t>
        </is>
      </c>
    </row>
    <row r="179" ht="88.5" customHeight="1">
      <c r="A179" s="152"/>
      <c r="B179" s="152"/>
      <c r="C179" s="19"/>
      <c r="D179" s="20"/>
      <c r="E179" s="38"/>
      <c r="F179" s="22" t="s">
        <v>734</v>
      </c>
      <c r="G179" s="26" t="s">
        <v>735</v>
      </c>
      <c r="H179" s="56">
        <v>0.018</v>
      </c>
      <c r="I179" s="50" t="s">
        <v>736</v>
      </c>
      <c r="J179" s="26" t="s">
        <v>737</v>
      </c>
      <c r="K179" s="26" t="s">
        <v>738</v>
      </c>
      <c r="L179" s="41" t="s">
        <v>279</v>
      </c>
      <c r="M179" s="28" t="s">
        <v>14</v>
      </c>
      <c r="N179" s="86" t="s">
        <v>739</v>
      </c>
      <c r="O179" s="1754">
        <v>2.175</v>
      </c>
      <c r="P179" s="31">
        <v>46205</v>
      </c>
      <c r="Q179" s="31" t="inlineStr">
        <is>
          <t>2026-07-03 08:55</t>
        </is>
      </c>
      <c r="R179" s="1755">
        <v>1.174</v>
      </c>
      <c r="S179" s="1756">
        <v>-0.990834657216</v>
      </c>
      <c r="T179" s="1665">
        <v>-235.132</v>
      </c>
      <c r="U179" s="35"/>
      <c r="V179" s="36" t="inlineStr">
        <is>
          <t>近期总体震荡，最新较上期回升，隔夜逆回购规模下降，释放现金形成对冲，但继续释放空间已较此前收窄。</t>
        </is>
      </c>
    </row>
    <row r="180" s="2" customFormat="1" ht="88.5" customHeight="1">
      <c r="A180" s="152"/>
      <c r="B180" s="152"/>
      <c r="C180" s="19"/>
      <c r="D180" s="20"/>
      <c r="E180" s="72" t="s">
        <v>740</v>
      </c>
      <c r="F180" s="22" t="s">
        <v>741</v>
      </c>
      <c r="G180" s="23" t="s">
        <v>742</v>
      </c>
      <c r="H180" s="191">
        <v>0.055</v>
      </c>
      <c r="I180" s="102" t="s">
        <v>743</v>
      </c>
      <c r="J180" s="26" t="s">
        <v>744</v>
      </c>
      <c r="K180" s="26" t="s">
        <v>745</v>
      </c>
      <c r="L180" s="41" t="s">
        <v>181</v>
      </c>
      <c r="M180" s="28" t="s">
        <v>14</v>
      </c>
      <c r="N180" s="103" t="s">
        <v>746</v>
      </c>
      <c r="O180" s="1757">
        <v>0.0366</v>
      </c>
      <c r="P180" s="31">
        <v>46204</v>
      </c>
      <c r="Q180" s="31" t="inlineStr">
        <is>
          <t>2026-07-03 08:55</t>
        </is>
      </c>
      <c r="R180" s="1758">
        <v>-0.0002</v>
      </c>
      <c r="S180" s="1654" t="inlineStr">
        <is>
          <t>-</t>
        </is>
      </c>
      <c r="T180" s="1708">
        <v>-0.0078</v>
      </c>
      <c r="U180" s="35"/>
      <c r="V180" s="36" t="inlineStr">
        <is>
          <t>近期总体震荡，最新较上期回落，SOFR为3.65%，与IORB基本持平，美元回购融资成本未明显抬升。</t>
        </is>
      </c>
    </row>
    <row r="181" s="2" customFormat="1" ht="97.69999694824219" customHeight="1">
      <c r="A181" s="152"/>
      <c r="B181" s="152"/>
      <c r="C181" s="19"/>
      <c r="D181" s="20"/>
      <c r="E181" s="38"/>
      <c r="F181" s="22" t="s">
        <v>747</v>
      </c>
      <c r="G181" s="39" t="s">
        <v>748</v>
      </c>
      <c r="H181" s="191">
        <v>0.055</v>
      </c>
      <c r="I181" s="102" t="s">
        <v>749</v>
      </c>
      <c r="J181" s="26" t="s">
        <v>750</v>
      </c>
      <c r="K181" s="26" t="s">
        <v>751</v>
      </c>
      <c r="L181" s="41" t="s">
        <v>181</v>
      </c>
      <c r="M181" s="28" t="s">
        <v>14</v>
      </c>
      <c r="N181" s="103" t="s">
        <v>752</v>
      </c>
      <c r="O181" s="1759">
        <v>0.0001</v>
      </c>
      <c r="P181" s="31">
        <v>46204</v>
      </c>
      <c r="Q181" s="31" t="inlineStr">
        <is>
          <t>2026-07-03 08:55</t>
        </is>
      </c>
      <c r="R181" s="1758">
        <v>-0.0002</v>
      </c>
      <c r="S181" s="1654" t="inlineStr">
        <is>
          <t>-</t>
        </is>
      </c>
      <c r="T181" s="1760">
        <v>-0.0003</v>
      </c>
      <c r="U181" s="35"/>
      <c r="V181" s="36" t="inlineStr">
        <is>
          <t>近期总体震荡，最新较上期回落，SOFR与IORB基本持平，回购市场未出现明显溢价，短端流动性未明显紧张。</t>
        </is>
      </c>
    </row>
    <row r="182" ht="88.5" customHeight="1">
      <c r="A182" s="152"/>
      <c r="B182" s="152"/>
      <c r="C182" s="19"/>
      <c r="D182" s="20"/>
      <c r="E182" s="72" t="s">
        <v>753</v>
      </c>
      <c r="F182" s="22" t="s">
        <v>754</v>
      </c>
      <c r="G182" s="23" t="s">
        <v>755</v>
      </c>
      <c r="H182" s="121">
        <v>0.03</v>
      </c>
      <c r="I182" s="102" t="s">
        <v>756</v>
      </c>
      <c r="J182" s="26" t="s">
        <v>757</v>
      </c>
      <c r="K182" s="26" t="s">
        <v>758</v>
      </c>
      <c r="L182" s="41" t="s">
        <v>279</v>
      </c>
      <c r="M182" s="28" t="s">
        <v>14</v>
      </c>
      <c r="N182" s="195" t="s">
        <v>759</v>
      </c>
      <c r="O182" s="1761">
        <v>0.0111</v>
      </c>
      <c r="P182" s="31">
        <v>46204</v>
      </c>
      <c r="Q182" s="31" t="inlineStr">
        <is>
          <t>2026-07-03 08:55</t>
        </is>
      </c>
      <c r="R182" s="1762">
        <v>0.0004</v>
      </c>
      <c r="S182" s="1682" t="inlineStr">
        <is>
          <t>-</t>
        </is>
      </c>
      <c r="T182" s="1763">
        <v>0.0006</v>
      </c>
      <c r="U182" s="35"/>
      <c r="V182" s="36" t="inlineStr">
        <is>
          <t>近期整体上行，最新较上期回升，AAA信用利差收窄，信用风险溢价下降、实体融资环境改善。</t>
        </is>
      </c>
    </row>
    <row r="183" ht="88.5" customHeight="1">
      <c r="A183" s="152"/>
      <c r="B183" s="152"/>
      <c r="C183" s="19"/>
      <c r="D183" s="20"/>
      <c r="E183" s="38"/>
      <c r="F183" s="22" t="s">
        <v>760</v>
      </c>
      <c r="G183" s="23" t="s">
        <v>761</v>
      </c>
      <c r="H183" s="24">
        <v>0.02</v>
      </c>
      <c r="I183" s="102" t="s">
        <v>762</v>
      </c>
      <c r="J183" s="26" t="s">
        <v>763</v>
      </c>
      <c r="K183" s="26" t="s">
        <v>764</v>
      </c>
      <c r="L183" s="41" t="s">
        <v>279</v>
      </c>
      <c r="M183" s="28" t="s">
        <v>15</v>
      </c>
      <c r="N183" s="195" t="s">
        <v>765</v>
      </c>
      <c r="O183" s="1764">
        <v>19643284.5</v>
      </c>
      <c r="P183" s="31">
        <v>46197</v>
      </c>
      <c r="Q183" s="31" t="inlineStr">
        <is>
          <t>2026-07-03 08:55</t>
        </is>
      </c>
      <c r="R183" s="1639">
        <v>22441.4</v>
      </c>
      <c r="S183" s="1638">
        <v>0.063315283074</v>
      </c>
      <c r="T183" s="1726">
        <v>1169662.6</v>
      </c>
      <c r="U183" s="35"/>
      <c r="V183" s="36" t="inlineStr">
        <is>
          <t>近期整体上行，最新较上期回升，商业银行信贷同比6.4%且继续增长，信用扩张稳健。</t>
        </is>
      </c>
    </row>
    <row r="184" ht="88.5" customHeight="1">
      <c r="A184" s="152"/>
      <c r="B184" s="152"/>
      <c r="C184" s="19"/>
      <c r="D184" s="20"/>
      <c r="E184" s="38"/>
      <c r="F184" s="22" t="s">
        <v>766</v>
      </c>
      <c r="G184" s="45" t="s">
        <v>767</v>
      </c>
      <c r="H184" s="199">
        <v>0.015</v>
      </c>
      <c r="I184" s="102" t="s">
        <v>768</v>
      </c>
      <c r="J184" s="26" t="s">
        <v>769</v>
      </c>
      <c r="K184" s="26" t="s">
        <v>770</v>
      </c>
      <c r="L184" s="41" t="s">
        <v>28</v>
      </c>
      <c r="M184" s="28" t="s">
        <v>15</v>
      </c>
      <c r="N184" s="195" t="s">
        <v>771</v>
      </c>
      <c r="O184" s="1765">
        <v>0.071</v>
      </c>
      <c r="P184" s="31">
        <v>46112</v>
      </c>
      <c r="Q184" s="31" t="inlineStr">
        <is>
          <t>2026-07-03 08:55</t>
        </is>
      </c>
      <c r="R184" s="1638">
        <v>0.021</v>
      </c>
      <c r="S184" s="1765">
        <v>0.071</v>
      </c>
      <c r="T184" s="1638">
        <v>0.042</v>
      </c>
      <c r="U184" s="35"/>
      <c r="V184" s="36" t="inlineStr">
        <is>
          <t>近期整体上行，最新较上期回升，银行贷款同比7.5%且较前期回升，信用动能改善。</t>
        </is>
      </c>
    </row>
    <row r="185" ht="88.5" customHeight="1">
      <c r="A185" s="152"/>
      <c r="B185" s="152"/>
      <c r="C185" s="19"/>
      <c r="D185" s="20"/>
      <c r="E185" s="38"/>
      <c r="F185" s="22" t="s">
        <v>772</v>
      </c>
      <c r="G185" s="45" t="s">
        <v>773</v>
      </c>
      <c r="H185" s="56">
        <v>0.018</v>
      </c>
      <c r="I185" s="102" t="s">
        <v>774</v>
      </c>
      <c r="J185" s="26" t="s">
        <v>775</v>
      </c>
      <c r="K185" s="26" t="s">
        <v>776</v>
      </c>
      <c r="L185" s="41" t="s">
        <v>41</v>
      </c>
      <c r="M185" s="28" t="s">
        <v>15</v>
      </c>
      <c r="N185" s="103" t="s">
        <v>777</v>
      </c>
      <c r="O185" s="1766">
        <v>2901015.8</v>
      </c>
      <c r="P185" s="31">
        <v>46197</v>
      </c>
      <c r="Q185" s="31" t="inlineStr">
        <is>
          <t>2026-07-03 08:55</t>
        </is>
      </c>
      <c r="R185" s="1639">
        <v>6023.8</v>
      </c>
      <c r="S185" s="1767">
        <v>0.07779577438</v>
      </c>
      <c r="T185" s="1726">
        <v>209396.6</v>
      </c>
      <c r="U185" s="35"/>
      <c r="V185" s="36" t="inlineStr">
        <is>
          <t>近期整体上行，最新较上期回升，工商业贷款同比8.2%且增加，企业融资需求改善。</t>
        </is>
      </c>
    </row>
    <row r="186" ht="88.5" customHeight="1">
      <c r="A186" s="152"/>
      <c r="B186" s="152"/>
      <c r="C186" s="19"/>
      <c r="D186" s="20"/>
      <c r="E186" s="38"/>
      <c r="F186" s="22" t="s">
        <v>778</v>
      </c>
      <c r="G186" s="45" t="s">
        <v>779</v>
      </c>
      <c r="H186" s="95">
        <v>0.012</v>
      </c>
      <c r="I186" s="102" t="s">
        <v>780</v>
      </c>
      <c r="J186" s="26" t="s">
        <v>781</v>
      </c>
      <c r="K186" s="26" t="s">
        <v>782</v>
      </c>
      <c r="L186" s="41" t="s">
        <v>28</v>
      </c>
      <c r="M186" s="203" t="s">
        <v>15</v>
      </c>
      <c r="N186" s="103" t="s">
        <v>783</v>
      </c>
      <c r="O186" s="1766">
        <v>1896780.8</v>
      </c>
      <c r="P186" s="31">
        <v>46197</v>
      </c>
      <c r="Q186" s="31" t="inlineStr">
        <is>
          <t>2026-07-03 08:55</t>
        </is>
      </c>
      <c r="R186" s="1768">
        <v>2150.7</v>
      </c>
      <c r="S186" s="1769">
        <v>0.0356622957613</v>
      </c>
      <c r="T186" s="1770">
        <v>65314.3</v>
      </c>
      <c r="U186" s="35"/>
      <c r="V186" s="36" t="inlineStr">
        <is>
          <t>近期总体震荡，最新较上期回升，消费贷款同比4.5%且小幅增长，居民信用温和扩张。</t>
        </is>
      </c>
    </row>
    <row r="187" ht="88.5" customHeight="1">
      <c r="A187" s="152"/>
      <c r="B187" s="152"/>
      <c r="C187" s="19"/>
      <c r="D187" s="20"/>
      <c r="E187" s="38"/>
      <c r="F187" s="22" t="s">
        <v>784</v>
      </c>
      <c r="G187" s="45" t="s">
        <v>785</v>
      </c>
      <c r="H187" s="96">
        <v>0.01</v>
      </c>
      <c r="I187" s="102" t="s">
        <v>786</v>
      </c>
      <c r="J187" s="26" t="s">
        <v>787</v>
      </c>
      <c r="K187" s="26" t="s">
        <v>788</v>
      </c>
      <c r="L187" s="41" t="s">
        <v>279</v>
      </c>
      <c r="M187" s="28" t="s">
        <v>15</v>
      </c>
      <c r="N187" s="103" t="s">
        <v>789</v>
      </c>
      <c r="O187" s="1771">
        <v>5798603.8</v>
      </c>
      <c r="P187" s="31">
        <v>46197</v>
      </c>
      <c r="Q187" s="31" t="inlineStr">
        <is>
          <t>2026-07-03 08:55</t>
        </is>
      </c>
      <c r="R187" s="1639">
        <v>-2264.9</v>
      </c>
      <c r="S187" s="1772">
        <v>0.0231725329332</v>
      </c>
      <c r="T187" s="1726">
        <v>131325.2</v>
      </c>
      <c r="U187" s="35"/>
      <c r="V187" s="36" t="inlineStr">
        <is>
          <t>近期总体震荡，最新较上期持平，房地产贷款同比仅2.2%且环比收缩，地产信用偏弱。</t>
        </is>
      </c>
    </row>
    <row r="188" ht="88.5" customHeight="1">
      <c r="A188" s="152"/>
      <c r="B188" s="152"/>
      <c r="C188" s="19"/>
      <c r="D188" s="20"/>
      <c r="E188" s="38"/>
      <c r="F188" s="22" t="s">
        <v>790</v>
      </c>
      <c r="G188" s="45" t="s">
        <v>791</v>
      </c>
      <c r="H188" s="96">
        <v>0.01</v>
      </c>
      <c r="I188" s="102" t="s">
        <v>792</v>
      </c>
      <c r="J188" s="26" t="s">
        <v>793</v>
      </c>
      <c r="K188" s="26" t="s">
        <v>794</v>
      </c>
      <c r="L188" s="41" t="s">
        <v>28</v>
      </c>
      <c r="M188" s="28" t="s">
        <v>15</v>
      </c>
      <c r="N188" s="195" t="s">
        <v>795</v>
      </c>
      <c r="O188" s="1773">
        <v>19750.9</v>
      </c>
      <c r="P188" s="31">
        <v>46173</v>
      </c>
      <c r="Q188" s="31" t="inlineStr">
        <is>
          <t xml:space="preserve">2026-07-02 09:15</t>
        </is>
      </c>
      <c r="R188" s="1726">
        <v>219.2</v>
      </c>
      <c r="S188" s="1774">
        <v>0.0583088191955</v>
      </c>
      <c r="T188" s="1726">
        <v>1088.2</v>
      </c>
      <c r="U188" s="35"/>
      <c r="V188" s="36" t="inlineStr">
        <is>
          <t>近期整体上行，最新较上期回升，M1同比4.9%且环比增加，资金活化改善。</t>
        </is>
      </c>
    </row>
    <row r="189" ht="88.5" customHeight="1">
      <c r="A189" s="152"/>
      <c r="B189" s="152"/>
      <c r="C189" s="19"/>
      <c r="D189" s="20"/>
      <c r="E189" s="38"/>
      <c r="F189" s="22" t="s">
        <v>796</v>
      </c>
      <c r="G189" s="45" t="s">
        <v>797</v>
      </c>
      <c r="H189" s="96">
        <v>0.01</v>
      </c>
      <c r="I189" s="102" t="s">
        <v>798</v>
      </c>
      <c r="J189" s="26" t="s">
        <v>799</v>
      </c>
      <c r="K189" s="26" t="s">
        <v>800</v>
      </c>
      <c r="L189" s="41" t="s">
        <v>28</v>
      </c>
      <c r="M189" s="28" t="s">
        <v>15</v>
      </c>
      <c r="N189" s="195" t="s">
        <v>801</v>
      </c>
      <c r="O189" s="1773">
        <v>23052.3</v>
      </c>
      <c r="P189" s="31">
        <v>46173</v>
      </c>
      <c r="Q189" s="31" t="inlineStr">
        <is>
          <t xml:space="preserve">2026-07-02 09:15</t>
        </is>
      </c>
      <c r="R189" s="1726">
        <v>247.8</v>
      </c>
      <c r="S189" s="1774">
        <v>0.0558031318271</v>
      </c>
      <c r="T189" s="1726">
        <v>1218.4</v>
      </c>
      <c r="U189" s="35"/>
      <c r="V189" s="36" t="inlineStr">
        <is>
          <t>近期整体上行，最新较上期回升，M2同比4.7%且环比增加，总量流动性改善。</t>
        </is>
      </c>
    </row>
    <row r="190" ht="13.699999809265137" customHeight="1">
      <c r="G190" s="4"/>
      <c r="H190" s="4"/>
      <c r="M190" s="208"/>
      <c r="R190"/>
    </row>
    <row r="191" ht="13.699999809265137" customHeight="1">
      <c r="G191" s="4"/>
      <c r="H191" s="4"/>
      <c r="M191" s="208"/>
      <c r="R191"/>
    </row>
    <row r="192" ht="13.699999809265137" customHeight="1">
      <c r="G192" s="4"/>
      <c r="H192" s="4"/>
      <c r="M192" s="208"/>
      <c r="R192"/>
    </row>
    <row r="193" ht="13.699999809265137" customHeight="1">
      <c r="G193" s="4"/>
      <c r="H193" s="4"/>
      <c r="M193" s="208"/>
      <c r="R193"/>
    </row>
    <row r="194" ht="13.699999809265137" customHeight="1">
      <c r="G194" s="4"/>
      <c r="H194" s="4"/>
      <c r="M194" s="208"/>
      <c r="R194"/>
    </row>
    <row r="195" ht="13.699999809265137" customHeight="1">
      <c r="G195" s="4"/>
      <c r="H195" s="4"/>
      <c r="M195" s="208"/>
      <c r="R195"/>
    </row>
    <row r="196" ht="13.699999809265137" customHeight="1">
      <c r="G196" s="4"/>
      <c r="H196" s="4"/>
      <c r="M196" s="208"/>
      <c r="R196"/>
    </row>
    <row r="197" ht="13.699999809265137" customHeight="1">
      <c r="G197" s="4"/>
      <c r="H197" s="4"/>
      <c r="M197" s="208"/>
      <c r="R197"/>
    </row>
    <row r="198" ht="13.699999809265137" customHeight="1">
      <c r="G198" s="4"/>
      <c r="H198" s="4"/>
      <c r="M198" s="208"/>
      <c r="R198"/>
    </row>
    <row r="199" ht="13.699999809265137" customHeight="1">
      <c r="G199" s="4"/>
      <c r="H199" s="4"/>
      <c r="M199" s="208"/>
      <c r="R199"/>
    </row>
    <row r="200" ht="13.699999809265137" customHeight="1">
      <c r="G200" s="4"/>
      <c r="H200" s="4"/>
      <c r="M200" s="208"/>
      <c r="R200"/>
    </row>
    <row r="201" ht="13.699999809265137" customHeight="1">
      <c r="G201" s="4"/>
      <c r="H201" s="4"/>
      <c r="M201" s="208"/>
      <c r="R201"/>
    </row>
    <row r="202" ht="13.699999809265137" customHeight="1">
      <c r="G202" s="4"/>
      <c r="H202" s="4"/>
      <c r="M202" s="208"/>
      <c r="R202"/>
    </row>
    <row r="203" ht="13.699999809265137" customHeight="1">
      <c r="G203" s="4"/>
      <c r="H203" s="4"/>
      <c r="M203" s="208"/>
      <c r="R203"/>
    </row>
    <row r="204" ht="13.699999809265137" customHeight="1">
      <c r="G204" s="4"/>
      <c r="H204" s="4"/>
      <c r="M204" s="208"/>
      <c r="R204"/>
    </row>
    <row r="205" ht="13.699999809265137" customHeight="1">
      <c r="G205" s="4"/>
      <c r="H205" s="4"/>
      <c r="M205" s="208"/>
      <c r="R205"/>
    </row>
    <row r="206" ht="13.699999809265137" customHeight="1">
      <c r="G206" s="4"/>
      <c r="H206" s="4"/>
      <c r="M206" s="208"/>
      <c r="R206"/>
    </row>
    <row r="207" ht="13.699999809265137" customHeight="1">
      <c r="G207" s="4"/>
      <c r="H207" s="4"/>
      <c r="M207" s="208"/>
      <c r="R207"/>
    </row>
    <row r="208" ht="13.699999809265137" customHeight="1">
      <c r="G208" s="4"/>
      <c r="H208" s="4"/>
      <c r="M208" s="208"/>
      <c r="R208"/>
    </row>
    <row r="209" ht="13.699999809265137" customHeight="1">
      <c r="G209" s="4"/>
      <c r="H209" s="4"/>
      <c r="M209" s="208"/>
      <c r="R209"/>
    </row>
    <row r="210" ht="13.699999809265137" customHeight="1">
      <c r="G210" s="4"/>
      <c r="H210" s="4"/>
      <c r="M210" s="208"/>
      <c r="R210"/>
    </row>
    <row r="211" ht="13.699999809265137" customHeight="1">
      <c r="G211" s="4"/>
      <c r="H211" s="4"/>
      <c r="M211" s="208"/>
      <c r="R211"/>
    </row>
    <row r="212" ht="13.699999809265137" customHeight="1">
      <c r="G212" s="4"/>
      <c r="H212" s="4"/>
      <c r="M212" s="208"/>
      <c r="R212"/>
    </row>
    <row r="213" ht="13.699999809265137" customHeight="1">
      <c r="G213" s="4"/>
      <c r="H213" s="4"/>
      <c r="M213" s="208"/>
      <c r="R213"/>
    </row>
    <row r="214" ht="13.699999809265137" customHeight="1">
      <c r="G214" s="4"/>
      <c r="H214" s="4"/>
      <c r="M214" s="208"/>
      <c r="R214"/>
    </row>
    <row r="215" ht="13.699999809265137" customHeight="1">
      <c r="G215" s="4"/>
      <c r="H215" s="4"/>
      <c r="M215" s="208"/>
      <c r="R215"/>
    </row>
    <row r="216" ht="13.699999809265137" customHeight="1">
      <c r="G216" s="4"/>
      <c r="H216" s="4"/>
      <c r="M216" s="208"/>
      <c r="R216"/>
    </row>
    <row r="217" ht="13.699999809265137" customHeight="1">
      <c r="G217" s="4"/>
      <c r="H217" s="4"/>
      <c r="M217" s="208"/>
      <c r="R217"/>
    </row>
    <row r="218" ht="13.699999809265137" customHeight="1">
      <c r="G218" s="4"/>
      <c r="H218" s="4"/>
      <c r="M218" s="208"/>
      <c r="R218"/>
    </row>
    <row r="219" ht="13.699999809265137" customHeight="1">
      <c r="G219" s="4"/>
      <c r="H219" s="4"/>
      <c r="M219" s="208"/>
      <c r="R219"/>
    </row>
    <row r="220" ht="13.699999809265137" customHeight="1">
      <c r="G220" s="4"/>
      <c r="H220" s="4"/>
      <c r="M220" s="208"/>
      <c r="R220"/>
    </row>
    <row r="221" ht="13.699999809265137" customHeight="1">
      <c r="G221" s="4"/>
      <c r="H221" s="4"/>
      <c r="M221" s="208"/>
      <c r="R221"/>
    </row>
    <row r="222" ht="13.699999809265137" customHeight="1">
      <c r="G222" s="4"/>
      <c r="H222" s="4"/>
      <c r="M222" s="208"/>
      <c r="R222"/>
    </row>
    <row r="223" ht="13.699999809265137" customHeight="1">
      <c r="G223" s="4"/>
      <c r="H223" s="4"/>
      <c r="M223" s="208"/>
      <c r="R223"/>
    </row>
    <row r="224" ht="13.699999809265137" customHeight="1">
      <c r="G224" s="4"/>
      <c r="H224" s="4"/>
      <c r="M224" s="208"/>
      <c r="R224"/>
    </row>
    <row r="225" ht="13.699999809265137" customHeight="1">
      <c r="G225" s="4"/>
      <c r="H225" s="4"/>
      <c r="M225" s="208"/>
      <c r="R225"/>
    </row>
    <row r="226" ht="13.699999809265137" customHeight="1">
      <c r="G226" s="4"/>
      <c r="H226" s="4"/>
      <c r="M226" s="208"/>
      <c r="R226"/>
    </row>
    <row r="227" ht="13.699999809265137" customHeight="1">
      <c r="G227" s="4"/>
      <c r="H227" s="4"/>
      <c r="M227" s="208"/>
      <c r="R227"/>
    </row>
    <row r="228" ht="13.699999809265137" customHeight="1">
      <c r="G228" s="4"/>
      <c r="H228" s="4"/>
      <c r="M228" s="208"/>
      <c r="R228"/>
    </row>
    <row r="229" ht="13.699999809265137" customHeight="1">
      <c r="G229" s="4"/>
      <c r="H229" s="4"/>
      <c r="M229" s="208"/>
      <c r="R229"/>
    </row>
    <row r="230" ht="13.699999809265137" customHeight="1">
      <c r="G230" s="4"/>
      <c r="H230" s="4"/>
      <c r="M230" s="208"/>
      <c r="R230"/>
    </row>
    <row r="231" ht="13.699999809265137" customHeight="1">
      <c r="G231" s="4"/>
      <c r="H231" s="4"/>
      <c r="M231" s="208"/>
      <c r="R231"/>
    </row>
    <row r="232" ht="13.699999809265137" customHeight="1">
      <c r="G232" s="4"/>
      <c r="H232" s="4"/>
      <c r="M232" s="208"/>
      <c r="R232"/>
    </row>
    <row r="233" ht="13.699999809265137" customHeight="1">
      <c r="G233" s="4"/>
      <c r="H233" s="4"/>
      <c r="M233" s="208"/>
      <c r="R233"/>
    </row>
    <row r="234" ht="13.699999809265137" customHeight="1">
      <c r="G234" s="4"/>
      <c r="H234" s="4"/>
      <c r="M234" s="208"/>
      <c r="R234"/>
    </row>
    <row r="235" ht="13.699999809265137" customHeight="1">
      <c r="G235" s="4"/>
      <c r="H235" s="4"/>
      <c r="M235" s="208"/>
      <c r="R235"/>
    </row>
    <row r="236" ht="13.699999809265137" customHeight="1">
      <c r="G236" s="4"/>
      <c r="H236" s="4"/>
      <c r="M236" s="208"/>
      <c r="R236"/>
    </row>
    <row r="237" ht="13.699999809265137" customHeight="1">
      <c r="G237" s="4"/>
      <c r="H237" s="4"/>
      <c r="M237" s="208"/>
      <c r="R237"/>
    </row>
    <row r="238" ht="13.699999809265137" customHeight="1">
      <c r="G238" s="4"/>
      <c r="H238" s="4"/>
      <c r="M238" s="208"/>
      <c r="R238"/>
    </row>
    <row r="239" ht="13.699999809265137" customHeight="1">
      <c r="G239" s="4"/>
      <c r="H239" s="4"/>
      <c r="M239" s="208"/>
      <c r="R239"/>
    </row>
    <row r="240" ht="13.699999809265137" customHeight="1">
      <c r="G240" s="4"/>
      <c r="H240" s="4"/>
      <c r="M240" s="208"/>
      <c r="R240"/>
    </row>
    <row r="241" ht="13.699999809265137" customHeight="1">
      <c r="G241" s="4"/>
      <c r="H241" s="4"/>
      <c r="M241" s="208"/>
      <c r="R241"/>
    </row>
    <row r="242" ht="13.699999809265137" customHeight="1">
      <c r="G242" s="4"/>
      <c r="H242" s="4"/>
      <c r="M242" s="208"/>
      <c r="R242"/>
    </row>
    <row r="243" ht="13.699999809265137" customHeight="1">
      <c r="G243" s="4"/>
      <c r="H243" s="4"/>
      <c r="M243" s="208"/>
      <c r="R243"/>
    </row>
    <row r="244" ht="13.699999809265137" customHeight="1">
      <c r="G244" s="4"/>
      <c r="H244" s="4"/>
      <c r="M244" s="208"/>
      <c r="R244"/>
    </row>
    <row r="245" ht="13.699999809265137" customHeight="1">
      <c r="G245" s="4"/>
      <c r="H245" s="4"/>
      <c r="M245" s="208"/>
      <c r="R245"/>
    </row>
    <row r="246" ht="13.699999809265137" customHeight="1">
      <c r="G246" s="4"/>
      <c r="H246" s="4"/>
      <c r="M246" s="208"/>
      <c r="R246"/>
    </row>
    <row r="247" ht="13.699999809265137" customHeight="1">
      <c r="G247" s="4"/>
      <c r="H247" s="4"/>
      <c r="M247" s="208"/>
      <c r="R247"/>
    </row>
    <row r="248" ht="13.699999809265137" customHeight="1">
      <c r="G248" s="4"/>
      <c r="H248" s="4"/>
      <c r="M248" s="208"/>
      <c r="R248"/>
    </row>
    <row r="249" ht="13.699999809265137" customHeight="1">
      <c r="G249" s="4"/>
      <c r="H249" s="4"/>
      <c r="M249" s="208"/>
      <c r="R249"/>
    </row>
    <row r="250" ht="13.699999809265137" customHeight="1">
      <c r="G250" s="4"/>
      <c r="H250" s="4"/>
      <c r="M250" s="208"/>
      <c r="R250"/>
    </row>
    <row r="251" ht="13.699999809265137" customHeight="1">
      <c r="G251" s="4"/>
      <c r="H251" s="4"/>
      <c r="M251" s="208"/>
      <c r="R251"/>
    </row>
    <row r="252" ht="13.699999809265137" customHeight="1">
      <c r="G252" s="4"/>
      <c r="H252" s="4"/>
      <c r="M252" s="208"/>
      <c r="R252"/>
    </row>
    <row r="253" ht="13.699999809265137" customHeight="1">
      <c r="G253" s="4"/>
      <c r="H253" s="4"/>
      <c r="M253" s="208"/>
      <c r="R253"/>
    </row>
    <row r="254" ht="13.699999809265137" customHeight="1">
      <c r="G254" s="4"/>
      <c r="H254" s="4"/>
      <c r="M254" s="208"/>
      <c r="R254"/>
    </row>
    <row r="255" ht="13.699999809265137" customHeight="1">
      <c r="G255" s="4"/>
      <c r="H255" s="4"/>
      <c r="M255" s="208"/>
      <c r="R255"/>
    </row>
    <row r="256" ht="13.699999809265137" customHeight="1">
      <c r="G256" s="4"/>
      <c r="H256" s="4"/>
      <c r="M256" s="208"/>
      <c r="R256"/>
    </row>
    <row r="257" ht="16.299999237060547" customHeight="1">
      <c r="G257" s="4" t="n">
        <f>SUM(G1:G256)</f>
        <v>0</v>
      </c>
      <c r="H257" s="4"/>
      <c r="M257" s="209" t="s">
        <v>218</v>
      </c>
      <c r="O257" s="4"/>
      <c r="R257" s="4"/>
      <c r="S257" s="210" t="s">
        <v>218</v>
      </c>
      <c r="T257" s="4" t="s">
        <v>218</v>
      </c>
    </row>
  </sheetData>
  <mergeCells>
    <mergeCell ref="A2:A153"/>
    <mergeCell ref="B2:B86"/>
    <mergeCell ref="B87:B153"/>
    <mergeCell ref="C2:C31"/>
    <mergeCell ref="C32:C38"/>
    <mergeCell ref="C39:C67"/>
    <mergeCell ref="C68:C74"/>
    <mergeCell ref="C75:C86"/>
    <mergeCell ref="C87:C116"/>
    <mergeCell ref="C117:C123"/>
    <mergeCell ref="C124:C148"/>
    <mergeCell ref="C149:C153"/>
    <mergeCell ref="C154:C173"/>
    <mergeCell ref="C174:C189"/>
    <mergeCell ref="D2:D31"/>
    <mergeCell ref="D32:D38"/>
    <mergeCell ref="D39:D67"/>
    <mergeCell ref="D68:D74"/>
    <mergeCell ref="D75:D86"/>
    <mergeCell ref="D87:D116"/>
    <mergeCell ref="D117:D123"/>
    <mergeCell ref="D124:D148"/>
    <mergeCell ref="D149:D153"/>
    <mergeCell ref="D154:D173"/>
    <mergeCell ref="D174:D189"/>
    <mergeCell ref="E2:E24"/>
    <mergeCell ref="E25:E31"/>
    <mergeCell ref="E33:E38"/>
    <mergeCell ref="E39:E47"/>
    <mergeCell ref="E48:E52"/>
    <mergeCell ref="E53:E63"/>
    <mergeCell ref="E64:E67"/>
    <mergeCell ref="E68:E70"/>
    <mergeCell ref="E75:E80"/>
    <mergeCell ref="E81:E86"/>
    <mergeCell ref="E87:E109"/>
    <mergeCell ref="E110:E116"/>
    <mergeCell ref="E118:E123"/>
    <mergeCell ref="E124:E132"/>
    <mergeCell ref="E133:E137"/>
    <mergeCell ref="E138:E148"/>
    <mergeCell ref="E149:E153"/>
    <mergeCell ref="E154:E160"/>
    <mergeCell ref="E161:E169"/>
    <mergeCell ref="E170:E173"/>
    <mergeCell ref="E174:E179"/>
    <mergeCell ref="E180:E181"/>
    <mergeCell ref="E182:E189"/>
    <mergeCell ref="J41:J42"/>
    <mergeCell ref="J126:J127"/>
    <mergeCell ref="K41:K42"/>
    <mergeCell ref="K43:K47"/>
    <mergeCell ref="K50:K51"/>
    <mergeCell ref="K126:K127"/>
    <mergeCell ref="K128:K132"/>
    <mergeCell ref="K135:K136"/>
    <mergeCell ref="A154:B189"/>
  </mergeCells>
  <pageMargins left="0.7" right="0.7" top="0.75" bottom="0.75" header="0.3" footer="0.3"/>
  <drawing ns1:id="Rc1c26df2c1644050"/>
</worksheet>
</file>

<file path=xl/worksheets/sheet2.xml><?xml version="1.0" encoding="utf-8"?>
<x:worksheet xmlns:x="http://schemas.openxmlformats.org/spreadsheetml/2006/main">
  <x:sheetViews>
    <x:sheetView showGridLines="0" workbookViewId="0"/>
  </x:sheetViews>
  <x:sheetFormatPr defaultColWidth="9.729729652404785" defaultRowHeight="13.699999809265137"/>
  <x:cols>
    <x:col min="1" max="3" width="12" customWidth="1"/>
    <x:col min="4" max="4" width="12" hidden="0" customWidth="1"/>
    <x:col min="5" max="5" width="14" hidden="0" customWidth="1"/>
    <x:col min="6" max="6" width="9" hidden="0" customWidth="1"/>
    <x:col min="7" max="7" width="28" hidden="0" customWidth="1"/>
    <x:col min="8" max="11" width="16" customWidth="1"/>
    <x:col min="12" max="12" width="12" hidden="0" customWidth="1"/>
    <x:col min="13" max="13" width="16" hidden="0" customWidth="1"/>
    <x:col min="14" max="16" width="14" customWidth="1"/>
    <x:col min="17" max="17" width="10" hidden="0" customWidth="1"/>
    <x:col min="18" max="18" width="38" hidden="0" customWidth="1"/>
    <x:col min="19" max="19" width="36" hidden="0" customWidth="1"/>
    <x:col min="20" max="20" width="14" hidden="0" customWidth="1"/>
    <x:col min="21" max="21" width="18" hidden="0" customWidth="1"/>
    <x:col min="22" max="22" width="10" hidden="0" customWidth="1"/>
    <x:col min="23" max="23" width="24" hidden="0" customWidth="1"/>
    <x:col min="24" max="24" width="12" hidden="0" customWidth="1"/>
    <x:col min="25" max="25" width="44" hidden="0" customWidth="1"/>
    <x:col min="26" max="26" width="30" hidden="0" customWidth="1"/>
    <x:col min="27" max="27" width="44" hidden="0" customWidth="1"/>
    <x:col min="28" max="28" width="26" hidden="0" customWidth="1"/>
    <x:col min="29" max="30" width="12" customWidth="1"/>
    <x:col min="31" max="31" width="40" hidden="0" customWidth="1"/>
    <x:col min="32" max="32" width="36" hidden="0" customWidth="1"/>
    <x:col min="33" max="33" width="30" hidden="0" customWidth="1"/>
    <x:col min="34" max="34" width="48" hidden="0" customWidth="1"/>
    <x:col min="35" max="35" width="24" hidden="0" customWidth="1"/>
    <x:col min="1" max="1" width="10" hidden="0" customWidth="1"/>
    <x:col min="2" max="2" width="10" hidden="0" customWidth="1"/>
    <x:col min="3" max="3" width="10" hidden="0" customWidth="1"/>
    <x:col min="8" max="8" width="20" hidden="0" customWidth="1"/>
    <x:col min="9" max="9" width="18" hidden="0" customWidth="1"/>
    <x:col min="10" max="10" width="30" hidden="0" customWidth="1"/>
    <x:col min="11" max="11" width="14" hidden="0" customWidth="1"/>
    <x:col min="14" max="14" width="12" hidden="0" customWidth="1"/>
    <x:col min="15" max="15" width="12" hidden="0" customWidth="1"/>
    <x:col min="16" max="16" width="12" hidden="0" customWidth="1"/>
    <x:col min="29" max="29" width="12" hidden="0" customWidth="1"/>
    <x:col min="30" max="30" width="10" hidden="0" customWidth="1"/>
  </x:cols>
  <x:sheetData>
    <x:row r="1" ht="28" customHeight="1">
      <x:c r="A1" s="664" t="str">
        <x:v>行类型</x:v>
      </x:c>
      <x:c r="B1" s="664" t="str">
        <x:v>大类</x:v>
      </x:c>
      <x:c r="C1" s="664" t="str">
        <x:v>资产/市场</x:v>
      </x:c>
      <x:c r="D1" s="664" t="str">
        <x:v>面级模块</x:v>
      </x:c>
      <x:c r="E1" s="664" t="str">
        <x:v>子维度</x:v>
      </x:c>
      <x:c r="F1" s="664" t="str">
        <x:v>原表行号</x:v>
      </x:c>
      <x:c r="G1" s="664" t="str">
        <x:v>监测指标</x:v>
      </x:c>
      <x:c r="H1" s="664" t="str">
        <x:v>数据频率/新鲜度</x:v>
      </x:c>
      <x:c r="I1" s="664" t="str">
        <x:v>指标性质</x:v>
      </x:c>
      <x:c r="J1" s="664" t="str">
        <x:v>数据属性</x:v>
      </x:c>
      <x:c r="K1" s="664" t="str">
        <x:v>必检/必讲属性</x:v>
      </x:c>
      <x:c r="L1" s="664" t="str">
        <x:v>当前值</x:v>
      </x:c>
      <x:c r="M1" s="664" t="str">
        <x:v>数据日期</x:v>
      </x:c>
      <x:c r="N1" s="664" t="str">
        <x:v>环比</x:v>
      </x:c>
      <x:c r="O1" s="664" t="str">
        <x:v>同比</x:v>
      </x:c>
      <x:c r="P1" s="664" t="str">
        <x:v>同比增量</x:v>
      </x:c>
      <x:c r="Q1" s="664" t="str">
        <x:v>权重占比</x:v>
      </x:c>
      <x:c r="R1" s="664" t="str">
        <x:v>指标判断</x:v>
      </x:c>
      <x:c r="S1" s="664" t="str">
        <x:v>权重/重要性复核</x:v>
      </x:c>
      <x:c r="T1" s="664" t="str">
        <x:v>角色标签</x:v>
      </x:c>
      <x:c r="U1" s="664" t="str">
        <x:v>方向判断</x:v>
      </x:c>
      <x:c r="V1" s="664" t="str">
        <x:v>影响强度</x:v>
      </x:c>
      <x:c r="W1" s="664" t="str">
        <x:v>关键阈值/对照基准</x:v>
      </x:c>
      <x:c r="X1" s="664" t="str">
        <x:v>第一轮候选</x:v>
      </x:c>
      <x:c r="Y1" s="664" t="str">
        <x:v>第一轮入选逻辑</x:v>
      </x:c>
      <x:c r="Z1" s="664" t="str">
        <x:v>反向证据检查</x:v>
      </x:c>
      <x:c r="AA1" s="664" t="str">
        <x:v>面级综合判断</x:v>
      </x:c>
      <x:c r="AB1" s="664" t="str">
        <x:v>结论强度约束</x:v>
      </x:c>
      <x:c r="AC1" s="664" t="str">
        <x:v>第二轮进PPT</x:v>
      </x:c>
      <x:c r="AD1" s="664" t="str">
        <x:v>展示优先级</x:v>
      </x:c>
      <x:c r="AE1" s="664" t="str">
        <x:v>第二轮入选逻辑</x:v>
      </x:c>
      <x:c r="AF1" s="664" t="str">
        <x:v>最终展示口径</x:v>
      </x:c>
      <x:c r="AG1" s="664" t="str">
        <x:v>未进入PPT原因</x:v>
      </x:c>
      <x:c r="AH1" s="664" t="str">
        <x:v>PPT最终文案/面级输出</x:v>
      </x:c>
      <x:c r="AI1" s="664" t="str">
        <x:v>待复核点</x:v>
      </x:c>
    </x:row>
    <x:row r="2" ht="36" customHeight="1">
      <x:c r="A2" s="667" t="str">
        <x:v>流程说明</x:v>
      </x:c>
      <x:c r="B2" s="667" t="str">
        <x:v>1. 识别最新TREE与日报</x:v>
      </x:c>
      <x:c r="C2" s="667" t="str"/>
      <x:c r="D2" s="667" t="str">
        <x:v>TREE作为本期指标池和前端展示口径；日报只用于底层分位、历史位置和趋势复核。</x:v>
      </x:c>
      <x:c r="E2" s="667" t="str"/>
      <x:c r="F2" s="667" t="str"/>
      <x:c r="G2" s="667" t="str"/>
      <x:c r="H2" s="667" t="str"/>
      <x:c r="I2" s="667" t="str"/>
      <x:c r="J2" s="667" t="str"/>
      <x:c r="K2" s="667" t="str"/>
      <x:c r="L2" s="667" t="str"/>
      <x:c r="M2" s="667" t="str"/>
      <x:c r="N2" s="667" t="str"/>
      <x:c r="O2" s="667" t="str"/>
      <x:c r="P2" s="667" t="str"/>
      <x:c r="Q2" s="667" t="str"/>
      <x:c r="R2" s="667" t="str"/>
      <x:c r="S2" s="667" t="str"/>
      <x:c r="T2" s="667" t="str"/>
      <x:c r="U2" s="667" t="str"/>
      <x:c r="V2" s="667" t="str"/>
      <x:c r="W2" s="667" t="str"/>
      <x:c r="X2" s="667" t="str"/>
      <x:c r="Y2" s="667" t="str"/>
      <x:c r="Z2" s="667" t="str"/>
      <x:c r="AA2" s="667" t="str"/>
      <x:c r="AB2" s="667" t="str"/>
      <x:c r="AC2" s="667" t="str"/>
      <x:c r="AD2" s="667" t="str"/>
      <x:c r="AE2" s="667" t="str"/>
      <x:c r="AF2" s="667" t="str"/>
      <x:c r="AG2" s="667" t="str"/>
      <x:c r="AH2" s="667" t="str"/>
      <x:c r="AI2" s="667" t="str"/>
    </x:row>
    <x:row r="3" ht="36" customHeight="1">
      <x:c r="A3" s="667" t="str">
        <x:v>流程说明</x:v>
      </x:c>
      <x:c r="B3" s="667" t="str">
        <x:v>2. 重建辅助表</x:v>
      </x:c>
      <x:c r="C3" s="667" t="str"/>
      <x:c r="D3" s="667" t="str">
        <x:v>旧辅助表只作为字段和样式模板；所有指标判断、入选状态和结论口径均按最新TREE重新生成。</x:v>
      </x:c>
      <x:c r="E3" s="667" t="str"/>
      <x:c r="F3" s="667" t="str"/>
      <x:c r="G3" s="667" t="str"/>
      <x:c r="H3" s="667" t="str"/>
      <x:c r="I3" s="667" t="str"/>
      <x:c r="J3" s="667" t="str"/>
      <x:c r="K3" s="667" t="str"/>
      <x:c r="L3" s="667" t="str"/>
      <x:c r="M3" s="667" t="str"/>
      <x:c r="N3" s="667" t="str"/>
      <x:c r="O3" s="667" t="str"/>
      <x:c r="P3" s="667" t="str"/>
      <x:c r="Q3" s="667" t="str"/>
      <x:c r="R3" s="667" t="str"/>
      <x:c r="S3" s="667" t="str"/>
      <x:c r="T3" s="667" t="str"/>
      <x:c r="U3" s="667" t="str"/>
      <x:c r="V3" s="667" t="str"/>
      <x:c r="W3" s="667" t="str"/>
      <x:c r="X3" s="667" t="str"/>
      <x:c r="Y3" s="667" t="str"/>
      <x:c r="Z3" s="667" t="str"/>
      <x:c r="AA3" s="667" t="str"/>
      <x:c r="AB3" s="667" t="str"/>
      <x:c r="AC3" s="667" t="str"/>
      <x:c r="AD3" s="667" t="str"/>
      <x:c r="AE3" s="667" t="str"/>
      <x:c r="AF3" s="667" t="str"/>
      <x:c r="AG3" s="667" t="str"/>
      <x:c r="AH3" s="667" t="str"/>
      <x:c r="AI3" s="667" t="str"/>
    </x:row>
    <x:row r="4" ht="36" customHeight="1">
      <x:c r="A4" s="667" t="str">
        <x:v>流程说明</x:v>
      </x:c>
      <x:c r="B4" s="667" t="str">
        <x:v>3. 第一轮候选池</x:v>
      </x:c>
      <x:c r="C4" s="667" t="str"/>
      <x:c r="D4" s="667" t="str">
        <x:v>按权重高、边际变化大、突破阈值、历史分位异常、需要联动判断等条件筛选参与面级综合判断的指标。</x:v>
      </x:c>
      <x:c r="E4" s="667" t="str"/>
      <x:c r="F4" s="667" t="str"/>
      <x:c r="G4" s="667" t="str"/>
      <x:c r="H4" s="667" t="str"/>
      <x:c r="I4" s="667" t="str"/>
      <x:c r="J4" s="667" t="str"/>
      <x:c r="K4" s="667" t="str"/>
      <x:c r="L4" s="667" t="str"/>
      <x:c r="M4" s="667" t="str"/>
      <x:c r="N4" s="667" t="str"/>
      <x:c r="O4" s="667" t="str"/>
      <x:c r="P4" s="667" t="str"/>
      <x:c r="Q4" s="667" t="str"/>
      <x:c r="R4" s="667" t="str"/>
      <x:c r="S4" s="667" t="str"/>
      <x:c r="T4" s="667" t="str"/>
      <x:c r="U4" s="667" t="str"/>
      <x:c r="V4" s="667" t="str"/>
      <x:c r="W4" s="667" t="str"/>
      <x:c r="X4" s="667" t="str"/>
      <x:c r="Y4" s="667" t="str"/>
      <x:c r="Z4" s="667" t="str"/>
      <x:c r="AA4" s="667" t="str"/>
      <x:c r="AB4" s="667" t="str"/>
      <x:c r="AC4" s="667" t="str"/>
      <x:c r="AD4" s="667" t="str"/>
      <x:c r="AE4" s="667" t="str"/>
      <x:c r="AF4" s="667" t="str"/>
      <x:c r="AG4" s="667" t="str"/>
      <x:c r="AH4" s="667" t="str"/>
      <x:c r="AI4" s="667" t="str"/>
    </x:row>
    <x:row r="5" ht="36" customHeight="1">
      <x:c r="A5" s="667" t="str">
        <x:v>流程说明</x:v>
      </x:c>
      <x:c r="B5" s="667" t="str">
        <x:v>4. 面级综合判断</x:v>
      </x:c>
      <x:c r="C5" s="667" t="str"/>
      <x:c r="D5" s="667" t="str">
        <x:v>面级结论由第一轮候选池综合得出，不能只由最终展示的单一指标倒推。</x:v>
      </x:c>
      <x:c r="E5" s="667" t="str"/>
      <x:c r="F5" s="667" t="str"/>
      <x:c r="G5" s="667" t="str"/>
      <x:c r="H5" s="667" t="str"/>
      <x:c r="I5" s="667" t="str"/>
      <x:c r="J5" s="667" t="str"/>
      <x:c r="K5" s="667" t="str"/>
      <x:c r="L5" s="667" t="str"/>
      <x:c r="M5" s="667" t="str"/>
      <x:c r="N5" s="667" t="str"/>
      <x:c r="O5" s="667" t="str"/>
      <x:c r="P5" s="667" t="str"/>
      <x:c r="Q5" s="667" t="str"/>
      <x:c r="R5" s="667" t="str"/>
      <x:c r="S5" s="667" t="str"/>
      <x:c r="T5" s="667" t="str"/>
      <x:c r="U5" s="667" t="str"/>
      <x:c r="V5" s="667" t="str"/>
      <x:c r="W5" s="667" t="str"/>
      <x:c r="X5" s="667" t="str"/>
      <x:c r="Y5" s="667" t="str"/>
      <x:c r="Z5" s="667" t="str"/>
      <x:c r="AA5" s="667" t="str"/>
      <x:c r="AB5" s="667" t="str"/>
      <x:c r="AC5" s="667" t="str"/>
      <x:c r="AD5" s="667" t="str"/>
      <x:c r="AE5" s="667" t="str"/>
      <x:c r="AF5" s="667" t="str"/>
      <x:c r="AG5" s="667" t="str"/>
      <x:c r="AH5" s="667" t="str"/>
      <x:c r="AI5" s="667" t="str"/>
    </x:row>
    <x:row r="6" ht="36" customHeight="1">
      <x:c r="A6" s="667" t="str">
        <x:v>流程说明</x:v>
      </x:c>
      <x:c r="B6" s="667" t="str">
        <x:v>5. 第二轮展示筛选</x:v>
      </x:c>
      <x:c r="C6" s="667" t="str"/>
      <x:c r="D6" s="667" t="str">
        <x:v>从第一轮候选中筛出最终PPT可展示的1-3组证据，要求解释力强、篇幅可控、可反向追溯。</x:v>
      </x:c>
      <x:c r="E6" s="667" t="str"/>
      <x:c r="F6" s="667" t="str"/>
      <x:c r="G6" s="667" t="str"/>
      <x:c r="H6" s="667" t="str"/>
      <x:c r="I6" s="667" t="str"/>
      <x:c r="J6" s="667" t="str"/>
      <x:c r="K6" s="667" t="str"/>
      <x:c r="L6" s="667" t="str"/>
      <x:c r="M6" s="667" t="str"/>
      <x:c r="N6" s="667" t="str"/>
      <x:c r="O6" s="667" t="str"/>
      <x:c r="P6" s="667" t="str"/>
      <x:c r="Q6" s="667" t="str"/>
      <x:c r="R6" s="667" t="str"/>
      <x:c r="S6" s="667" t="str"/>
      <x:c r="T6" s="667" t="str"/>
      <x:c r="U6" s="667" t="str"/>
      <x:c r="V6" s="667" t="str"/>
      <x:c r="W6" s="667" t="str"/>
      <x:c r="X6" s="667" t="str"/>
      <x:c r="Y6" s="667" t="str"/>
      <x:c r="Z6" s="667" t="str"/>
      <x:c r="AA6" s="667" t="str"/>
      <x:c r="AB6" s="667" t="str"/>
      <x:c r="AC6" s="667" t="str"/>
      <x:c r="AD6" s="667" t="str"/>
      <x:c r="AE6" s="667" t="str"/>
      <x:c r="AF6" s="667" t="str"/>
      <x:c r="AG6" s="667" t="str"/>
      <x:c r="AH6" s="667" t="str"/>
      <x:c r="AI6" s="667" t="str"/>
    </x:row>
    <x:row r="7" ht="36" customHeight="1">
      <x:c r="A7" s="667" t="str">
        <x:v>流程说明</x:v>
      </x:c>
      <x:c r="B7" s="667" t="str">
        <x:v>6. 反向证据检查</x:v>
      </x:c>
      <x:c r="C7" s="667" t="str"/>
      <x:c r="D7" s="667" t="str">
        <x:v>若存在反向指标，降低结论强度或写成分化/边际收敛，避免单指标下结论。</x:v>
      </x:c>
      <x:c r="E7" s="667" t="str"/>
      <x:c r="F7" s="667" t="str"/>
      <x:c r="G7" s="667" t="str"/>
      <x:c r="H7" s="667" t="str"/>
      <x:c r="I7" s="667" t="str"/>
      <x:c r="J7" s="667" t="str"/>
      <x:c r="K7" s="667" t="str"/>
      <x:c r="L7" s="667" t="str"/>
      <x:c r="M7" s="667" t="str"/>
      <x:c r="N7" s="667" t="str"/>
      <x:c r="O7" s="667" t="str"/>
      <x:c r="P7" s="667" t="str"/>
      <x:c r="Q7" s="667" t="str"/>
      <x:c r="R7" s="667" t="str"/>
      <x:c r="S7" s="667" t="str"/>
      <x:c r="T7" s="667" t="str"/>
      <x:c r="U7" s="667" t="str"/>
      <x:c r="V7" s="667" t="str"/>
      <x:c r="W7" s="667" t="str"/>
      <x:c r="X7" s="667" t="str"/>
      <x:c r="Y7" s="667" t="str"/>
      <x:c r="Z7" s="667" t="str"/>
      <x:c r="AA7" s="667" t="str"/>
      <x:c r="AB7" s="667" t="str"/>
      <x:c r="AC7" s="667" t="str"/>
      <x:c r="AD7" s="667" t="str"/>
      <x:c r="AE7" s="667" t="str"/>
      <x:c r="AF7" s="667" t="str"/>
      <x:c r="AG7" s="667" t="str"/>
      <x:c r="AH7" s="667" t="str"/>
      <x:c r="AI7" s="667" t="str"/>
    </x:row>
    <x:row r="8" ht="54" customHeight="1">
      <x:c r="A8" s="659" t="str">
        <x:v>指标</x:v>
      </x:c>
      <x:c r="B8" s="659" t="str">
        <x:v>境内</x:v>
      </x:c>
      <x:c r="C8" s="659" t="str">
        <x:v>股市</x:v>
      </x:c>
      <x:c r="D8" s="659" t="str">
        <x:v>基本面</x:v>
      </x:c>
      <x:c r="E8" s="659" t="str">
        <x:v>增长</x:v>
      </x:c>
      <x:c r="F8" s="659" t="n">
        <x:v>2</x:v>
      </x:c>
      <x:c r="G8" s="659" t="str">
        <x:v>中国:社会消费品零售总额:当月值</x:v>
      </x:c>
      <x:c r="H8" s="659" t="str">
        <x:v>月度；日期2026-05-31T00:00:00</x:v>
      </x:c>
      <x:c r="I8" s="659" t="str">
        <x:v>硬数据/同步指标</x:v>
      </x:c>
      <x:c r="J8" s="659" t="str">
        <x:v>当前41090；环比3843.5；同比-0.00570587865208；同比增量-235.8</x:v>
      </x:c>
      <x:c r="K8" s="659" t="str">
        <x:v>背景</x:v>
      </x:c>
      <x:c r="L8" s="659" t="n">
        <x:v>41090</x:v>
      </x:c>
      <x:c r="M8" s="659" t="str">
        <x:v>2026-05-31T00:00:00</x:v>
      </x:c>
      <x:c r="N8" s="659" t="n">
        <x:v>3843.5</x:v>
      </x:c>
      <x:c r="O8" s="659" t="n">
        <x:v>-0.00570587865208</x:v>
      </x:c>
      <x:c r="P8" s="659" t="n">
        <x:v>-235.8</x:v>
      </x:c>
      <x:c r="Q8" s="670" t="n">
        <x:v>0.02</x:v>
      </x:c>
      <x:c r="R8" s="659" t="str">
        <x:v>社零当月值同比近零且环比回落，消费交易规模偏弱。</x:v>
      </x:c>
      <x:c r="S8" s="659" t="str">
        <x:v>权重0.02；社零当月值反映消费市场的实际名义销售规模，是验证内需修复的重要金额口径；但当月值有春节、假期和价格因素扰动，方向判断仍应以社零同比和居民收入等指标为主。</x:v>
      </x:c>
      <x:c r="T8" s="659" t="str">
        <x:v>背景验证</x:v>
      </x:c>
      <x:c r="U8" s="659" t="str">
        <x:v>中性</x:v>
      </x:c>
      <x:c r="V8" s="659" t="str">
        <x:v>中</x:v>
      </x:c>
      <x:c r="W8" s="659" t="str">
        <x:v>重点看环比/同比方向和历史位置</x:v>
      </x:c>
      <x:c r="X8" s="659" t="str">
        <x:v>否</x:v>
      </x:c>
      <x:c r="Y8" s="659" t="str">
        <x:v>权重或边际变化不足以改变面级判断，本期作为背景验证。</x:v>
      </x:c>
      <x:c r="Z8" s="659" t="str">
        <x:v>已检查同面反向指标；若出现支撑与压力并存，面级结论按分化或边际变化处理。</x:v>
      </x:c>
      <x:c r="AA8"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8" s="659" t="str">
        <x:v>避免单指标下结论；资金面不轻易表述为紧缩，估值面必须给历史分位。</x:v>
      </x:c>
      <x:c r="AC8" s="659" t="str">
        <x:v>否</x:v>
      </x:c>
      <x:c r="AD8" s="659" t="str">
        <x:v>P3</x:v>
      </x:c>
      <x:c r="AE8" s="659" t="str"/>
      <x:c r="AF8" s="659" t="str"/>
      <x:c r="AG8" s="659" t="str">
        <x:v>作为背景验证，不进入最终PPT。</x:v>
      </x:c>
      <x:c r="AH8" s="659" t="str"/>
      <x:c r="AI8" s="659" t="str"/>
    </x:row>
    <x:row r="9" ht="54" customHeight="1">
      <x:c r="A9" s="659" t="str">
        <x:v>指标</x:v>
      </x:c>
      <x:c r="B9" s="659" t="str">
        <x:v>境内</x:v>
      </x:c>
      <x:c r="C9" s="659" t="str">
        <x:v>股市</x:v>
      </x:c>
      <x:c r="D9" s="659" t="str">
        <x:v>基本面</x:v>
      </x:c>
      <x:c r="E9" s="659" t="str">
        <x:v>增长</x:v>
      </x:c>
      <x:c r="F9" s="659" t="n">
        <x:v>3</x:v>
      </x:c>
      <x:c r="G9" s="659" t="str">
        <x:v>社会消费品零售总额（同比）</x:v>
      </x:c>
      <x:c r="H9" s="659" t="str">
        <x:v>月度；日期2026-05-31T00:00:00</x:v>
      </x:c>
      <x:c r="I9" s="659" t="str">
        <x:v>硬数据/同步指标</x:v>
      </x:c>
      <x:c r="J9" s="659" t="str">
        <x:v>当前-0.006；环比-0.008；同比-0.006；同比增量-0.07</x:v>
      </x:c>
      <x:c r="K9" s="659" t="str">
        <x:v>必检</x:v>
      </x:c>
      <x:c r="L9" s="659" t="n">
        <x:v>-0.006</x:v>
      </x:c>
      <x:c r="M9" s="659" t="str">
        <x:v>2026-05-31T00:00:00</x:v>
      </x:c>
      <x:c r="N9" s="659" t="n">
        <x:v>-0.008</x:v>
      </x:c>
      <x:c r="O9" s="659" t="n">
        <x:v>-0.006</x:v>
      </x:c>
      <x:c r="P9" s="659" t="n">
        <x:v>-0.07</x:v>
      </x:c>
      <x:c r="Q9" s="684" t="n">
        <x:v>0.0388888888888889</x:v>
      </x:c>
      <x:c r="R9" s="659" t="str">
        <x:v>社零同比仅0.2%且较上月降1.5pct，消费动能明显降温。</x:v>
      </x:c>
      <x:c r="S9" s="659" t="str">
        <x:v>权重0.0388888888888889；社零是消费需求的核心月度代理，直接反映内需修复，在本项中更能代表方向。</x:v>
      </x:c>
      <x:c r="T9" s="681" t="str">
        <x:v>最终展示候选</x:v>
      </x:c>
      <x:c r="U9" s="659" t="str">
        <x:v>股市偏利空/债市偏利多</x:v>
      </x:c>
      <x:c r="V9" s="659" t="str">
        <x:v>高</x:v>
      </x:c>
      <x:c r="W9" s="659" t="str">
        <x:v>重点看环比/同比方向和历史位置</x:v>
      </x:c>
      <x:c r="X9" s="674" t="str">
        <x:v>是</x:v>
      </x:c>
      <x:c r="Y9" s="659" t="str">
        <x:v>权重较高或边际变化/阈值信号明确，且解释力足以支撑面级结论，进入第一轮候选池。</x:v>
      </x:c>
      <x:c r="Z9" s="659" t="str">
        <x:v>已检查同面反向指标；若出现支撑与压力并存，面级结论按分化或边际变化处理。</x:v>
      </x:c>
      <x:c r="AA9"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9" s="659" t="str">
        <x:v>避免单指标下结论；资金面不轻易表述为紧缩，估值面必须给历史分位。</x:v>
      </x:c>
      <x:c r="AC9" s="677" t="str">
        <x:v>是</x:v>
      </x:c>
      <x:c r="AD9" s="659" t="str">
        <x:v>P1</x:v>
      </x:c>
      <x:c r="AE9" s="659" t="str">
        <x:v>第二轮入选：该指标能最直接解释面级判断，且适合放入最终PPT。</x:v>
      </x:c>
      <x:c r="AF9" s="659" t="str">
        <x:v>社零同比-0.6%、较上月回落0.8个百分点</x:v>
      </x:c>
      <x:c r="AG9" s="659" t="str"/>
      <x:c r="AH9"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I9" s="659" t="str">
        <x:v>需人工复核口径与最终PPT篇幅。</x:v>
      </x:c>
    </x:row>
    <x:row r="10" ht="54" customHeight="1">
      <x:c r="A10" s="659" t="str">
        <x:v>指标</x:v>
      </x:c>
      <x:c r="B10" s="659" t="str">
        <x:v>境内</x:v>
      </x:c>
      <x:c r="C10" s="659" t="str">
        <x:v>股市</x:v>
      </x:c>
      <x:c r="D10" s="659" t="str">
        <x:v>基本面</x:v>
      </x:c>
      <x:c r="E10" s="659" t="str">
        <x:v>增长</x:v>
      </x:c>
      <x:c r="F10" s="659" t="n">
        <x:v>4</x:v>
      </x:c>
      <x:c r="G10" s="659" t="str">
        <x:v>GDP总量：中国</x:v>
      </x:c>
      <x:c r="H10" s="659" t="str">
        <x:v>季度；日期2026-03-31T00:00:00</x:v>
      </x:c>
      <x:c r="I10" s="659" t="str">
        <x:v>硬数据/低频滞后指标</x:v>
      </x:c>
      <x:c r="J10" s="659" t="str">
        <x:v>当前334192.9；环比-53718.4；同比0.0493819756181；同比增量15726.5</x:v>
      </x:c>
      <x:c r="K10" s="659" t="str">
        <x:v>背景</x:v>
      </x:c>
      <x:c r="L10" s="659" t="n">
        <x:v>334192.9</x:v>
      </x:c>
      <x:c r="M10" s="659" t="str">
        <x:v>2026-03-31T00:00:00</x:v>
      </x:c>
      <x:c r="N10" s="659" t="n">
        <x:v>-53718.4</x:v>
      </x:c>
      <x:c r="O10" s="659" t="n">
        <x:v>0.0493819756181</x:v>
      </x:c>
      <x:c r="P10" s="659" t="n">
        <x:v>15726.5</x:v>
      </x:c>
      <x:c r="Q10" s="670" t="n">
        <x:v>0.0222222222222</x:v>
      </x:c>
      <x:c r="R10" s="659" t="str">
        <x:v>名义GDP同比约4.94%，经济规模仍扩张但季度数据偏滞后。</x:v>
      </x:c>
      <x:c r="S10" s="659" t="str">
        <x:v>权重0.0222222222222；中国GDP总量是经济规模和产出水平的总口径，能校准增长判断的基础盘；但季度发布且偏滞后，方向判断仍需依赖社零、投资、出口、PMI等更高频指标。</x:v>
      </x:c>
      <x:c r="T10" s="659" t="str">
        <x:v>背景验证</x:v>
      </x:c>
      <x:c r="U10" s="659" t="str">
        <x:v>中性</x:v>
      </x:c>
      <x:c r="V10" s="659" t="str">
        <x:v>中</x:v>
      </x:c>
      <x:c r="W10" s="659" t="str">
        <x:v>重点看环比/同比方向和历史位置</x:v>
      </x:c>
      <x:c r="X10" s="659" t="str">
        <x:v>否</x:v>
      </x:c>
      <x:c r="Y10" s="659" t="str">
        <x:v>权重或边际变化不足以改变面级判断，本期作为背景验证。</x:v>
      </x:c>
      <x:c r="Z10" s="659" t="str">
        <x:v>已检查同面反向指标；若出现支撑与压力并存，面级结论按分化或边际变化处理。</x:v>
      </x:c>
      <x:c r="AA10"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0" s="659" t="str">
        <x:v>避免单指标下结论；资金面不轻易表述为紧缩，估值面必须给历史分位。</x:v>
      </x:c>
      <x:c r="AC10" s="659" t="str">
        <x:v>否</x:v>
      </x:c>
      <x:c r="AD10" s="659" t="str">
        <x:v>P3</x:v>
      </x:c>
      <x:c r="AE10" s="659" t="str"/>
      <x:c r="AF10" s="659" t="str"/>
      <x:c r="AG10" s="659" t="str">
        <x:v>作为背景验证，不进入最终PPT。</x:v>
      </x:c>
      <x:c r="AH10" s="659" t="str"/>
      <x:c r="AI10" s="659" t="str"/>
    </x:row>
    <x:row r="11" ht="54" customHeight="1">
      <x:c r="A11" s="659" t="str">
        <x:v>指标</x:v>
      </x:c>
      <x:c r="B11" s="659" t="str">
        <x:v>境内</x:v>
      </x:c>
      <x:c r="C11" s="659" t="str">
        <x:v>股市</x:v>
      </x:c>
      <x:c r="D11" s="659" t="str">
        <x:v>基本面</x:v>
      </x:c>
      <x:c r="E11" s="659" t="str">
        <x:v>增长</x:v>
      </x:c>
      <x:c r="F11" s="659" t="n">
        <x:v>5</x:v>
      </x:c>
      <x:c r="G11" s="659" t="str">
        <x:v>GDP同比：中国</x:v>
      </x:c>
      <x:c r="H11" s="659" t="str">
        <x:v>季度；日期2026-03-31T00:00:00</x:v>
      </x:c>
      <x:c r="I11" s="659" t="str">
        <x:v>硬数据/低频滞后指标</x:v>
      </x:c>
      <x:c r="J11" s="659" t="str">
        <x:v>当前0.05；环比0.005；同比0.05；同比增量-0.004</x:v>
      </x:c>
      <x:c r="K11" s="659" t="str">
        <x:v>背景</x:v>
      </x:c>
      <x:c r="L11" s="659" t="n">
        <x:v>0.05</x:v>
      </x:c>
      <x:c r="M11" s="659" t="str">
        <x:v>2026-03-31T00:00:00</x:v>
      </x:c>
      <x:c r="N11" s="659" t="n">
        <x:v>0.005</x:v>
      </x:c>
      <x:c r="O11" s="659" t="n">
        <x:v>0.05</x:v>
      </x:c>
      <x:c r="P11" s="659" t="n">
        <x:v>-0.004</x:v>
      </x:c>
      <x:c r="Q11" s="670" t="n">
        <x:v>0.0333333333333</x:v>
      </x:c>
      <x:c r="R11" s="659" t="str">
        <x:v>实际GDP同比5.0%、环比改善0.5pct，增长总体平稳。</x:v>
      </x:c>
      <x:c r="S11" s="659" t="str">
        <x:v>权重0.0333333333333；中国GDP不变价当季同比是宏观增长最核心的真实增长指标，能直接验证经济周期方向和政策成效；但季度发布且相对滞后，更适合作为增长模块的锚，而不是高频边际信号。</x:v>
      </x:c>
      <x:c r="T11" s="659" t="str">
        <x:v>背景验证</x:v>
      </x:c>
      <x:c r="U11" s="659" t="str">
        <x:v>中性</x:v>
      </x:c>
      <x:c r="V11" s="659" t="str">
        <x:v>中</x:v>
      </x:c>
      <x:c r="W11" s="659" t="str">
        <x:v>重点看环比/同比方向和历史位置</x:v>
      </x:c>
      <x:c r="X11" s="659" t="str">
        <x:v>否</x:v>
      </x:c>
      <x:c r="Y11" s="659" t="str">
        <x:v>权重或边际变化不足以改变面级判断，本期作为背景验证。</x:v>
      </x:c>
      <x:c r="Z11" s="659" t="str">
        <x:v>已检查同面反向指标；若出现支撑与压力并存，面级结论按分化或边际变化处理。</x:v>
      </x:c>
      <x:c r="AA11"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1" s="659" t="str">
        <x:v>避免单指标下结论；资金面不轻易表述为紧缩，估值面必须给历史分位。</x:v>
      </x:c>
      <x:c r="AC11" s="659" t="str">
        <x:v>否</x:v>
      </x:c>
      <x:c r="AD11" s="659" t="str">
        <x:v>P3</x:v>
      </x:c>
      <x:c r="AE11" s="659" t="str"/>
      <x:c r="AF11" s="659" t="str"/>
      <x:c r="AG11" s="659" t="str">
        <x:v>作为背景验证，不进入最终PPT。</x:v>
      </x:c>
      <x:c r="AH11" s="659" t="str"/>
      <x:c r="AI11" s="659" t="str"/>
    </x:row>
    <x:row r="12" ht="54" customHeight="1">
      <x:c r="A12" s="659" t="str">
        <x:v>指标</x:v>
      </x:c>
      <x:c r="B12" s="659" t="str">
        <x:v>境内</x:v>
      </x:c>
      <x:c r="C12" s="659" t="str">
        <x:v>股市</x:v>
      </x:c>
      <x:c r="D12" s="659" t="str">
        <x:v>基本面</x:v>
      </x:c>
      <x:c r="E12" s="659" t="str">
        <x:v>增长</x:v>
      </x:c>
      <x:c r="F12" s="659" t="n">
        <x:v>6</x:v>
      </x:c>
      <x:c r="G12" s="659" t="str">
        <x:v>中国:GDP累计同比贡献率:最终消费支出:支出法</x:v>
      </x:c>
      <x:c r="H12" s="659" t="str">
        <x:v>季度；日期2026-03-31T00:00:00</x:v>
      </x:c>
      <x:c r="I12" s="659" t="str">
        <x:v>硬数据/低频滞后指标</x:v>
      </x:c>
      <x:c r="J12" s="659" t="str">
        <x:v>当前0.467；环比-0.053；同比0.467；同比增量-0.034</x:v>
      </x:c>
      <x:c r="K12" s="659" t="str">
        <x:v>背景</x:v>
      </x:c>
      <x:c r="L12" s="659" t="n">
        <x:v>0.467</x:v>
      </x:c>
      <x:c r="M12" s="659" t="str">
        <x:v>2026-03-31T00:00:00</x:v>
      </x:c>
      <x:c r="N12" s="659" t="n">
        <x:v>-0.053</x:v>
      </x:c>
      <x:c r="O12" s="659" t="n">
        <x:v>0.467</x:v>
      </x:c>
      <x:c r="P12" s="659" t="n">
        <x:v>-0.034</x:v>
      </x:c>
      <x:c r="Q12" s="687" t="n">
        <x:v>0.0166666666667</x:v>
      </x:c>
      <x:c r="R12" s="659" t="str">
        <x:v>消费贡献率46.7%且环比回落，内需主动力减弱。</x:v>
      </x:c>
      <x:c r="S12" s="659" t="str">
        <x:v>权重0.0166666666667；最终消费支出贡献率用于拆解GDP增长来源，能判断增长是否由内需和居民消费驱动；它是结构验证指标，重要性低于消费零售等更高频数据。</x:v>
      </x:c>
      <x:c r="T12" s="659" t="str">
        <x:v>背景验证</x:v>
      </x:c>
      <x:c r="U12" s="659" t="str">
        <x:v>中性</x:v>
      </x:c>
      <x:c r="V12" s="659" t="str">
        <x:v>中</x:v>
      </x:c>
      <x:c r="W12" s="659" t="str">
        <x:v>重点看环比/同比方向和历史位置</x:v>
      </x:c>
      <x:c r="X12" s="659" t="str">
        <x:v>否</x:v>
      </x:c>
      <x:c r="Y12" s="659" t="str">
        <x:v>权重或边际变化不足以改变面级判断，本期作为背景验证。</x:v>
      </x:c>
      <x:c r="Z12" s="659" t="str">
        <x:v>已检查同面反向指标；若出现支撑与压力并存，面级结论按分化或边际变化处理。</x:v>
      </x:c>
      <x:c r="AA12"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2" s="659" t="str">
        <x:v>避免单指标下结论；资金面不轻易表述为紧缩，估值面必须给历史分位。</x:v>
      </x:c>
      <x:c r="AC12" s="659" t="str">
        <x:v>否</x:v>
      </x:c>
      <x:c r="AD12" s="659" t="str">
        <x:v>P3</x:v>
      </x:c>
      <x:c r="AE12" s="659" t="str"/>
      <x:c r="AF12" s="659" t="str"/>
      <x:c r="AG12" s="659" t="str">
        <x:v>作为背景验证，不进入最终PPT。</x:v>
      </x:c>
      <x:c r="AH12" s="659" t="str"/>
      <x:c r="AI12" s="659" t="str"/>
    </x:row>
    <x:row r="13" ht="54" customHeight="1">
      <x:c r="A13" s="659" t="str">
        <x:v>指标</x:v>
      </x:c>
      <x:c r="B13" s="659" t="str">
        <x:v>境内</x:v>
      </x:c>
      <x:c r="C13" s="659" t="str">
        <x:v>股市</x:v>
      </x:c>
      <x:c r="D13" s="659" t="str">
        <x:v>基本面</x:v>
      </x:c>
      <x:c r="E13" s="659" t="str">
        <x:v>增长</x:v>
      </x:c>
      <x:c r="F13" s="659" t="n">
        <x:v>7</x:v>
      </x:c>
      <x:c r="G13" s="659" t="str">
        <x:v>中国:GDP累计同比贡献率:资本形成总额:支出法</x:v>
      </x:c>
      <x:c r="H13" s="659" t="str">
        <x:v>季度；日期2026-03-31T00:00:00</x:v>
      </x:c>
      <x:c r="I13" s="659" t="str">
        <x:v>硬数据/低频滞后指标</x:v>
      </x:c>
      <x:c r="J13" s="659" t="str">
        <x:v>当前0.38；环比0.227；同比0.38；同比增量0.333</x:v>
      </x:c>
      <x:c r="K13" s="659" t="str">
        <x:v>背景</x:v>
      </x:c>
      <x:c r="L13" s="659" t="n">
        <x:v>0.38</x:v>
      </x:c>
      <x:c r="M13" s="659" t="str">
        <x:v>2026-03-31T00:00:00</x:v>
      </x:c>
      <x:c r="N13" s="659" t="n">
        <x:v>0.227</x:v>
      </x:c>
      <x:c r="O13" s="659" t="n">
        <x:v>0.38</x:v>
      </x:c>
      <x:c r="P13" s="659" t="n">
        <x:v>0.333</x:v>
      </x:c>
      <x:c r="Q13" s="687" t="n">
        <x:v>0.0166666666667</x:v>
      </x:c>
      <x:c r="R13" s="659" t="str">
        <x:v>资本形成贡献率38.0%且大幅上升，增长更依赖投资拉动。</x:v>
      </x:c>
      <x:c r="S13" s="659" t="str">
        <x:v>权重0.0166666666667；资本形成总额贡献率用于观察投资对GDP增长的拉动，是判断基建、制造业和地产投资合力的结构指标；由于季度更新，主要用于验证投资链条结论。</x:v>
      </x:c>
      <x:c r="T13" s="659" t="str">
        <x:v>背景验证</x:v>
      </x:c>
      <x:c r="U13" s="659" t="str">
        <x:v>中性</x:v>
      </x:c>
      <x:c r="V13" s="659" t="str">
        <x:v>中</x:v>
      </x:c>
      <x:c r="W13" s="659" t="str">
        <x:v>重点看环比/同比方向和历史位置</x:v>
      </x:c>
      <x:c r="X13" s="659" t="str">
        <x:v>否</x:v>
      </x:c>
      <x:c r="Y13" s="659" t="str">
        <x:v>权重或边际变化不足以改变面级判断，本期作为背景验证。</x:v>
      </x:c>
      <x:c r="Z13" s="659" t="str">
        <x:v>已检查同面反向指标；若出现支撑与压力并存，面级结论按分化或边际变化处理。</x:v>
      </x:c>
      <x:c r="AA13"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3" s="659" t="str">
        <x:v>避免单指标下结论；资金面不轻易表述为紧缩，估值面必须给历史分位。</x:v>
      </x:c>
      <x:c r="AC13" s="659" t="str">
        <x:v>否</x:v>
      </x:c>
      <x:c r="AD13" s="659" t="str">
        <x:v>P3</x:v>
      </x:c>
      <x:c r="AE13" s="659" t="str"/>
      <x:c r="AF13" s="659" t="str"/>
      <x:c r="AG13" s="659" t="str">
        <x:v>作为背景验证，不进入最终PPT。</x:v>
      </x:c>
      <x:c r="AH13" s="659" t="str"/>
      <x:c r="AI13" s="659" t="str"/>
    </x:row>
    <x:row r="14" ht="54" customHeight="1">
      <x:c r="A14" s="659" t="str">
        <x:v>指标</x:v>
      </x:c>
      <x:c r="B14" s="659" t="str">
        <x:v>境内</x:v>
      </x:c>
      <x:c r="C14" s="659" t="str">
        <x:v>股市</x:v>
      </x:c>
      <x:c r="D14" s="659" t="str">
        <x:v>基本面</x:v>
      </x:c>
      <x:c r="E14" s="659" t="str">
        <x:v>增长</x:v>
      </x:c>
      <x:c r="F14" s="659" t="n">
        <x:v>8</x:v>
      </x:c>
      <x:c r="G14" s="659" t="str">
        <x:v>中国:GDP累计同比贡献率:货物和服务净出口:支出法</x:v>
      </x:c>
      <x:c r="H14" s="659" t="str">
        <x:v>季度；日期2026-03-31T00:00:00</x:v>
      </x:c>
      <x:c r="I14" s="659" t="str">
        <x:v>硬数据/低频滞后指标</x:v>
      </x:c>
      <x:c r="J14" s="659" t="str">
        <x:v>当前0.153；环比-0.174；同比0.153；同比增量-0.299</x:v>
      </x:c>
      <x:c r="K14" s="659" t="str">
        <x:v>背景</x:v>
      </x:c>
      <x:c r="L14" s="659" t="n">
        <x:v>0.153</x:v>
      </x:c>
      <x:c r="M14" s="659" t="str">
        <x:v>2026-03-31T00:00:00</x:v>
      </x:c>
      <x:c r="N14" s="659" t="n">
        <x:v>-0.174</x:v>
      </x:c>
      <x:c r="O14" s="659" t="n">
        <x:v>0.153</x:v>
      </x:c>
      <x:c r="P14" s="659" t="n">
        <x:v>-0.299</x:v>
      </x:c>
      <x:c r="Q14" s="687" t="n">
        <x:v>0.0111111111111</x:v>
      </x:c>
      <x:c r="R14" s="659" t="str">
        <x:v>净出口贡献率15.3%但明显回落，外需拉动边际减弱。</x:v>
      </x:c>
      <x:c r="S14" s="659" t="str">
        <x:v>权重0.0111111111111；货物和服务净出口贡献率衡量外需对GDP增长的贡献，能补充出口链条判断；但贡献率受进口、价格和汇率共同影响，权重低于直接出口同比和贸易差额。</x:v>
      </x:c>
      <x:c r="T14" s="659" t="str">
        <x:v>背景验证</x:v>
      </x:c>
      <x:c r="U14" s="659" t="str">
        <x:v>中性</x:v>
      </x:c>
      <x:c r="V14" s="659" t="str">
        <x:v>中</x:v>
      </x:c>
      <x:c r="W14" s="659" t="str">
        <x:v>重点看环比/同比方向和历史位置</x:v>
      </x:c>
      <x:c r="X14" s="659" t="str">
        <x:v>否</x:v>
      </x:c>
      <x:c r="Y14" s="659" t="str">
        <x:v>权重或边际变化不足以改变面级判断，本期作为背景验证。</x:v>
      </x:c>
      <x:c r="Z14" s="659" t="str">
        <x:v>已检查同面反向指标；若出现支撑与压力并存，面级结论按分化或边际变化处理。</x:v>
      </x:c>
      <x:c r="AA14"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4" s="659" t="str">
        <x:v>避免单指标下结论；资金面不轻易表述为紧缩，估值面必须给历史分位。</x:v>
      </x:c>
      <x:c r="AC14" s="659" t="str">
        <x:v>否</x:v>
      </x:c>
      <x:c r="AD14" s="659" t="str">
        <x:v>P3</x:v>
      </x:c>
      <x:c r="AE14" s="659" t="str"/>
      <x:c r="AF14" s="659" t="str"/>
      <x:c r="AG14" s="659" t="str">
        <x:v>作为背景验证，不进入最终PPT。</x:v>
      </x:c>
      <x:c r="AH14" s="659" t="str"/>
      <x:c r="AI14" s="659" t="str"/>
    </x:row>
    <x:row r="15" ht="54" customHeight="1">
      <x:c r="A15" s="659" t="str">
        <x:v>指标</x:v>
      </x:c>
      <x:c r="B15" s="659" t="str">
        <x:v>境内</x:v>
      </x:c>
      <x:c r="C15" s="659" t="str">
        <x:v>股市</x:v>
      </x:c>
      <x:c r="D15" s="659" t="str">
        <x:v>基本面</x:v>
      </x:c>
      <x:c r="E15" s="659" t="str">
        <x:v>增长</x:v>
      </x:c>
      <x:c r="F15" s="659" t="n">
        <x:v>9</x:v>
      </x:c>
      <x:c r="G15" s="659" t="str">
        <x:v>中国:固定资产投资累计值
①固投分项：制造业
②固投分项：基建
③固投分项：地产
④民间固定投资</x:v>
      </x:c>
      <x:c r="H15" s="659" t="str">
        <x:v>月度；日期2026-05-31T00:00:00</x:v>
      </x:c>
      <x:c r="I15" s="659" t="str">
        <x:v>硬数据/同步指标</x:v>
      </x:c>
      <x:c r="J15" s="659" t="str">
        <x:v>当前-4.1；环比-2.5；同比-0.0389800304712；同比增量-5731</x:v>
      </x:c>
      <x:c r="K15" s="659" t="str">
        <x:v>必检</x:v>
      </x:c>
      <x:c r="L15" s="659" t="n">
        <x:v>-4.1</x:v>
      </x:c>
      <x:c r="M15" s="659" t="str">
        <x:v>2026-05-31T00:00:00</x:v>
      </x:c>
      <x:c r="N15" s="659" t="n">
        <x:v>-2.5</x:v>
      </x:c>
      <x:c r="O15" s="659" t="n">
        <x:v>-0.0389800304712</x:v>
      </x:c>
      <x:c r="P15" s="659" t="n">
        <x:v>-5731</x:v>
      </x:c>
      <x:c r="Q15" s="670" t="n">
        <x:v>0.02</x:v>
      </x:c>
      <x:c r="R15" s="659" t="str">
        <x:v>固投累计值同比下降3.9%，投资总量偏弱。</x:v>
      </x:c>
      <x:c r="S15" s="659" t="str">
        <x:v>权重0.02；固定资产投资累计值反映年内投资完成规模，是观察稳增长落地和实体资本开支的重要金额口径；但累计值受年度进度影响，边际判断应结合累计同比和制造业、基建、地产分项。</x:v>
      </x:c>
      <x:c r="T15" s="691" t="str">
        <x:v>关键候选</x:v>
      </x:c>
      <x:c r="U15" s="659" t="str">
        <x:v>股市偏利空/债市偏利多</x:v>
      </x:c>
      <x:c r="V15" s="659" t="str">
        <x:v>中</x:v>
      </x:c>
      <x:c r="W15" s="659" t="str">
        <x:v>重点看环比/同比方向和历史位置</x:v>
      </x:c>
      <x:c r="X15" s="674" t="str">
        <x:v>是</x:v>
      </x:c>
      <x:c r="Y15" s="659" t="str">
        <x:v>指标权重较高、边际变化明显或具有关键阈值/联动判断价值，进入第一轮候选池。</x:v>
      </x:c>
      <x:c r="Z15" s="659" t="str">
        <x:v>已检查同面反向指标；若出现支撑与压力并存，面级结论按分化或边际变化处理。</x:v>
      </x:c>
      <x:c r="AA15"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5" s="659" t="str">
        <x:v>避免单指标下结论；资金面不轻易表述为紧缩，估值面必须给历史分位。</x:v>
      </x:c>
      <x:c r="AC15" s="659" t="str">
        <x:v>否</x:v>
      </x:c>
      <x:c r="AD15" s="659" t="str">
        <x:v>P2</x:v>
      </x:c>
      <x:c r="AE15" s="659" t="str"/>
      <x:c r="AF15" s="659" t="str"/>
      <x:c r="AG15" s="659" t="str">
        <x:v>已经参与第一轮判断，但不是本期最终展示的最高解释力指标。</x:v>
      </x:c>
      <x:c r="AH15" s="659" t="str"/>
      <x:c r="AI15" s="659" t="str"/>
    </x:row>
    <x:row r="16" ht="54" customHeight="1">
      <x:c r="A16" s="659" t="str">
        <x:v>指标</x:v>
      </x:c>
      <x:c r="B16" s="659" t="str">
        <x:v>境内</x:v>
      </x:c>
      <x:c r="C16" s="659" t="str">
        <x:v>股市</x:v>
      </x:c>
      <x:c r="D16" s="659" t="str">
        <x:v>基本面</x:v>
      </x:c>
      <x:c r="E16" s="659" t="str">
        <x:v>增长</x:v>
      </x:c>
      <x:c r="F16" s="659" t="n">
        <x:v>10</x:v>
      </x:c>
      <x:c r="G16" s="659" t="str">
        <x:v>固定资产投资
①固投分项：制造业
②固投分项：基建
③固投分项：地产
④民间固定投资</x:v>
      </x:c>
      <x:c r="H16" s="659" t="str">
        <x:v>月度；日期2026-05-31T00:00:00</x:v>
      </x:c>
      <x:c r="I16" s="659" t="str">
        <x:v>硬数据/同步指标</x:v>
      </x:c>
      <x:c r="J16" s="659" t="str">
        <x:v>当前-0.041；环比-0.025；同比-0.041；同比增量-0.078</x:v>
      </x:c>
      <x:c r="K16" s="659" t="str">
        <x:v>必检</x:v>
      </x:c>
      <x:c r="L16" s="659" t="n">
        <x:v>-0.041</x:v>
      </x:c>
      <x:c r="M16" s="659" t="str">
        <x:v>2026-05-31T00:00:00</x:v>
      </x:c>
      <x:c r="N16" s="659" t="n">
        <x:v>-0.025</x:v>
      </x:c>
      <x:c r="O16" s="659" t="n">
        <x:v>-0.041</x:v>
      </x:c>
      <x:c r="P16" s="659" t="n">
        <x:v>-0.078</x:v>
      </x:c>
      <x:c r="Q16" s="684" t="n">
        <x:v>0.0444444444444444</x:v>
      </x:c>
      <x:c r="R16" s="659" t="str">
        <x:v>固投同比-1.6%且环比回落3.3pct，投资动能走弱。</x:v>
      </x:c>
      <x:c r="S16" s="659" t="str">
        <x:v>权重0.0444444444444444；固定资产投资连接制造业、基建和地产，是稳增长落脚点，在本项中更能代表方向。</x:v>
      </x:c>
      <x:c r="T16" s="681" t="str">
        <x:v>最终展示候选</x:v>
      </x:c>
      <x:c r="U16" s="659" t="str">
        <x:v>股市偏利空/债市偏利多</x:v>
      </x:c>
      <x:c r="V16" s="659" t="str">
        <x:v>高</x:v>
      </x:c>
      <x:c r="W16" s="659" t="str">
        <x:v>重点看环比/同比方向和历史位置</x:v>
      </x:c>
      <x:c r="X16" s="674" t="str">
        <x:v>是</x:v>
      </x:c>
      <x:c r="Y16" s="659" t="str">
        <x:v>权重较高或边际变化/阈值信号明确，且解释力足以支撑面级结论，进入第一轮候选池。</x:v>
      </x:c>
      <x:c r="Z16" s="659" t="str">
        <x:v>已检查同面反向指标；若出现支撑与压力并存，面级结论按分化或边际变化处理。</x:v>
      </x:c>
      <x:c r="AA16"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6" s="659" t="str">
        <x:v>避免单指标下结论；资金面不轻易表述为紧缩，估值面必须给历史分位。</x:v>
      </x:c>
      <x:c r="AC16" s="677" t="str">
        <x:v>是</x:v>
      </x:c>
      <x:c r="AD16" s="659" t="str">
        <x:v>P1</x:v>
      </x:c>
      <x:c r="AE16" s="659" t="str">
        <x:v>第二轮入选：该指标能最直接解释面级判断，且适合放入最终PPT。</x:v>
      </x:c>
      <x:c r="AF16" s="659" t="str">
        <x:v>固投同比-4.1%</x:v>
      </x:c>
      <x:c r="AG16" s="659" t="str"/>
      <x:c r="AH16"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I16" s="659" t="str">
        <x:v>需人工复核口径与最终PPT篇幅。</x:v>
      </x:c>
    </x:row>
    <x:row r="17" ht="54" customHeight="1">
      <x:c r="A17" s="659" t="str">
        <x:v>指标</x:v>
      </x:c>
      <x:c r="B17" s="659" t="str">
        <x:v>境内</x:v>
      </x:c>
      <x:c r="C17" s="659" t="str">
        <x:v>股市</x:v>
      </x:c>
      <x:c r="D17" s="659" t="str">
        <x:v>基本面</x:v>
      </x:c>
      <x:c r="E17" s="659" t="str">
        <x:v>增长</x:v>
      </x:c>
      <x:c r="F17" s="659" t="n">
        <x:v>11</x:v>
      </x:c>
      <x:c r="G17" s="659" t="str">
        <x:v>中国:房地产开发投资完成额:累计同比</x:v>
      </x:c>
      <x:c r="H17" s="659" t="str">
        <x:v>月度；日期2026-05-31T00:00:00</x:v>
      </x:c>
      <x:c r="I17" s="659" t="str">
        <x:v>硬数据/同步指标</x:v>
      </x:c>
      <x:c r="J17" s="659" t="str">
        <x:v>当前-0.162；环比-0.025；同比-0.162；同比增量-0.055</x:v>
      </x:c>
      <x:c r="K17" s="659" t="str">
        <x:v>必检</x:v>
      </x:c>
      <x:c r="L17" s="659" t="n">
        <x:v>-0.162</x:v>
      </x:c>
      <x:c r="M17" s="659" t="str">
        <x:v>2026-05-31T00:00:00</x:v>
      </x:c>
      <x:c r="N17" s="659" t="n">
        <x:v>-0.025</x:v>
      </x:c>
      <x:c r="O17" s="659" t="n">
        <x:v>-0.162</x:v>
      </x:c>
      <x:c r="P17" s="659" t="n">
        <x:v>-0.055</x:v>
      </x:c>
      <x:c r="Q17" s="670" t="n">
        <x:v>0.0222222222222</x:v>
      </x:c>
      <x:c r="R17" s="659" t="str">
        <x:v>地产投资同比-13.7%且降幅扩大，地产仍是主要拖累。</x:v>
      </x:c>
      <x:c r="S17" s="659" t="str">
        <x:v>权重0.0222222222222；房地产开发投资累计同比是地产链景气和固定资产投资的重要分项，对信用需求、地方财政和周期行业影响较大；在增长模块中属于地产方向的核心拆解指标。</x:v>
      </x:c>
      <x:c r="T17" s="681" t="str">
        <x:v>最终展示候选</x:v>
      </x:c>
      <x:c r="U17" s="659" t="str">
        <x:v>股市偏利空/债市偏利多</x:v>
      </x:c>
      <x:c r="V17" s="659" t="str">
        <x:v>中</x:v>
      </x:c>
      <x:c r="W17" s="659" t="str">
        <x:v>重点看环比/同比方向和历史位置</x:v>
      </x:c>
      <x:c r="X17" s="674" t="str">
        <x:v>是</x:v>
      </x:c>
      <x:c r="Y17" s="659" t="str">
        <x:v>权重较高或边际变化/阈值信号明确，且解释力足以支撑面级结论，进入第一轮候选池。</x:v>
      </x:c>
      <x:c r="Z17" s="659" t="str">
        <x:v>已检查同面反向指标；若出现支撑与压力并存，面级结论按分化或边际变化处理。</x:v>
      </x:c>
      <x:c r="AA17"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7" s="659" t="str">
        <x:v>避免单指标下结论；资金面不轻易表述为紧缩，估值面必须给历史分位。</x:v>
      </x:c>
      <x:c r="AC17" s="677" t="str">
        <x:v>是</x:v>
      </x:c>
      <x:c r="AD17" s="659" t="str">
        <x:v>P1</x:v>
      </x:c>
      <x:c r="AE17" s="659" t="str">
        <x:v>第二轮入选：该指标能最直接解释面级判断，且适合放入最终PPT。</x:v>
      </x:c>
      <x:c r="AF17" s="659" t="str">
        <x:v>地产投资累计同比-16.2%</x:v>
      </x:c>
      <x:c r="AG17" s="659" t="str"/>
      <x:c r="AH17"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I17" s="659" t="str">
        <x:v>需人工复核口径与最终PPT篇幅。</x:v>
      </x:c>
    </x:row>
    <x:row r="18" ht="54" customHeight="1">
      <x:c r="A18" s="659" t="str">
        <x:v>指标</x:v>
      </x:c>
      <x:c r="B18" s="659" t="str">
        <x:v>境内</x:v>
      </x:c>
      <x:c r="C18" s="659" t="str">
        <x:v>股市</x:v>
      </x:c>
      <x:c r="D18" s="659" t="str">
        <x:v>基本面</x:v>
      </x:c>
      <x:c r="E18" s="659" t="str">
        <x:v>增长</x:v>
      </x:c>
      <x:c r="F18" s="659" t="n">
        <x:v>12</x:v>
      </x:c>
      <x:c r="G18" s="659" t="str">
        <x:v>中国:固定资产投资完成额:制造业:累计同比</x:v>
      </x:c>
      <x:c r="H18" s="659" t="str">
        <x:v>月度；日期2026-05-31T00:00:00</x:v>
      </x:c>
      <x:c r="I18" s="659" t="str">
        <x:v>硬数据/同步指标</x:v>
      </x:c>
      <x:c r="J18" s="659" t="str">
        <x:v>当前-0.004；环比-0.016；同比-0.004；同比增量-0.089</x:v>
      </x:c>
      <x:c r="K18" s="659" t="str">
        <x:v>必检</x:v>
      </x:c>
      <x:c r="L18" s="659" t="n">
        <x:v>-0.004</x:v>
      </x:c>
      <x:c r="M18" s="659" t="str">
        <x:v>2026-05-31T00:00:00</x:v>
      </x:c>
      <x:c r="N18" s="659" t="n">
        <x:v>-0.016</x:v>
      </x:c>
      <x:c r="O18" s="659" t="n">
        <x:v>-0.004</x:v>
      </x:c>
      <x:c r="P18" s="659" t="n">
        <x:v>-0.089</x:v>
      </x:c>
      <x:c r="Q18" s="687" t="n">
        <x:v>0.018</x:v>
      </x:c>
      <x:c r="R18" s="659" t="str">
        <x:v>制造业投资同比1.2%但回落2.9pct，扩张动能放缓。</x:v>
      </x:c>
      <x:c r="S18" s="659" t="str">
        <x:v>权重0.018；制造业投资累计同比反映企业资本开支意愿和产业升级动能，是固定资产投资中更市场化的分项；用于补充判断实体投资扩张是否具备内生动力。</x:v>
      </x:c>
      <x:c r="T18" s="691" t="str">
        <x:v>关键候选</x:v>
      </x:c>
      <x:c r="U18" s="659" t="str">
        <x:v>股市偏利空/债市偏利多</x:v>
      </x:c>
      <x:c r="V18" s="659" t="str">
        <x:v>中</x:v>
      </x:c>
      <x:c r="W18" s="659" t="str">
        <x:v>重点看环比/同比方向和历史位置</x:v>
      </x:c>
      <x:c r="X18" s="674" t="str">
        <x:v>是</x:v>
      </x:c>
      <x:c r="Y18" s="659" t="str">
        <x:v>指标权重较高、边际变化明显或具有关键阈值/联动判断价值，进入第一轮候选池。</x:v>
      </x:c>
      <x:c r="Z18" s="659" t="str">
        <x:v>已检查同面反向指标；若出现支撑与压力并存，面级结论按分化或边际变化处理。</x:v>
      </x:c>
      <x:c r="AA18"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8" s="659" t="str">
        <x:v>避免单指标下结论；资金面不轻易表述为紧缩，估值面必须给历史分位。</x:v>
      </x:c>
      <x:c r="AC18" s="659" t="str">
        <x:v>否</x:v>
      </x:c>
      <x:c r="AD18" s="659" t="str">
        <x:v>P2</x:v>
      </x:c>
      <x:c r="AE18" s="659" t="str"/>
      <x:c r="AF18" s="659" t="str"/>
      <x:c r="AG18" s="659" t="str">
        <x:v>已经参与第一轮判断，但不是本期最终展示的最高解释力指标。</x:v>
      </x:c>
      <x:c r="AH18" s="659" t="str"/>
      <x:c r="AI18" s="659" t="str"/>
    </x:row>
    <x:row r="19" ht="54" customHeight="1">
      <x:c r="A19" s="659" t="str">
        <x:v>指标</x:v>
      </x:c>
      <x:c r="B19" s="659" t="str">
        <x:v>境内</x:v>
      </x:c>
      <x:c r="C19" s="659" t="str">
        <x:v>股市</x:v>
      </x:c>
      <x:c r="D19" s="659" t="str">
        <x:v>基本面</x:v>
      </x:c>
      <x:c r="E19" s="659" t="str">
        <x:v>增长</x:v>
      </x:c>
      <x:c r="F19" s="659" t="n">
        <x:v>13</x:v>
      </x:c>
      <x:c r="G19" s="659" t="str">
        <x:v>中国:固定资产投资完成额:基础设施建设投资:累计同比</x:v>
      </x:c>
      <x:c r="H19" s="659" t="str">
        <x:v>月度；日期2026-05-31T00:00:00</x:v>
      </x:c>
      <x:c r="I19" s="659" t="str">
        <x:v>硬数据/同步指标</x:v>
      </x:c>
      <x:c r="J19" s="659" t="str">
        <x:v>当前0.0075；环比-0.0417；同比0.0075；同比增量-0.0967</x:v>
      </x:c>
      <x:c r="K19" s="659" t="str">
        <x:v>必检</x:v>
      </x:c>
      <x:c r="L19" s="659" t="n">
        <x:v>0.0075</x:v>
      </x:c>
      <x:c r="M19" s="659" t="str">
        <x:v>2026-05-31T00:00:00</x:v>
      </x:c>
      <x:c r="N19" s="659" t="n">
        <x:v>-0.0417</x:v>
      </x:c>
      <x:c r="O19" s="659" t="n">
        <x:v>0.0075</x:v>
      </x:c>
      <x:c r="P19" s="659" t="n">
        <x:v>-0.0967</x:v>
      </x:c>
      <x:c r="Q19" s="687" t="n">
        <x:v>0.018</x:v>
      </x:c>
      <x:c r="R19" s="659" t="str">
        <x:v>基建投资同比4.3%但回落4.6pct，财政托底边际减弱。</x:v>
      </x:c>
      <x:c r="S19" s="659" t="str">
        <x:v>权重0.018；基础设施建设投资累计同比反映政策性投资和稳增长发力强度，是财政政策向实体需求传导的重要观察口径；但需结合政府债、财政支出和项目落地验证。</x:v>
      </x:c>
      <x:c r="T19" s="691" t="str">
        <x:v>关键候选</x:v>
      </x:c>
      <x:c r="U19" s="659" t="str">
        <x:v>偏中性</x:v>
      </x:c>
      <x:c r="V19" s="659" t="str">
        <x:v>中</x:v>
      </x:c>
      <x:c r="W19" s="659" t="str">
        <x:v>重点看环比/同比方向和历史位置</x:v>
      </x:c>
      <x:c r="X19" s="674" t="str">
        <x:v>是</x:v>
      </x:c>
      <x:c r="Y19" s="659" t="str">
        <x:v>指标权重较高、边际变化明显或具有关键阈值/联动判断价值，进入第一轮候选池。</x:v>
      </x:c>
      <x:c r="Z19" s="659" t="str">
        <x:v>已检查同面反向指标；若出现支撑与压力并存，面级结论按分化或边际变化处理。</x:v>
      </x:c>
      <x:c r="AA19"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19" s="659" t="str">
        <x:v>避免单指标下结论；资金面不轻易表述为紧缩，估值面必须给历史分位。</x:v>
      </x:c>
      <x:c r="AC19" s="659" t="str">
        <x:v>否</x:v>
      </x:c>
      <x:c r="AD19" s="659" t="str">
        <x:v>P2</x:v>
      </x:c>
      <x:c r="AE19" s="659" t="str"/>
      <x:c r="AF19" s="659" t="str"/>
      <x:c r="AG19" s="659" t="str">
        <x:v>已经参与第一轮判断，但不是本期最终展示的最高解释力指标。</x:v>
      </x:c>
      <x:c r="AH19" s="659" t="str"/>
      <x:c r="AI19" s="659" t="str"/>
    </x:row>
    <x:row r="20" ht="54" customHeight="1">
      <x:c r="A20" s="659" t="str">
        <x:v>指标</x:v>
      </x:c>
      <x:c r="B20" s="659" t="str">
        <x:v>境内</x:v>
      </x:c>
      <x:c r="C20" s="659" t="str">
        <x:v>股市</x:v>
      </x:c>
      <x:c r="D20" s="659" t="str">
        <x:v>基本面</x:v>
      </x:c>
      <x:c r="E20" s="659" t="str">
        <x:v>增长</x:v>
      </x:c>
      <x:c r="F20" s="659" t="n">
        <x:v>14</x:v>
      </x:c>
      <x:c r="G20" s="659" t="str">
        <x:v>房屋销售（累计同比）</x:v>
      </x:c>
      <x:c r="H20" s="659" t="str">
        <x:v>月度；日期2026-05-31T00:00:00</x:v>
      </x:c>
      <x:c r="I20" s="659" t="str">
        <x:v>硬数据/同步指标</x:v>
      </x:c>
      <x:c r="J20" s="659" t="str">
        <x:v>当前-0.108；环比-0.006；同比-0.108；同比增量-0.079</x:v>
      </x:c>
      <x:c r="K20" s="659" t="str">
        <x:v>背景</x:v>
      </x:c>
      <x:c r="L20" s="659" t="n">
        <x:v>-0.108</x:v>
      </x:c>
      <x:c r="M20" s="659" t="str">
        <x:v>2026-05-31T00:00:00</x:v>
      </x:c>
      <x:c r="N20" s="659" t="n">
        <x:v>-0.006</x:v>
      </x:c>
      <x:c r="O20" s="659" t="n">
        <x:v>-0.108</x:v>
      </x:c>
      <x:c r="P20" s="659" t="n">
        <x:v>-0.079</x:v>
      </x:c>
      <x:c r="Q20" s="670" t="n">
        <x:v>0.0277777777777778</x:v>
      </x:c>
      <x:c r="R20" s="659" t="str">
        <x:v>房屋销售同比-10.2%，边际微修复但地产需求仍弱。</x:v>
      </x:c>
      <x:c r="S20" s="659" t="str">
        <x:v>权重0.0277777777777778；房屋销售领先地产投资和居民预期，对地产链有指示性，用于补充确认核心信号。</x:v>
      </x:c>
      <x:c r="T20" s="659" t="str">
        <x:v>背景验证</x:v>
      </x:c>
      <x:c r="U20" s="659" t="str">
        <x:v>中性</x:v>
      </x:c>
      <x:c r="V20" s="659" t="str">
        <x:v>中</x:v>
      </x:c>
      <x:c r="W20" s="659" t="str">
        <x:v>重点看环比/同比方向和历史位置</x:v>
      </x:c>
      <x:c r="X20" s="659" t="str">
        <x:v>否</x:v>
      </x:c>
      <x:c r="Y20" s="659" t="str">
        <x:v>权重或边际变化不足以改变面级判断，本期作为背景验证。</x:v>
      </x:c>
      <x:c r="Z20" s="659" t="str">
        <x:v>已检查同面反向指标；若出现支撑与压力并存，面级结论按分化或边际变化处理。</x:v>
      </x:c>
      <x:c r="AA20"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0" s="659" t="str">
        <x:v>避免单指标下结论；资金面不轻易表述为紧缩，估值面必须给历史分位。</x:v>
      </x:c>
      <x:c r="AC20" s="659" t="str">
        <x:v>否</x:v>
      </x:c>
      <x:c r="AD20" s="659" t="str">
        <x:v>P3</x:v>
      </x:c>
      <x:c r="AE20" s="659" t="str"/>
      <x:c r="AF20" s="659" t="str"/>
      <x:c r="AG20" s="659" t="str">
        <x:v>作为背景验证，不进入最终PPT。</x:v>
      </x:c>
      <x:c r="AH20" s="659" t="str"/>
      <x:c r="AI20" s="659" t="str"/>
    </x:row>
    <x:row r="21" ht="54" customHeight="1">
      <x:c r="A21" s="659" t="str">
        <x:v>指标</x:v>
      </x:c>
      <x:c r="B21" s="659" t="str">
        <x:v>境内</x:v>
      </x:c>
      <x:c r="C21" s="659" t="str">
        <x:v>股市</x:v>
      </x:c>
      <x:c r="D21" s="659" t="str">
        <x:v>基本面</x:v>
      </x:c>
      <x:c r="E21" s="659" t="str">
        <x:v>增长</x:v>
      </x:c>
      <x:c r="F21" s="659" t="n">
        <x:v>15</x:v>
      </x:c>
      <x:c r="G21" s="659" t="str">
        <x:v>70城二手住宅价格指数同比</x:v>
      </x:c>
      <x:c r="H21" s="659" t="str">
        <x:v>月度；日期2026-05-31T00:00:00</x:v>
      </x:c>
      <x:c r="I21" s="659" t="str">
        <x:v>硬数据/同步指标</x:v>
      </x:c>
      <x:c r="J21" s="659" t="str">
        <x:v>当前-0.059；环比0.003；同比-0.059；同比增量0.004</x:v>
      </x:c>
      <x:c r="K21" s="659" t="str">
        <x:v>背景</x:v>
      </x:c>
      <x:c r="L21" s="659" t="n">
        <x:v>-0.059</x:v>
      </x:c>
      <x:c r="M21" s="659" t="str">
        <x:v>2026-05-31T00:00:00</x:v>
      </x:c>
      <x:c r="N21" s="659" t="n">
        <x:v>0.003</x:v>
      </x:c>
      <x:c r="O21" s="659" t="n">
        <x:v>-0.059</x:v>
      </x:c>
      <x:c r="P21" s="659" t="n">
        <x:v>0.004</x:v>
      </x:c>
      <x:c r="Q21" s="687" t="n">
        <x:v>0.0166666666666667</x:v>
      </x:c>
      <x:c r="R21" s="659" t="str">
        <x:v>70城二手房价同比-6.2%，仍在下跌但降幅略收窄。</x:v>
      </x:c>
      <x:c r="S21" s="659" t="str">
        <x:v>权重0.0166666666666667；二手房价格用于验证地产真实供需，但影响范围窄于销售和投资，用于补充确认核心信号。</x:v>
      </x:c>
      <x:c r="T21" s="659" t="str">
        <x:v>背景验证</x:v>
      </x:c>
      <x:c r="U21" s="659" t="str">
        <x:v>中性</x:v>
      </x:c>
      <x:c r="V21" s="659" t="str">
        <x:v>中</x:v>
      </x:c>
      <x:c r="W21" s="659" t="str">
        <x:v>重点看环比/同比方向和历史位置</x:v>
      </x:c>
      <x:c r="X21" s="659" t="str">
        <x:v>否</x:v>
      </x:c>
      <x:c r="Y21" s="659" t="str">
        <x:v>权重或边际变化不足以改变面级判断，本期作为背景验证。</x:v>
      </x:c>
      <x:c r="Z21" s="659" t="str">
        <x:v>已检查同面反向指标；若出现支撑与压力并存，面级结论按分化或边际变化处理。</x:v>
      </x:c>
      <x:c r="AA21"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1" s="659" t="str">
        <x:v>避免单指标下结论；资金面不轻易表述为紧缩，估值面必须给历史分位。</x:v>
      </x:c>
      <x:c r="AC21" s="659" t="str">
        <x:v>否</x:v>
      </x:c>
      <x:c r="AD21" s="659" t="str">
        <x:v>P3</x:v>
      </x:c>
      <x:c r="AE21" s="659" t="str"/>
      <x:c r="AF21" s="659" t="str"/>
      <x:c r="AG21" s="659" t="str">
        <x:v>作为背景验证，不进入最终PPT。</x:v>
      </x:c>
      <x:c r="AH21" s="659" t="str"/>
      <x:c r="AI21" s="659" t="str"/>
    </x:row>
    <x:row r="22" ht="54" customHeight="1">
      <x:c r="A22" s="659" t="str">
        <x:v>指标</x:v>
      </x:c>
      <x:c r="B22" s="659" t="str">
        <x:v>境内</x:v>
      </x:c>
      <x:c r="C22" s="659" t="str">
        <x:v>股市</x:v>
      </x:c>
      <x:c r="D22" s="659" t="str">
        <x:v>基本面</x:v>
      </x:c>
      <x:c r="E22" s="659" t="str">
        <x:v>增长</x:v>
      </x:c>
      <x:c r="F22" s="659" t="n">
        <x:v>16</x:v>
      </x:c>
      <x:c r="G22" s="659" t="str">
        <x:v>中国:出口金额:当月同比</x:v>
      </x:c>
      <x:c r="H22" s="659" t="str">
        <x:v>月度；日期2026-05-31T00:00:00</x:v>
      </x:c>
      <x:c r="I22" s="659" t="str">
        <x:v>硬数据/同步指标</x:v>
      </x:c>
      <x:c r="J22" s="659" t="str">
        <x:v>当前0.194；环比0.054；同比0.194；同比增量0.1474722</x:v>
      </x:c>
      <x:c r="K22" s="659" t="str">
        <x:v>必检</x:v>
      </x:c>
      <x:c r="L22" s="659" t="n">
        <x:v>0.194</x:v>
      </x:c>
      <x:c r="M22" s="659" t="str">
        <x:v>2026-05-31T00:00:00</x:v>
      </x:c>
      <x:c r="N22" s="659" t="n">
        <x:v>0.054</x:v>
      </x:c>
      <x:c r="O22" s="659" t="n">
        <x:v>0.194</x:v>
      </x:c>
      <x:c r="P22" s="659" t="n">
        <x:v>0.1474722</x:v>
      </x:c>
      <x:c r="Q22" s="670" t="n">
        <x:v>0.0333333333333333</x:v>
      </x:c>
      <x:c r="R22" s="659" t="str">
        <x:v>出口同比19.4%且继续改善，外需和抢出口支撑较强。</x:v>
      </x:c>
      <x:c r="S22" s="659" t="str">
        <x:v>权重0.0333333333333333；出口反映外需和制造业竞争力，是增长的重要边际变量，在本项中更能代表方向。</x:v>
      </x:c>
      <x:c r="T22" s="681" t="str">
        <x:v>最终展示候选</x:v>
      </x:c>
      <x:c r="U22" s="659" t="str">
        <x:v>股市偏利好/债市利多减弱</x:v>
      </x:c>
      <x:c r="V22" s="659" t="str">
        <x:v>中</x:v>
      </x:c>
      <x:c r="W22" s="659" t="str">
        <x:v>重点看环比/同比方向和历史位置</x:v>
      </x:c>
      <x:c r="X22" s="674" t="str">
        <x:v>是</x:v>
      </x:c>
      <x:c r="Y22" s="659" t="str">
        <x:v>权重较高或边际变化/阈值信号明确，且解释力足以支撑面级结论，进入第一轮候选池。</x:v>
      </x:c>
      <x:c r="Z22" s="659" t="str">
        <x:v>已检查同面反向指标；若出现支撑与压力并存，面级结论按分化或边际变化处理。</x:v>
      </x:c>
      <x:c r="AA22"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2" s="659" t="str">
        <x:v>避免单指标下结论；资金面不轻易表述为紧缩，估值面必须给历史分位。</x:v>
      </x:c>
      <x:c r="AC22" s="677" t="str">
        <x:v>是</x:v>
      </x:c>
      <x:c r="AD22" s="659" t="str">
        <x:v>P1</x:v>
      </x:c>
      <x:c r="AE22" s="659" t="str">
        <x:v>第二轮入选：该指标能最直接解释面级判断，且适合放入最终PPT。</x:v>
      </x:c>
      <x:c r="AF22" s="659" t="str">
        <x:v>出口较上月提升5.4个百分点</x:v>
      </x:c>
      <x:c r="AG22" s="659" t="str"/>
      <x:c r="AH22"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I22" s="659" t="str">
        <x:v>需人工复核口径与最终PPT篇幅。</x:v>
      </x:c>
    </x:row>
    <x:row r="23" ht="54" customHeight="1">
      <x:c r="A23" s="659" t="str">
        <x:v>指标</x:v>
      </x:c>
      <x:c r="B23" s="659" t="str">
        <x:v>境内</x:v>
      </x:c>
      <x:c r="C23" s="659" t="str">
        <x:v>股市</x:v>
      </x:c>
      <x:c r="D23" s="659" t="str">
        <x:v>基本面</x:v>
      </x:c>
      <x:c r="E23" s="659" t="str">
        <x:v>增长</x:v>
      </x:c>
      <x:c r="F23" s="659" t="n">
        <x:v>17</x:v>
      </x:c>
      <x:c r="G23" s="659" t="str">
        <x:v>中国:出口金额:美国:累计同比</x:v>
      </x:c>
      <x:c r="H23" s="659" t="str">
        <x:v>月度；日期2026-05-31T00:00:00</x:v>
      </x:c>
      <x:c r="I23" s="659" t="str">
        <x:v>硬数据/同步指标</x:v>
      </x:c>
      <x:c r="J23" s="659" t="str">
        <x:v>当前-0.027；环比0.075；同比-0.027；同比增量0.07</x:v>
      </x:c>
      <x:c r="K23" s="659" t="str">
        <x:v>背景</x:v>
      </x:c>
      <x:c r="L23" s="659" t="n">
        <x:v>-0.027</x:v>
      </x:c>
      <x:c r="M23" s="659" t="str">
        <x:v>2026-05-31T00:00:00</x:v>
      </x:c>
      <x:c r="N23" s="659" t="n">
        <x:v>0.075</x:v>
      </x:c>
      <x:c r="O23" s="659" t="n">
        <x:v>-0.027</x:v>
      </x:c>
      <x:c r="P23" s="659" t="n">
        <x:v>0.07</x:v>
      </x:c>
      <x:c r="Q23" s="687" t="n">
        <x:v>0.0111111111111</x:v>
      </x:c>
      <x:c r="R23" s="659" t="str">
        <x:v>对美出口累计同比-2.7%，仍负增长但边际明显修复。</x:v>
      </x:c>
      <x:c r="S23" s="659" t="str">
        <x:v>权重0.0111111111111；对美国出口累计同比反映外需中美国方向的景气变化，对制造业订单和外需结构有参考价值；但单一地区口径窄于总出口，因此作为出口总指标的辅助拆解。</x:v>
      </x:c>
      <x:c r="T23" s="659" t="str">
        <x:v>背景验证</x:v>
      </x:c>
      <x:c r="U23" s="659" t="str">
        <x:v>中性</x:v>
      </x:c>
      <x:c r="V23" s="659" t="str">
        <x:v>中</x:v>
      </x:c>
      <x:c r="W23" s="659" t="str">
        <x:v>重点看环比/同比方向和历史位置</x:v>
      </x:c>
      <x:c r="X23" s="659" t="str">
        <x:v>否</x:v>
      </x:c>
      <x:c r="Y23" s="659" t="str">
        <x:v>权重或边际变化不足以改变面级判断，本期作为背景验证。</x:v>
      </x:c>
      <x:c r="Z23" s="659" t="str">
        <x:v>已检查同面反向指标；若出现支撑与压力并存，面级结论按分化或边际变化处理。</x:v>
      </x:c>
      <x:c r="AA23"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3" s="659" t="str">
        <x:v>避免单指标下结论；资金面不轻易表述为紧缩，估值面必须给历史分位。</x:v>
      </x:c>
      <x:c r="AC23" s="659" t="str">
        <x:v>否</x:v>
      </x:c>
      <x:c r="AD23" s="659" t="str">
        <x:v>P3</x:v>
      </x:c>
      <x:c r="AE23" s="659" t="str"/>
      <x:c r="AF23" s="659" t="str"/>
      <x:c r="AG23" s="659" t="str">
        <x:v>作为背景验证，不进入最终PPT。</x:v>
      </x:c>
      <x:c r="AH23" s="659" t="str"/>
      <x:c r="AI23" s="659" t="str"/>
    </x:row>
    <x:row r="24" ht="54" customHeight="1">
      <x:c r="A24" s="659" t="str">
        <x:v>指标</x:v>
      </x:c>
      <x:c r="B24" s="659" t="str">
        <x:v>境内</x:v>
      </x:c>
      <x:c r="C24" s="659" t="str">
        <x:v>股市</x:v>
      </x:c>
      <x:c r="D24" s="659" t="str">
        <x:v>基本面</x:v>
      </x:c>
      <x:c r="E24" s="659" t="str">
        <x:v>增长</x:v>
      </x:c>
      <x:c r="F24" s="659" t="n">
        <x:v>18</x:v>
      </x:c>
      <x:c r="G24" s="659" t="str">
        <x:v>中国:出口金额:东南亚国家联盟:累计同比</x:v>
      </x:c>
      <x:c r="H24" s="659" t="str">
        <x:v>月度；日期2026-05-31T00:00:00</x:v>
      </x:c>
      <x:c r="I24" s="659" t="str">
        <x:v>硬数据/同步指标</x:v>
      </x:c>
      <x:c r="J24" s="659" t="str">
        <x:v>当前0.203；环比0.012；同比0.203；同比增量0.081</x:v>
      </x:c>
      <x:c r="K24" s="659" t="str">
        <x:v>背景</x:v>
      </x:c>
      <x:c r="L24" s="659" t="n">
        <x:v>0.203</x:v>
      </x:c>
      <x:c r="M24" s="659" t="str">
        <x:v>2026-05-31T00:00:00</x:v>
      </x:c>
      <x:c r="N24" s="659" t="n">
        <x:v>0.012</x:v>
      </x:c>
      <x:c r="O24" s="659" t="n">
        <x:v>0.203</x:v>
      </x:c>
      <x:c r="P24" s="659" t="n">
        <x:v>0.081</x:v>
      </x:c>
      <x:c r="Q24" s="687" t="n">
        <x:v>0.0111111111111</x:v>
      </x:c>
      <x:c r="R24" s="659" t="str">
        <x:v>对东盟出口累计同比20.3%，区域外需支撑较强。</x:v>
      </x:c>
      <x:c r="S24" s="659" t="str">
        <x:v>权重0.0111111111111；对东盟出口累计同比反映区域贸易和产业链转移背景下的外需韧性，是出口结构的重要补充；但仍属于分地区指标，权重低于出口总额和贸易差额。</x:v>
      </x:c>
      <x:c r="T24" s="659" t="str">
        <x:v>背景验证</x:v>
      </x:c>
      <x:c r="U24" s="659" t="str">
        <x:v>中性</x:v>
      </x:c>
      <x:c r="V24" s="659" t="str">
        <x:v>中</x:v>
      </x:c>
      <x:c r="W24" s="659" t="str">
        <x:v>重点看环比/同比方向和历史位置</x:v>
      </x:c>
      <x:c r="X24" s="659" t="str">
        <x:v>否</x:v>
      </x:c>
      <x:c r="Y24" s="659" t="str">
        <x:v>权重或边际变化不足以改变面级判断，本期作为背景验证。</x:v>
      </x:c>
      <x:c r="Z24" s="659" t="str">
        <x:v>已检查同面反向指标；若出现支撑与压力并存，面级结论按分化或边际变化处理。</x:v>
      </x:c>
      <x:c r="AA24"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4" s="659" t="str">
        <x:v>避免单指标下结论；资金面不轻易表述为紧缩，估值面必须给历史分位。</x:v>
      </x:c>
      <x:c r="AC24" s="659" t="str">
        <x:v>否</x:v>
      </x:c>
      <x:c r="AD24" s="659" t="str">
        <x:v>P3</x:v>
      </x:c>
      <x:c r="AE24" s="659" t="str"/>
      <x:c r="AF24" s="659" t="str"/>
      <x:c r="AG24" s="659" t="str">
        <x:v>作为背景验证，不进入最终PPT。</x:v>
      </x:c>
      <x:c r="AH24" s="659" t="str"/>
      <x:c r="AI24" s="659" t="str"/>
    </x:row>
    <x:row r="25" ht="54" customHeight="1">
      <x:c r="A25" s="659" t="str">
        <x:v>指标</x:v>
      </x:c>
      <x:c r="B25" s="659" t="str">
        <x:v>境内</x:v>
      </x:c>
      <x:c r="C25" s="659" t="str">
        <x:v>股市</x:v>
      </x:c>
      <x:c r="D25" s="659" t="str">
        <x:v>基本面</x:v>
      </x:c>
      <x:c r="E25" s="659" t="str">
        <x:v>增长</x:v>
      </x:c>
      <x:c r="F25" s="659" t="n">
        <x:v>19</x:v>
      </x:c>
      <x:c r="G25" s="659" t="str">
        <x:v>进出口：中国:贸易差额</x:v>
      </x:c>
      <x:c r="H25" s="659" t="str">
        <x:v>月度；日期2026-05-31T00:00:00</x:v>
      </x:c>
      <x:c r="I25" s="659" t="str">
        <x:v>硬数据/同步指标</x:v>
      </x:c>
      <x:c r="J25" s="659" t="str">
        <x:v>当前1054.335842；环比207.478127；同比0.026468876924；同比增量27.187464</x:v>
      </x:c>
      <x:c r="K25" s="659" t="str">
        <x:v>背景</x:v>
      </x:c>
      <x:c r="L25" s="659" t="n">
        <x:v>1054.335842</x:v>
      </x:c>
      <x:c r="M25" s="659" t="str">
        <x:v>2026-05-31T00:00:00</x:v>
      </x:c>
      <x:c r="N25" s="659" t="n">
        <x:v>207.478127</x:v>
      </x:c>
      <x:c r="O25" s="659" t="n">
        <x:v>0.026468876924</x:v>
      </x:c>
      <x:c r="P25" s="659" t="n">
        <x:v>27.187464</x:v>
      </x:c>
      <x:c r="Q25" s="687" t="n">
        <x:v>0.014</x:v>
      </x:c>
      <x:c r="R25" s="659" t="str">
        <x:v>贸易顺差1054.3亿美元且环比扩大，净出口仍有支撑。</x:v>
      </x:c>
      <x:c r="S25" s="659" t="str">
        <x:v>权重0.014；贸易差额直接反映净出口对外汇收入和总需求的影响，能辅助判断外需贡献和汇率基本面；但它同时受进口收缩、价格和汇率影响，需与出口、进口分项一起看。</x:v>
      </x:c>
      <x:c r="T25" s="659" t="str">
        <x:v>背景验证</x:v>
      </x:c>
      <x:c r="U25" s="659" t="str">
        <x:v>中性</x:v>
      </x:c>
      <x:c r="V25" s="659" t="str">
        <x:v>中</x:v>
      </x:c>
      <x:c r="W25" s="659" t="str">
        <x:v>重点看环比/同比方向和历史位置</x:v>
      </x:c>
      <x:c r="X25" s="659" t="str">
        <x:v>否</x:v>
      </x:c>
      <x:c r="Y25" s="659" t="str">
        <x:v>权重或边际变化不足以改变面级判断，本期作为背景验证。</x:v>
      </x:c>
      <x:c r="Z25" s="659" t="str">
        <x:v>已检查同面反向指标；若出现支撑与压力并存，面级结论按分化或边际变化处理。</x:v>
      </x:c>
      <x:c r="AA25"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5" s="659" t="str">
        <x:v>避免单指标下结论；资金面不轻易表述为紧缩，估值面必须给历史分位。</x:v>
      </x:c>
      <x:c r="AC25" s="659" t="str">
        <x:v>否</x:v>
      </x:c>
      <x:c r="AD25" s="659" t="str">
        <x:v>P3</x:v>
      </x:c>
      <x:c r="AE25" s="659" t="str"/>
      <x:c r="AF25" s="659" t="str"/>
      <x:c r="AG25" s="659" t="str">
        <x:v>作为背景验证，不进入最终PPT。</x:v>
      </x:c>
      <x:c r="AH25" s="659" t="str"/>
      <x:c r="AI25" s="659" t="str"/>
    </x:row>
    <x:row r="26" ht="54" customHeight="1">
      <x:c r="A26" s="659" t="str">
        <x:v>指标</x:v>
      </x:c>
      <x:c r="B26" s="659" t="str">
        <x:v>境内</x:v>
      </x:c>
      <x:c r="C26" s="659" t="str">
        <x:v>股市</x:v>
      </x:c>
      <x:c r="D26" s="659" t="str">
        <x:v>基本面</x:v>
      </x:c>
      <x:c r="E26" s="659" t="str">
        <x:v>增长</x:v>
      </x:c>
      <x:c r="F26" s="659" t="n">
        <x:v>20</x:v>
      </x:c>
      <x:c r="G26" s="659" t="str">
        <x:v>制造业PMI综合</x:v>
      </x:c>
      <x:c r="H26" s="659" t="str">
        <x:v>月度；日期2026-06-30T00:00:00</x:v>
      </x:c>
      <x:c r="I26" s="659" t="str">
        <x:v>软数据/领先景气指标</x:v>
      </x:c>
      <x:c r="J26" s="659" t="str">
        <x:v>当前50.3；环比0.3；同比增量0.6</x:v>
      </x:c>
      <x:c r="K26" s="659" t="str">
        <x:v>必检</x:v>
      </x:c>
      <x:c r="L26" s="659" t="n">
        <x:v>50.3</x:v>
      </x:c>
      <x:c r="M26" s="659" t="str">
        <x:v>2026-06-30T00:00:00</x:v>
      </x:c>
      <x:c r="N26" s="659" t="n">
        <x:v>0.3</x:v>
      </x:c>
      <x:c r="O26" s="659" t="str">
        <x:v>-</x:v>
      </x:c>
      <x:c r="P26" s="659" t="n">
        <x:v>0.6</x:v>
      </x:c>
      <x:c r="Q26" s="670" t="n">
        <x:v>0.0277777777777778</x:v>
      </x:c>
      <x:c r="R26" s="659" t="str">
        <x:v>制造业PMI回落至50.0，扩张动能转为临界状态。</x:v>
      </x:c>
      <x:c r="S26" s="659" t="str">
        <x:v>权重0.0277777777777778；制造业PMI综合指数发布早，是景气拐点的先行信号，用于补充确认核心信号。</x:v>
      </x:c>
      <x:c r="T26" s="681" t="str">
        <x:v>最终展示候选</x:v>
      </x:c>
      <x:c r="U26" s="659" t="str">
        <x:v>股市偏利好/债市利多减弱</x:v>
      </x:c>
      <x:c r="V26" s="659" t="str">
        <x:v>中</x:v>
      </x:c>
      <x:c r="W26" s="659" t="str">
        <x:v>荣枯线50，当前50.3，处于扩张区间</x:v>
      </x:c>
      <x:c r="X26" s="674" t="str">
        <x:v>是</x:v>
      </x:c>
      <x:c r="Y26" s="659" t="str">
        <x:v>权重较高或边际变化/阈值信号明确，且解释力足以支撑面级结论，进入第一轮候选池。</x:v>
      </x:c>
      <x:c r="Z26" s="659" t="str">
        <x:v>已检查同面反向指标；若出现支撑与压力并存，面级结论按分化或边际变化处理。</x:v>
      </x:c>
      <x:c r="AA26"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6" s="659" t="str">
        <x:v>避免单指标下结论；资金面不轻易表述为紧缩，估值面必须给历史分位。</x:v>
      </x:c>
      <x:c r="AC26" s="677" t="str">
        <x:v>是</x:v>
      </x:c>
      <x:c r="AD26" s="659" t="str">
        <x:v>P1</x:v>
      </x:c>
      <x:c r="AE26" s="659" t="str">
        <x:v>第二轮入选：该指标能最直接解释面级判断，且适合放入最终PPT。</x:v>
      </x:c>
      <x:c r="AF26" s="659" t="str">
        <x:v>6月制造业PMI为50.3</x:v>
      </x:c>
      <x:c r="AG26" s="659" t="str"/>
      <x:c r="AH26"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I26" s="659" t="str">
        <x:v>需人工复核口径与最终PPT篇幅。</x:v>
      </x:c>
    </x:row>
    <x:row r="27" ht="54" customHeight="1">
      <x:c r="A27" s="659" t="str">
        <x:v>指标</x:v>
      </x:c>
      <x:c r="B27" s="659" t="str">
        <x:v>境内</x:v>
      </x:c>
      <x:c r="C27" s="659" t="str">
        <x:v>股市</x:v>
      </x:c>
      <x:c r="D27" s="659" t="str">
        <x:v>基本面</x:v>
      </x:c>
      <x:c r="E27" s="659" t="str">
        <x:v>增长</x:v>
      </x:c>
      <x:c r="F27" s="659" t="n">
        <x:v>21</x:v>
      </x:c>
      <x:c r="G27" s="659" t="str">
        <x:v>PMI新订单</x:v>
      </x:c>
      <x:c r="H27" s="659" t="str">
        <x:v>月度；日期2026-06-30T00:00:00</x:v>
      </x:c>
      <x:c r="I27" s="659" t="str">
        <x:v>软数据/领先景气指标</x:v>
      </x:c>
      <x:c r="J27" s="659" t="str">
        <x:v>当前51.2；环比1.3；同比增量1</x:v>
      </x:c>
      <x:c r="K27" s="659" t="str">
        <x:v>必检</x:v>
      </x:c>
      <x:c r="L27" s="659" t="n">
        <x:v>51.2</x:v>
      </x:c>
      <x:c r="M27" s="659" t="str">
        <x:v>2026-06-30T00:00:00</x:v>
      </x:c>
      <x:c r="N27" s="659" t="n">
        <x:v>1.3</x:v>
      </x:c>
      <x:c r="O27" s="659" t="str">
        <x:v>-</x:v>
      </x:c>
      <x:c r="P27" s="659" t="n">
        <x:v>1</x:v>
      </x:c>
      <x:c r="Q27" s="684" t="n">
        <x:v>0.0388888888888889</x:v>
      </x:c>
      <x:c r="R27" s="659" t="str">
        <x:v>PMI新订单49.9且回落，需求前瞻信号偏弱。</x:v>
      </x:c>
      <x:c r="S27" s="659" t="str">
        <x:v>权重0.0388888888888889；PMI新订单领先生产和库存，是需求转折的关键分项，在本项中更能代表方向。</x:v>
      </x:c>
      <x:c r="T27" s="681" t="str">
        <x:v>最终展示候选</x:v>
      </x:c>
      <x:c r="U27" s="659" t="str">
        <x:v>股市偏利好/债市利多减弱</x:v>
      </x:c>
      <x:c r="V27" s="659" t="str">
        <x:v>高</x:v>
      </x:c>
      <x:c r="W27" s="659" t="str">
        <x:v>荣枯线50，当前51.2，处于扩张区间</x:v>
      </x:c>
      <x:c r="X27" s="674" t="str">
        <x:v>是</x:v>
      </x:c>
      <x:c r="Y27" s="659" t="str">
        <x:v>权重较高或边际变化/阈值信号明确，且解释力足以支撑面级结论，进入第一轮候选池。</x:v>
      </x:c>
      <x:c r="Z27" s="659" t="str">
        <x:v>已检查同面反向指标；若出现支撑与压力并存，面级结论按分化或边际变化处理。</x:v>
      </x:c>
      <x:c r="AA27"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7" s="659" t="str">
        <x:v>避免单指标下结论；资金面不轻易表述为紧缩，估值面必须给历史分位。</x:v>
      </x:c>
      <x:c r="AC27" s="677" t="str">
        <x:v>是</x:v>
      </x:c>
      <x:c r="AD27" s="659" t="str">
        <x:v>P1</x:v>
      </x:c>
      <x:c r="AE27" s="659" t="str">
        <x:v>第二轮入选：该指标能最直接解释面级判断，且适合放入最终PPT。</x:v>
      </x:c>
      <x:c r="AF27" s="659" t="str">
        <x:v>PMI新订单为51.2</x:v>
      </x:c>
      <x:c r="AG27" s="659" t="str"/>
      <x:c r="AH27"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I27" s="659" t="str">
        <x:v>需人工复核口径与最终PPT篇幅。</x:v>
      </x:c>
    </x:row>
    <x:row r="28" ht="54" customHeight="1">
      <x:c r="A28" s="659" t="str">
        <x:v>指标</x:v>
      </x:c>
      <x:c r="B28" s="659" t="str">
        <x:v>境内</x:v>
      </x:c>
      <x:c r="C28" s="659" t="str">
        <x:v>股市</x:v>
      </x:c>
      <x:c r="D28" s="659" t="str">
        <x:v>基本面</x:v>
      </x:c>
      <x:c r="E28" s="659" t="str">
        <x:v>增长</x:v>
      </x:c>
      <x:c r="F28" s="659" t="n">
        <x:v>22</x:v>
      </x:c>
      <x:c r="G28" s="659" t="str">
        <x:v>PMI生产</x:v>
      </x:c>
      <x:c r="H28" s="659" t="str">
        <x:v>月度；日期2026-06-30T00:00:00</x:v>
      </x:c>
      <x:c r="I28" s="659" t="str">
        <x:v>软数据/领先景气指标</x:v>
      </x:c>
      <x:c r="J28" s="659" t="str">
        <x:v>当前51.4；环比0.2；同比增量0.4</x:v>
      </x:c>
      <x:c r="K28" s="659" t="str">
        <x:v>背景</x:v>
      </x:c>
      <x:c r="L28" s="659" t="n">
        <x:v>51.4</x:v>
      </x:c>
      <x:c r="M28" s="659" t="str">
        <x:v>2026-06-30T00:00:00</x:v>
      </x:c>
      <x:c r="N28" s="659" t="n">
        <x:v>0.2</x:v>
      </x:c>
      <x:c r="O28" s="659" t="str">
        <x:v>-</x:v>
      </x:c>
      <x:c r="P28" s="659" t="n">
        <x:v>0.4</x:v>
      </x:c>
      <x:c r="Q28" s="687" t="n">
        <x:v>0.0166666666666667</x:v>
      </x:c>
      <x:c r="R28" s="659" t="str">
        <x:v>PMI生产51.2仍扩张但回落，供给强于需求。</x:v>
      </x:c>
      <x:c r="S28" s="659" t="str">
        <x:v>权重0.0166666666666667；PMI生产偏同步确认，重要性低于新订单，用于补充确认核心信号。</x:v>
      </x:c>
      <x:c r="T28" s="659" t="str">
        <x:v>背景验证</x:v>
      </x:c>
      <x:c r="U28" s="659" t="str">
        <x:v>中性</x:v>
      </x:c>
      <x:c r="V28" s="659" t="str">
        <x:v>中</x:v>
      </x:c>
      <x:c r="W28" s="659" t="str">
        <x:v>荣枯线50，当前51.4，处于扩张区间</x:v>
      </x:c>
      <x:c r="X28" s="659" t="str">
        <x:v>否</x:v>
      </x:c>
      <x:c r="Y28" s="659" t="str">
        <x:v>权重或边际变化不足以改变面级判断，本期作为背景验证。</x:v>
      </x:c>
      <x:c r="Z28" s="659" t="str">
        <x:v>已检查同面反向指标；若出现支撑与压力并存，面级结论按分化或边际变化处理。</x:v>
      </x:c>
      <x:c r="AA28"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8" s="659" t="str">
        <x:v>避免单指标下结论；资金面不轻易表述为紧缩，估值面必须给历史分位。</x:v>
      </x:c>
      <x:c r="AC28" s="659" t="str">
        <x:v>否</x:v>
      </x:c>
      <x:c r="AD28" s="659" t="str">
        <x:v>P3</x:v>
      </x:c>
      <x:c r="AE28" s="659" t="str"/>
      <x:c r="AF28" s="659" t="str"/>
      <x:c r="AG28" s="659" t="str">
        <x:v>作为背景验证，不进入最终PPT。</x:v>
      </x:c>
      <x:c r="AH28" s="659" t="str"/>
      <x:c r="AI28" s="659" t="str"/>
    </x:row>
    <x:row r="29" ht="54" customHeight="1">
      <x:c r="A29" s="659" t="str">
        <x:v>指标</x:v>
      </x:c>
      <x:c r="B29" s="659" t="str">
        <x:v>境内</x:v>
      </x:c>
      <x:c r="C29" s="659" t="str">
        <x:v>股市</x:v>
      </x:c>
      <x:c r="D29" s="659" t="str">
        <x:v>基本面</x:v>
      </x:c>
      <x:c r="E29" s="659" t="str">
        <x:v>增长</x:v>
      </x:c>
      <x:c r="F29" s="659" t="n">
        <x:v>23</x:v>
      </x:c>
      <x:c r="G29" s="659" t="str">
        <x:v>非制造业PMI</x:v>
      </x:c>
      <x:c r="H29" s="659" t="str">
        <x:v>月度；日期2026-06-30T00:00:00</x:v>
      </x:c>
      <x:c r="I29" s="659" t="str">
        <x:v>软数据/领先景气指标</x:v>
      </x:c>
      <x:c r="J29" s="659" t="str">
        <x:v>当前50.2；环比0.1；同比增量-0.3</x:v>
      </x:c>
      <x:c r="K29" s="659" t="str">
        <x:v>背景</x:v>
      </x:c>
      <x:c r="L29" s="659" t="n">
        <x:v>50.2</x:v>
      </x:c>
      <x:c r="M29" s="659" t="str">
        <x:v>2026-06-30T00:00:00</x:v>
      </x:c>
      <x:c r="N29" s="659" t="n">
        <x:v>0.1</x:v>
      </x:c>
      <x:c r="O29" s="659" t="str">
        <x:v>-</x:v>
      </x:c>
      <x:c r="P29" s="659" t="n">
        <x:v>-0.3</x:v>
      </x:c>
      <x:c r="Q29" s="687" t="n">
        <x:v>0.0166666666666667</x:v>
      </x:c>
      <x:c r="R29" s="659" t="str">
        <x:v>非制造业PMI升至50.1，服务景气弱修复。</x:v>
      </x:c>
      <x:c r="S29" s="659" t="str">
        <x:v>权重0.0166666666666667；非制造业PMI补充服务业和建筑业景气，用于补充确认核心信号。</x:v>
      </x:c>
      <x:c r="T29" s="659" t="str">
        <x:v>背景验证</x:v>
      </x:c>
      <x:c r="U29" s="659" t="str">
        <x:v>股市偏利好/债市利多减弱</x:v>
      </x:c>
      <x:c r="V29" s="659" t="str">
        <x:v>中</x:v>
      </x:c>
      <x:c r="W29" s="659" t="str">
        <x:v>荣枯线50，当前50.2，处于扩张区间</x:v>
      </x:c>
      <x:c r="X29" s="659" t="str">
        <x:v>否</x:v>
      </x:c>
      <x:c r="Y29" s="659" t="str">
        <x:v>权重或边际变化不足以改变面级判断，本期作为背景验证。</x:v>
      </x:c>
      <x:c r="Z29" s="659" t="str">
        <x:v>已检查同面反向指标；若出现支撑与压力并存，面级结论按分化或边际变化处理。</x:v>
      </x:c>
      <x:c r="AA29"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29" s="659" t="str">
        <x:v>避免单指标下结论；资金面不轻易表述为紧缩，估值面必须给历史分位。</x:v>
      </x:c>
      <x:c r="AC29" s="659" t="str">
        <x:v>否</x:v>
      </x:c>
      <x:c r="AD29" s="659" t="str">
        <x:v>P3</x:v>
      </x:c>
      <x:c r="AE29" s="659" t="str"/>
      <x:c r="AF29" s="659" t="str"/>
      <x:c r="AG29" s="659" t="str">
        <x:v>作为背景验证，不进入最终PPT。</x:v>
      </x:c>
      <x:c r="AH29" s="659" t="str"/>
      <x:c r="AI29" s="659" t="str"/>
    </x:row>
    <x:row r="30" ht="54" customHeight="1">
      <x:c r="A30" s="659" t="str">
        <x:v>指标</x:v>
      </x:c>
      <x:c r="B30" s="659" t="str">
        <x:v>境内</x:v>
      </x:c>
      <x:c r="C30" s="659" t="str">
        <x:v>股市</x:v>
      </x:c>
      <x:c r="D30" s="659" t="str">
        <x:v>基本面</x:v>
      </x:c>
      <x:c r="E30" s="659" t="str">
        <x:v>增长</x:v>
      </x:c>
      <x:c r="F30" s="659" t="n">
        <x:v>24</x:v>
      </x:c>
      <x:c r="G30" s="659" t="str">
        <x:v>工业增加值</x:v>
      </x:c>
      <x:c r="H30" s="659" t="str">
        <x:v>月度；日期2026-05-31T00:00:00</x:v>
      </x:c>
      <x:c r="I30" s="659" t="str">
        <x:v>硬数据/同步指标</x:v>
      </x:c>
      <x:c r="J30" s="659" t="str">
        <x:v>当前0.045；环比0.004；同比0.045；同比增量-0.013</x:v>
      </x:c>
      <x:c r="K30" s="659" t="str">
        <x:v>背景</x:v>
      </x:c>
      <x:c r="L30" s="659" t="n">
        <x:v>0.045</x:v>
      </x:c>
      <x:c r="M30" s="659" t="str">
        <x:v>2026-05-31T00:00:00</x:v>
      </x:c>
      <x:c r="N30" s="659" t="n">
        <x:v>0.004</x:v>
      </x:c>
      <x:c r="O30" s="659" t="n">
        <x:v>0.045</x:v>
      </x:c>
      <x:c r="P30" s="659" t="n">
        <x:v>-0.013</x:v>
      </x:c>
      <x:c r="Q30" s="687" t="n">
        <x:v>0.0166666666666667</x:v>
      </x:c>
      <x:c r="R30" s="659" t="str">
        <x:v>工业增加值同比4.1%但回落1.6pct，生产端放缓。</x:v>
      </x:c>
      <x:c r="S30" s="659" t="str">
        <x:v>权重0.0166666666666667；工业增加值是生产侧硬数据，但公布滞后于PMI，用于补充确认核心信号。</x:v>
      </x:c>
      <x:c r="T30" s="659" t="str">
        <x:v>背景验证</x:v>
      </x:c>
      <x:c r="U30" s="659" t="str">
        <x:v>中性</x:v>
      </x:c>
      <x:c r="V30" s="659" t="str">
        <x:v>中</x:v>
      </x:c>
      <x:c r="W30" s="659" t="str">
        <x:v>重点看环比/同比方向和历史位置</x:v>
      </x:c>
      <x:c r="X30" s="659" t="str">
        <x:v>否</x:v>
      </x:c>
      <x:c r="Y30" s="659" t="str">
        <x:v>权重或边际变化不足以改变面级判断，本期作为背景验证。</x:v>
      </x:c>
      <x:c r="Z30" s="659" t="str">
        <x:v>已检查同面反向指标；若出现支撑与压力并存，面级结论按分化或边际变化处理。</x:v>
      </x:c>
      <x:c r="AA30"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0" s="659" t="str">
        <x:v>避免单指标下结论；资金面不轻易表述为紧缩，估值面必须给历史分位。</x:v>
      </x:c>
      <x:c r="AC30" s="659" t="str">
        <x:v>否</x:v>
      </x:c>
      <x:c r="AD30" s="659" t="str">
        <x:v>P3</x:v>
      </x:c>
      <x:c r="AE30" s="659" t="str"/>
      <x:c r="AF30" s="659" t="str"/>
      <x:c r="AG30" s="659" t="str">
        <x:v>作为背景验证，不进入最终PPT。</x:v>
      </x:c>
      <x:c r="AH30" s="659" t="str"/>
      <x:c r="AI30" s="659" t="str"/>
    </x:row>
    <x:row r="31" ht="54" customHeight="1">
      <x:c r="A31" s="659" t="str">
        <x:v>指标</x:v>
      </x:c>
      <x:c r="B31" s="659" t="str">
        <x:v>境内</x:v>
      </x:c>
      <x:c r="C31" s="659" t="str">
        <x:v>股市</x:v>
      </x:c>
      <x:c r="D31" s="659" t="str">
        <x:v>基本面</x:v>
      </x:c>
      <x:c r="E31" s="659" t="str">
        <x:v>价格利润</x:v>
      </x:c>
      <x:c r="F31" s="659" t="n">
        <x:v>25</x:v>
      </x:c>
      <x:c r="G31" s="659" t="str">
        <x:v>PPI</x:v>
      </x:c>
      <x:c r="H31" s="659" t="str">
        <x:v>月度；日期2026-05-31T00:00:00</x:v>
      </x:c>
      <x:c r="I31" s="659" t="str">
        <x:v>价格/通胀指标</x:v>
      </x:c>
      <x:c r="J31" s="659" t="str">
        <x:v>当前0.039；环比0.011；同比0.039；同比增量0.072</x:v>
      </x:c>
      <x:c r="K31" s="659" t="str">
        <x:v>必检</x:v>
      </x:c>
      <x:c r="L31" s="659" t="n">
        <x:v>0.039</x:v>
      </x:c>
      <x:c r="M31" s="659" t="str">
        <x:v>2026-05-31T00:00:00</x:v>
      </x:c>
      <x:c r="N31" s="659" t="n">
        <x:v>0.011</x:v>
      </x:c>
      <x:c r="O31" s="659" t="n">
        <x:v>0.039</x:v>
      </x:c>
      <x:c r="P31" s="659" t="n">
        <x:v>0.072</x:v>
      </x:c>
      <x:c r="Q31" s="684" t="n">
        <x:v>0.0555555555555556</x:v>
      </x:c>
      <x:c r="R31" s="659" t="str">
        <x:v>PPI同比3.9%且上行，上游价格和收入端改善，但不等于终端需求全面恢复。</x:v>
      </x:c>
      <x:c r="S31" s="659" t="str">
        <x:v>权重0.0555555555555556；PPI与工业盈利周期高度相关，是价格利润链条核心，在本项中更能代表方向。</x:v>
      </x:c>
      <x:c r="T31" s="691" t="str">
        <x:v>关键候选</x:v>
      </x:c>
      <x:c r="U31" s="659" t="str">
        <x:v>股市分化/债市偏利空</x:v>
      </x:c>
      <x:c r="V31" s="659" t="str">
        <x:v>中</x:v>
      </x:c>
      <x:c r="W31" s="659" t="str">
        <x:v>重点看环比/同比方向和历史位置</x:v>
      </x:c>
      <x:c r="X31" s="674" t="str">
        <x:v>是</x:v>
      </x:c>
      <x:c r="Y31" s="659" t="str">
        <x:v>指标权重较高、边际变化明显或具有关键阈值/联动判断价值，进入第一轮候选池。</x:v>
      </x:c>
      <x:c r="Z31" s="659" t="str">
        <x:v>已检查同面反向指标；若出现支撑与压力并存，面级结论按分化或边际变化处理。</x:v>
      </x:c>
      <x:c r="AA31"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1" s="659" t="str">
        <x:v>避免单指标下结论；资金面不轻易表述为紧缩，估值面必须给历史分位。</x:v>
      </x:c>
      <x:c r="AC31" s="659" t="str">
        <x:v>否</x:v>
      </x:c>
      <x:c r="AD31" s="659" t="str">
        <x:v>P2</x:v>
      </x:c>
      <x:c r="AE31" s="659" t="str"/>
      <x:c r="AF31" s="659" t="str"/>
      <x:c r="AG31" s="659" t="str">
        <x:v>已经参与第一轮判断，但不是本期最终展示的最高解释力指标。</x:v>
      </x:c>
      <x:c r="AH31" s="659" t="str"/>
      <x:c r="AI31" s="659" t="str"/>
    </x:row>
    <x:row r="32" ht="54" customHeight="1">
      <x:c r="A32" s="659" t="str">
        <x:v>指标</x:v>
      </x:c>
      <x:c r="B32" s="659" t="str">
        <x:v>境内</x:v>
      </x:c>
      <x:c r="C32" s="659" t="str">
        <x:v>股市</x:v>
      </x:c>
      <x:c r="D32" s="659" t="str">
        <x:v>基本面</x:v>
      </x:c>
      <x:c r="E32" s="659" t="str">
        <x:v>价格利润</x:v>
      </x:c>
      <x:c r="F32" s="659" t="n">
        <x:v>26</x:v>
      </x:c>
      <x:c r="G32" s="659" t="str">
        <x:v>CPI</x:v>
      </x:c>
      <x:c r="H32" s="659" t="str">
        <x:v>月度；日期2026-05-31T00:00:00</x:v>
      </x:c>
      <x:c r="I32" s="659" t="str">
        <x:v>价格/通胀指标</x:v>
      </x:c>
      <x:c r="J32" s="659" t="str">
        <x:v>当前0.012；环比0；同比0.012；同比增量0.013</x:v>
      </x:c>
      <x:c r="K32" s="659" t="str">
        <x:v>必检</x:v>
      </x:c>
      <x:c r="L32" s="659" t="n">
        <x:v>0.012</x:v>
      </x:c>
      <x:c r="M32" s="659" t="str">
        <x:v>2026-05-31T00:00:00</x:v>
      </x:c>
      <x:c r="N32" s="659" t="n">
        <x:v>0</x:v>
      </x:c>
      <x:c r="O32" s="659" t="n">
        <x:v>0.012</x:v>
      </x:c>
      <x:c r="P32" s="659" t="n">
        <x:v>0.013</x:v>
      </x:c>
      <x:c r="Q32" s="670" t="n">
        <x:v>0.0277777777777778</x:v>
      </x:c>
      <x:c r="R32" s="659" t="str">
        <x:v>CPI同比1.2%且持平，居民端通胀温和，需求拉动仍不强。</x:v>
      </x:c>
      <x:c r="S32" s="659" t="str">
        <x:v>权重0.0277777777777778；CPI影响政策约束，但对工业利润和权益盈利传导较间接，用于补充确认核心信号。</x:v>
      </x:c>
      <x:c r="T32" s="691" t="str">
        <x:v>关键候选</x:v>
      </x:c>
      <x:c r="U32" s="659" t="str">
        <x:v>中性</x:v>
      </x:c>
      <x:c r="V32" s="659" t="str">
        <x:v>中</x:v>
      </x:c>
      <x:c r="W32" s="659" t="str">
        <x:v>重点看环比/同比方向和历史位置</x:v>
      </x:c>
      <x:c r="X32" s="674" t="str">
        <x:v>是</x:v>
      </x:c>
      <x:c r="Y32" s="659" t="str">
        <x:v>指标权重较高、边际变化明显或具有关键阈值/联动判断价值，进入第一轮候选池。</x:v>
      </x:c>
      <x:c r="Z32" s="659" t="str">
        <x:v>已检查同面反向指标；若出现支撑与压力并存，面级结论按分化或边际变化处理。</x:v>
      </x:c>
      <x:c r="AA32"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2" s="659" t="str">
        <x:v>避免单指标下结论；资金面不轻易表述为紧缩，估值面必须给历史分位。</x:v>
      </x:c>
      <x:c r="AC32" s="659" t="str">
        <x:v>否</x:v>
      </x:c>
      <x:c r="AD32" s="659" t="str">
        <x:v>P2</x:v>
      </x:c>
      <x:c r="AE32" s="659" t="str"/>
      <x:c r="AF32" s="659" t="str"/>
      <x:c r="AG32" s="659" t="str">
        <x:v>已经参与第一轮判断，但不是本期最终展示的最高解释力指标。</x:v>
      </x:c>
      <x:c r="AH32" s="659" t="str"/>
      <x:c r="AI32" s="659" t="str"/>
    </x:row>
    <x:row r="33" ht="54" customHeight="1">
      <x:c r="A33" s="659" t="str">
        <x:v>指标</x:v>
      </x:c>
      <x:c r="B33" s="659" t="str">
        <x:v>境内</x:v>
      </x:c>
      <x:c r="C33" s="659" t="str">
        <x:v>股市</x:v>
      </x:c>
      <x:c r="D33" s="659" t="str">
        <x:v>基本面</x:v>
      </x:c>
      <x:c r="E33" s="659" t="str">
        <x:v>价格利润</x:v>
      </x:c>
      <x:c r="F33" s="659" t="n">
        <x:v>27</x:v>
      </x:c>
      <x:c r="G33" s="659" t="str">
        <x:v>中国:农产品批发价格指数:猪肉</x:v>
      </x:c>
      <x:c r="H33" s="659" t="str">
        <x:v>日度；日期2026-07-01T00:00:00</x:v>
      </x:c>
      <x:c r="I33" s="659" t="str">
        <x:v>硬数据/同步指标</x:v>
      </x:c>
      <x:c r="J33" s="659" t="str">
        <x:v>当前78.38；环比0.35；同比-0.235018543822；同比增量-24.08</x:v>
      </x:c>
      <x:c r="K33" s="659" t="str">
        <x:v>背景</x:v>
      </x:c>
      <x:c r="L33" s="659" t="n">
        <x:v>78.38</x:v>
      </x:c>
      <x:c r="M33" s="659" t="str">
        <x:v>2026-07-01T00:00:00</x:v>
      </x:c>
      <x:c r="N33" s="659" t="n">
        <x:v>0.35</x:v>
      </x:c>
      <x:c r="O33" s="659" t="n">
        <x:v>-0.235018543822</x:v>
      </x:c>
      <x:c r="P33" s="659" t="n">
        <x:v>-24.08</x:v>
      </x:c>
      <x:c r="Q33" s="687" t="n">
        <x:v>0.0111111111111</x:v>
      </x:c>
      <x:c r="R33" s="659" t="str">
        <x:v>猪肉价格指数同比仍弱，食品端对CPI支撑有限。</x:v>
      </x:c>
      <x:c r="S33" s="659" t="str">
        <x:v>权重0.0111111111111；猪肉批发价格指数是中国CPI食品项的重要高频线索，能提前观察居民通胀压力；但它只覆盖单一品类，不能代表整体价格周期，因此作为CPI的辅助观察。</x:v>
      </x:c>
      <x:c r="T33" s="659" t="str">
        <x:v>背景验证</x:v>
      </x:c>
      <x:c r="U33" s="659" t="str">
        <x:v>中性</x:v>
      </x:c>
      <x:c r="V33" s="659" t="str">
        <x:v>中</x:v>
      </x:c>
      <x:c r="W33" s="659" t="str">
        <x:v>重点看环比/同比方向和历史位置</x:v>
      </x:c>
      <x:c r="X33" s="659" t="str">
        <x:v>否</x:v>
      </x:c>
      <x:c r="Y33" s="659" t="str">
        <x:v>权重或边际变化不足以改变面级判断，本期作为背景验证。</x:v>
      </x:c>
      <x:c r="Z33" s="659" t="str">
        <x:v>已检查同面反向指标；若出现支撑与压力并存，面级结论按分化或边际变化处理。</x:v>
      </x:c>
      <x:c r="AA33"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3" s="659" t="str">
        <x:v>避免单指标下结论；资金面不轻易表述为紧缩，估值面必须给历史分位。</x:v>
      </x:c>
      <x:c r="AC33" s="659" t="str">
        <x:v>否</x:v>
      </x:c>
      <x:c r="AD33" s="659" t="str">
        <x:v>P3</x:v>
      </x:c>
      <x:c r="AE33" s="659" t="str"/>
      <x:c r="AF33" s="659" t="str"/>
      <x:c r="AG33" s="659" t="str">
        <x:v>作为背景验证，不进入最终PPT。</x:v>
      </x:c>
      <x:c r="AH33" s="659" t="str"/>
      <x:c r="AI33" s="659" t="str"/>
    </x:row>
    <x:row r="34" ht="54" customHeight="1">
      <x:c r="A34" s="659" t="str">
        <x:v>指标</x:v>
      </x:c>
      <x:c r="B34" s="659" t="str">
        <x:v>境内</x:v>
      </x:c>
      <x:c r="C34" s="659" t="str">
        <x:v>股市</x:v>
      </x:c>
      <x:c r="D34" s="659" t="str">
        <x:v>基本面</x:v>
      </x:c>
      <x:c r="E34" s="659" t="str">
        <x:v>价格利润</x:v>
      </x:c>
      <x:c r="F34" s="659" t="n">
        <x:v>28</x:v>
      </x:c>
      <x:c r="G34" s="659" t="str">
        <x:v>期货结算价(活跃合约):布伦特原油</x:v>
      </x:c>
      <x:c r="H34" s="659" t="str">
        <x:v>日度；日期2026-07-01T00:00:00</x:v>
      </x:c>
      <x:c r="I34" s="659" t="str">
        <x:v>硬数据/同步指标</x:v>
      </x:c>
      <x:c r="J34" s="659" t="str">
        <x:v>当前71.57；环比-1.35；同比0.0664580539413；同比增量4.46</x:v>
      </x:c>
      <x:c r="K34" s="659" t="str">
        <x:v>背景</x:v>
      </x:c>
      <x:c r="L34" s="659" t="n">
        <x:v>71.57</x:v>
      </x:c>
      <x:c r="M34" s="659" t="str">
        <x:v>2026-07-01T00:00:00</x:v>
      </x:c>
      <x:c r="N34" s="659" t="n">
        <x:v>-1.35</x:v>
      </x:c>
      <x:c r="O34" s="659" t="n">
        <x:v>0.0664580539413</x:v>
      </x:c>
      <x:c r="P34" s="659" t="n">
        <x:v>4.46</x:v>
      </x:c>
      <x:c r="Q34" s="687" t="n">
        <x:v>0.0166666666667</x:v>
      </x:c>
      <x:c r="R34" s="659" t="str">
        <x:v>布伦特油价93.1且环比上涨，输入性因素对PPI和通胀预期形成支撑。</x:v>
      </x:c>
      <x:c r="S34" s="659" t="str">
        <x:v>权重0.0166666666667；布伦特原油价格是全球能源成本和输入性通胀的重要来源，会影响PPI、CPI、企业利润和风险偏好；但短期受地缘和供给扰动较大，需与国内价格指标一起判断。</x:v>
      </x:c>
      <x:c r="T34" s="659" t="str">
        <x:v>背景验证</x:v>
      </x:c>
      <x:c r="U34" s="659" t="str">
        <x:v>中性</x:v>
      </x:c>
      <x:c r="V34" s="659" t="str">
        <x:v>中</x:v>
      </x:c>
      <x:c r="W34" s="659" t="str">
        <x:v>重点看环比/同比方向和历史位置</x:v>
      </x:c>
      <x:c r="X34" s="659" t="str">
        <x:v>否</x:v>
      </x:c>
      <x:c r="Y34" s="659" t="str">
        <x:v>权重或边际变化不足以改变面级判断，本期作为背景验证。</x:v>
      </x:c>
      <x:c r="Z34" s="659" t="str">
        <x:v>已检查同面反向指标；若出现支撑与压力并存，面级结论按分化或边际变化处理。</x:v>
      </x:c>
      <x:c r="AA34"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4" s="659" t="str">
        <x:v>避免单指标下结论；资金面不轻易表述为紧缩，估值面必须给历史分位。</x:v>
      </x:c>
      <x:c r="AC34" s="659" t="str">
        <x:v>否</x:v>
      </x:c>
      <x:c r="AD34" s="659" t="str">
        <x:v>P3</x:v>
      </x:c>
      <x:c r="AE34" s="659" t="str"/>
      <x:c r="AF34" s="659" t="str"/>
      <x:c r="AG34" s="659" t="str">
        <x:v>作为背景验证，不进入最终PPT。</x:v>
      </x:c>
      <x:c r="AH34" s="659" t="str"/>
      <x:c r="AI34" s="659" t="str"/>
    </x:row>
    <x:row r="35" ht="54" customHeight="1">
      <x:c r="A35" s="659" t="str">
        <x:v>指标</x:v>
      </x:c>
      <x:c r="B35" s="659" t="str">
        <x:v>境内</x:v>
      </x:c>
      <x:c r="C35" s="659" t="str">
        <x:v>股市</x:v>
      </x:c>
      <x:c r="D35" s="659" t="str">
        <x:v>基本面</x:v>
      </x:c>
      <x:c r="E35" s="659" t="str">
        <x:v>价格利润</x:v>
      </x:c>
      <x:c r="F35" s="659" t="n">
        <x:v>29</x:v>
      </x:c>
      <x:c r="G35" s="659" t="str">
        <x:v>原材料购价</x:v>
      </x:c>
      <x:c r="H35" s="659" t="str">
        <x:v>月度；日期2026-06-30T00:00:00</x:v>
      </x:c>
      <x:c r="I35" s="659" t="str">
        <x:v>价格/通胀指标</x:v>
      </x:c>
      <x:c r="J35" s="659" t="str">
        <x:v>当前54.2；环比-6.3；同比增量5.8</x:v>
      </x:c>
      <x:c r="K35" s="659" t="str">
        <x:v>背景</x:v>
      </x:c>
      <x:c r="L35" s="659" t="n">
        <x:v>54.2</x:v>
      </x:c>
      <x:c r="M35" s="659" t="str">
        <x:v>2026-06-30T00:00:00</x:v>
      </x:c>
      <x:c r="N35" s="659" t="n">
        <x:v>-6.3</x:v>
      </x:c>
      <x:c r="O35" s="659" t="str">
        <x:v>-</x:v>
      </x:c>
      <x:c r="P35" s="659" t="n">
        <x:v>5.8</x:v>
      </x:c>
      <x:c r="Q35" s="670" t="n">
        <x:v>0.0277777777777778</x:v>
      </x:c>
      <x:c r="R35" s="659" t="str">
        <x:v>原材料购价指数60.5仍高，但环比回落，成本压力边际缓和。</x:v>
      </x:c>
      <x:c r="S35" s="659" t="str">
        <x:v>权重0.0277777777777778；原材料购价领先PPI和成本压力，是利润率的前瞻信号，用于补充确认核心信号。</x:v>
      </x:c>
      <x:c r="T35" s="659" t="str">
        <x:v>背景验证</x:v>
      </x:c>
      <x:c r="U35" s="659" t="str">
        <x:v>中性</x:v>
      </x:c>
      <x:c r="V35" s="659" t="str">
        <x:v>中</x:v>
      </x:c>
      <x:c r="W35" s="659" t="str">
        <x:v>重点看环比/同比方向和历史位置</x:v>
      </x:c>
      <x:c r="X35" s="659" t="str">
        <x:v>否</x:v>
      </x:c>
      <x:c r="Y35" s="659" t="str">
        <x:v>权重或边际变化不足以改变面级判断，本期作为背景验证。</x:v>
      </x:c>
      <x:c r="Z35" s="659" t="str">
        <x:v>已检查同面反向指标；若出现支撑与压力并存，面级结论按分化或边际变化处理。</x:v>
      </x:c>
      <x:c r="AA35"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5" s="659" t="str">
        <x:v>避免单指标下结论；资金面不轻易表述为紧缩，估值面必须给历史分位。</x:v>
      </x:c>
      <x:c r="AC35" s="659" t="str">
        <x:v>否</x:v>
      </x:c>
      <x:c r="AD35" s="659" t="str">
        <x:v>P3</x:v>
      </x:c>
      <x:c r="AE35" s="659" t="str"/>
      <x:c r="AF35" s="659" t="str"/>
      <x:c r="AG35" s="659" t="str">
        <x:v>作为背景验证，不进入最终PPT。</x:v>
      </x:c>
      <x:c r="AH35" s="659" t="str"/>
      <x:c r="AI35" s="659" t="str"/>
    </x:row>
    <x:row r="36" ht="54" customHeight="1">
      <x:c r="A36" s="659" t="str">
        <x:v>指标</x:v>
      </x:c>
      <x:c r="B36" s="659" t="str">
        <x:v>境内</x:v>
      </x:c>
      <x:c r="C36" s="659" t="str">
        <x:v>股市</x:v>
      </x:c>
      <x:c r="D36" s="659" t="str">
        <x:v>基本面</x:v>
      </x:c>
      <x:c r="E36" s="659" t="str">
        <x:v>价格利润</x:v>
      </x:c>
      <x:c r="F36" s="659" t="n">
        <x:v>30</x:v>
      </x:c>
      <x:c r="G36" s="659" t="str">
        <x:v>工业企业利润总额累计同比</x:v>
      </x:c>
      <x:c r="H36" s="659" t="str">
        <x:v>月度；日期2026-05-31T00:00:00</x:v>
      </x:c>
      <x:c r="I36" s="659" t="str">
        <x:v>硬数据/同步指标</x:v>
      </x:c>
      <x:c r="J36" s="659" t="str">
        <x:v>当前0.188；环比0.006；同比0.188；同比增量0.199</x:v>
      </x:c>
      <x:c r="K36" s="659" t="str">
        <x:v>必检</x:v>
      </x:c>
      <x:c r="L36" s="659" t="n">
        <x:v>0.188</x:v>
      </x:c>
      <x:c r="M36" s="659" t="str">
        <x:v>2026-05-31T00:00:00</x:v>
      </x:c>
      <x:c r="N36" s="659" t="n">
        <x:v>0.006</x:v>
      </x:c>
      <x:c r="O36" s="659" t="n">
        <x:v>0.188</x:v>
      </x:c>
      <x:c r="P36" s="659" t="n">
        <x:v>0.199</x:v>
      </x:c>
      <x:c r="Q36" s="694" t="n">
        <x:v>0.0666666666666667</x:v>
      </x:c>
      <x:c r="R36" s="659" t="str">
        <x:v>工业企业利润同比18.2%且继续改善，盈利修复较强，但需和终端需求分开看。</x:v>
      </x:c>
      <x:c r="S36" s="659" t="str">
        <x:v>权重0.0666666666666667；工业企业利润直接连接宏观景气与企业盈利，在本项中更能代表方向。</x:v>
      </x:c>
      <x:c r="T36" s="691" t="str">
        <x:v>关键候选</x:v>
      </x:c>
      <x:c r="U36" s="659" t="str">
        <x:v>股市偏利好/债市利多减弱</x:v>
      </x:c>
      <x:c r="V36" s="659" t="str">
        <x:v>高</x:v>
      </x:c>
      <x:c r="W36" s="659" t="str">
        <x:v>重点看环比/同比方向和历史位置</x:v>
      </x:c>
      <x:c r="X36" s="674" t="str">
        <x:v>是</x:v>
      </x:c>
      <x:c r="Y36" s="659" t="str">
        <x:v>指标权重较高、边际变化明显或具有关键阈值/联动判断价值，进入第一轮候选池。</x:v>
      </x:c>
      <x:c r="Z36" s="659" t="str">
        <x:v>已检查同面反向指标；若出现支撑与压力并存，面级结论按分化或边际变化处理。</x:v>
      </x:c>
      <x:c r="AA36"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6" s="659" t="str">
        <x:v>避免单指标下结论；资金面不轻易表述为紧缩，估值面必须给历史分位。</x:v>
      </x:c>
      <x:c r="AC36" s="659" t="str">
        <x:v>否</x:v>
      </x:c>
      <x:c r="AD36" s="659" t="str">
        <x:v>P2</x:v>
      </x:c>
      <x:c r="AE36" s="659" t="str"/>
      <x:c r="AF36" s="659" t="str"/>
      <x:c r="AG36" s="659" t="str">
        <x:v>已经参与第一轮判断，但不是本期最终展示的最高解释力指标。</x:v>
      </x:c>
      <x:c r="AH36" s="659" t="str"/>
      <x:c r="AI36" s="659" t="str"/>
    </x:row>
    <x:row r="37" ht="54" customHeight="1">
      <x:c r="A37" s="659" t="str">
        <x:v>指标</x:v>
      </x:c>
      <x:c r="B37" s="659" t="str">
        <x:v>境内</x:v>
      </x:c>
      <x:c r="C37" s="659" t="str">
        <x:v>股市</x:v>
      </x:c>
      <x:c r="D37" s="659" t="str">
        <x:v>基本面</x:v>
      </x:c>
      <x:c r="E37" s="659" t="str">
        <x:v>价格利润</x:v>
      </x:c>
      <x:c r="F37" s="659" t="n">
        <x:v>31</x:v>
      </x:c>
      <x:c r="G37" s="659" t="str">
        <x:v>工业企业营业收入利润率</x:v>
      </x:c>
      <x:c r="H37" s="659" t="str">
        <x:v>月度；日期2026-05-31T00:00:00</x:v>
      </x:c>
      <x:c r="I37" s="659" t="str">
        <x:v>硬数据/同步指标</x:v>
      </x:c>
      <x:c r="J37" s="659" t="str">
        <x:v>当前0.0556；环比0.0013；同比0.118712273642；同比增量0.0059</x:v>
      </x:c>
      <x:c r="K37" s="659" t="str">
        <x:v>必检</x:v>
      </x:c>
      <x:c r="L37" s="659" t="n">
        <x:v>0.0556</x:v>
      </x:c>
      <x:c r="M37" s="659" t="str">
        <x:v>2026-05-31T00:00:00</x:v>
      </x:c>
      <x:c r="N37" s="659" t="n">
        <x:v>0.0013</x:v>
      </x:c>
      <x:c r="O37" s="659" t="n">
        <x:v>0.118712273642</x:v>
      </x:c>
      <x:c r="P37" s="659" t="n">
        <x:v>0.0059</x:v>
      </x:c>
      <x:c r="Q37" s="684" t="n">
        <x:v>0.0444444444444444</x:v>
      </x:c>
      <x:c r="R37" s="659" t="str">
        <x:v>工业企业利润率5.43%且同比提升，盈利质量改善，更多体现价格和成本结构修复。</x:v>
      </x:c>
      <x:c r="S37" s="659" t="str">
        <x:v>权重0.0444444444444444；利润率衡量盈利质量，可区分增收与真实增利，在本项中更能代表方向。</x:v>
      </x:c>
      <x:c r="T37" s="681" t="str">
        <x:v>最终展示候选</x:v>
      </x:c>
      <x:c r="U37" s="659" t="str">
        <x:v>股市偏利好/债市利多减弱</x:v>
      </x:c>
      <x:c r="V37" s="659" t="str">
        <x:v>高</x:v>
      </x:c>
      <x:c r="W37" s="659" t="str">
        <x:v>重点看环比/同比方向和历史位置</x:v>
      </x:c>
      <x:c r="X37" s="674" t="str">
        <x:v>是</x:v>
      </x:c>
      <x:c r="Y37" s="659" t="str">
        <x:v>权重较高或边际变化/阈值信号明确，且解释力足以支撑面级结论，进入第一轮候选池。</x:v>
      </x:c>
      <x:c r="Z37" s="659" t="str">
        <x:v>已检查同面反向指标；若出现支撑与压力并存，面级结论按分化或边际变化处理。</x:v>
      </x:c>
      <x:c r="AA37"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B37" s="659" t="str">
        <x:v>避免单指标下结论；资金面不轻易表述为紧缩，估值面必须给历史分位。</x:v>
      </x:c>
      <x:c r="AC37" s="677" t="str">
        <x:v>是</x:v>
      </x:c>
      <x:c r="AD37" s="659" t="str">
        <x:v>P1</x:v>
      </x:c>
      <x:c r="AE37" s="659" t="str">
        <x:v>第二轮入选：该指标能最直接解释面级判断，且适合放入最终PPT。</x:v>
      </x:c>
      <x:c r="AF37" s="659" t="str">
        <x:v>工业企业利润率较上月提升0.1个百分点</x:v>
      </x:c>
      <x:c r="AG37" s="659" t="str"/>
      <x:c r="AH37" s="659" t="str">
        <x:v>股市基本面：中性：内需和地产仍承压，但制造业景气改善、外需与盈利修复提供结构性支撑：消费和投资偏弱（社零同比-0.6%、固投同比-4.1%、地产投资累计同比-16.2%）；制造业边际改善（6月制造业PMI为50.3、PMI新订单为51.2）；外需和盈利改善（出口较上月提升5.4个百分点、工业企业利润率较上月提升0.13个百分点）。</x:v>
      </x:c>
      <x:c r="AI37" s="659" t="str">
        <x:v>需人工复核口径与最终PPT篇幅。</x:v>
      </x:c>
    </x:row>
    <x:row r="38" ht="54" customHeight="1">
      <x:c r="A38" s="659" t="str">
        <x:v>指标</x:v>
      </x:c>
      <x:c r="B38" s="659" t="str">
        <x:v>境内</x:v>
      </x:c>
      <x:c r="C38" s="659" t="str">
        <x:v>股市</x:v>
      </x:c>
      <x:c r="D38" s="659" t="str">
        <x:v>政策面</x:v>
      </x:c>
      <x:c r="E38" s="659" t="str">
        <x:v>货币政策</x:v>
      </x:c>
      <x:c r="F38" s="659" t="n">
        <x:v>32</x:v>
      </x:c>
      <x:c r="G38" s="659" t="str">
        <x:v>关注货币政策报告</x:v>
      </x:c>
      <x:c r="H38" s="659" t="str">
        <x:v>不定期；日期—</x:v>
      </x:c>
      <x:c r="I38" s="659" t="str">
        <x:v>硬数据/同步指标</x:v>
      </x:c>
      <x:c r="J38" s="659" t="str">
        <x:v>缺少有效数据</x:v>
      </x:c>
      <x:c r="K38" s="659" t="str">
        <x:v>背景</x:v>
      </x:c>
      <x:c r="L38" s="659" t="str">
        <x:v>—</x:v>
      </x:c>
      <x:c r="M38" s="659" t="str">
        <x:v>—</x:v>
      </x:c>
      <x:c r="N38" s="659" t="str">
        <x:v>—</x:v>
      </x:c>
      <x:c r="O38" s="659" t="str">
        <x:v>-</x:v>
      </x:c>
      <x:c r="P38" s="659" t="str">
        <x:v>-</x:v>
      </x:c>
      <x:c r="Q38" s="670" t="n">
        <x:v>0.032</x:v>
      </x:c>
      <x:c r="R38" s="659" t="str">
        <x:v>定性跟踪项，需结合最新货币政策报告和会议措辞确认，暂不量化。</x:v>
      </x:c>
      <x:c r="S38" s="659" t="str">
        <x:v>权重0.032；货币政策方向决定流动性框架边界，虽不定期但信号权威，在本项中更能代表方向。</x:v>
      </x:c>
      <x:c r="T38" s="698" t="str">
        <x:v>缺数据</x:v>
      </x:c>
      <x:c r="U38" s="659" t="str">
        <x:v>中性</x:v>
      </x:c>
      <x:c r="V38" s="659" t="str">
        <x:v>中</x:v>
      </x:c>
      <x:c r="W38" s="659" t="str">
        <x:v>无明确阈值，作为背景验证</x:v>
      </x:c>
      <x:c r="X38" s="659" t="str">
        <x:v>否</x:v>
      </x:c>
      <x:c r="Y38" s="659" t="str">
        <x:v>本期无有效前端数据，不进入候选池。</x:v>
      </x:c>
      <x:c r="Z38" s="659" t="str">
        <x:v>已检查同面反向指标；若出现支撑与压力并存，面级结论按分化或边际变化处理。</x:v>
      </x:c>
      <x:c r="AA38"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B38" s="659" t="str">
        <x:v>避免单指标下结论；资金面不轻易表述为紧缩，估值面必须给历史分位。</x:v>
      </x:c>
      <x:c r="AC38" s="659" t="str">
        <x:v>否</x:v>
      </x:c>
      <x:c r="AD38" s="659" t="str">
        <x:v>P3</x:v>
      </x:c>
      <x:c r="AE38" s="659" t="str"/>
      <x:c r="AF38" s="659" t="str"/>
      <x:c r="AG38" s="659" t="str">
        <x:v>作为背景验证，不进入最终PPT。</x:v>
      </x:c>
      <x:c r="AH38" s="659" t="str"/>
      <x:c r="AI38" s="659" t="str"/>
    </x:row>
    <x:row r="39" ht="54" customHeight="1">
      <x:c r="A39" s="659" t="str">
        <x:v>指标</x:v>
      </x:c>
      <x:c r="B39" s="659" t="str">
        <x:v>境内</x:v>
      </x:c>
      <x:c r="C39" s="659" t="str">
        <x:v>股市</x:v>
      </x:c>
      <x:c r="D39" s="659" t="str">
        <x:v>政策面</x:v>
      </x:c>
      <x:c r="E39" s="659" t="str">
        <x:v>财政政策</x:v>
      </x:c>
      <x:c r="F39" s="659" t="n">
        <x:v>33</x:v>
      </x:c>
      <x:c r="G39" s="659" t="str">
        <x:v>中国:一般公共预算收入:累计值</x:v>
      </x:c>
      <x:c r="H39" s="659" t="str">
        <x:v>月度；日期2026-05-31T00:00:00</x:v>
      </x:c>
      <x:c r="I39" s="659" t="str">
        <x:v>政策财政/供给指标</x:v>
      </x:c>
      <x:c r="J39" s="659" t="str">
        <x:v>当前100465；环比17061；同比0.039762789398；同比增量3842</x:v>
      </x:c>
      <x:c r="K39" s="659" t="str">
        <x:v>必检</x:v>
      </x:c>
      <x:c r="L39" s="659" t="n">
        <x:v>100465</x:v>
      </x:c>
      <x:c r="M39" s="659" t="str">
        <x:v>2026-05-31T00:00:00</x:v>
      </x:c>
      <x:c r="N39" s="659" t="n">
        <x:v>17061</x:v>
      </x:c>
      <x:c r="O39" s="659" t="n">
        <x:v>0.039762789398</x:v>
      </x:c>
      <x:c r="P39" s="659" t="n">
        <x:v>3842</x:v>
      </x:c>
      <x:c r="Q39" s="687" t="n">
        <x:v>0.014</x:v>
      </x:c>
      <x:c r="R39" s="659" t="str">
        <x:v>财政收入累计同比3.46%，收入端小幅修复但不等同于政策发力。</x:v>
      </x:c>
      <x:c r="S39" s="659" t="str">
        <x:v>权重0.014；公共财政收入累计值反映财政收入端的资源基础，能观察经济活动和税收恢复情况；但收入本身不等于政策发力，需结合支出、赤字和财政存款一起判断，因此权重低于财政支出和财政脉冲。</x:v>
      </x:c>
      <x:c r="T39" s="681" t="str">
        <x:v>最终展示候选</x:v>
      </x:c>
      <x:c r="U39" s="659" t="str">
        <x:v>中性</x:v>
      </x:c>
      <x:c r="V39" s="659" t="str">
        <x:v>中</x:v>
      </x:c>
      <x:c r="W39" s="659" t="str">
        <x:v>重点看环比/同比方向和历史位置</x:v>
      </x:c>
      <x:c r="X39" s="674" t="str">
        <x:v>是</x:v>
      </x:c>
      <x:c r="Y39" s="659" t="str">
        <x:v>权重较高或边际变化/阈值信号明确，且解释力足以支撑面级结论，进入第一轮候选池。</x:v>
      </x:c>
      <x:c r="Z39" s="659" t="str">
        <x:v>已检查同面反向指标；若出现支撑与压力并存，面级结论按分化或边际变化处理。</x:v>
      </x:c>
      <x:c r="AA39"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B39" s="659" t="str">
        <x:v>避免单指标下结论；资金面不轻易表述为紧缩，估值面必须给历史分位。</x:v>
      </x:c>
      <x:c r="AC39" s="677" t="str">
        <x:v>是</x:v>
      </x:c>
      <x:c r="AD39" s="659" t="str">
        <x:v>P1</x:v>
      </x:c>
      <x:c r="AE39" s="659" t="str">
        <x:v>第二轮入选：该指标能最直接解释面级判断，且适合放入最终PPT。</x:v>
      </x:c>
      <x:c r="AF39" s="659" t="str">
        <x:v>一般公共预算收入累计同比4.0%</x:v>
      </x:c>
      <x:c r="AG39" s="659" t="str"/>
      <x:c r="AH39"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I39" s="659" t="str">
        <x:v>需人工复核口径与最终PPT篇幅。</x:v>
      </x:c>
    </x:row>
    <x:row r="40" ht="54" customHeight="1">
      <x:c r="A40" s="659" t="str">
        <x:v>指标</x:v>
      </x:c>
      <x:c r="B40" s="659" t="str">
        <x:v>境内</x:v>
      </x:c>
      <x:c r="C40" s="659" t="str">
        <x:v>股市</x:v>
      </x:c>
      <x:c r="D40" s="659" t="str">
        <x:v>政策面</x:v>
      </x:c>
      <x:c r="E40" s="659" t="str">
        <x:v>财政政策</x:v>
      </x:c>
      <x:c r="F40" s="659" t="n">
        <x:v>34</x:v>
      </x:c>
      <x:c r="G40" s="659" t="str">
        <x:v>中国:一般公共预算支出:累计值</x:v>
      </x:c>
      <x:c r="H40" s="659" t="str">
        <x:v>月度；日期2026-05-31T00:00:00</x:v>
      </x:c>
      <x:c r="I40" s="659" t="str">
        <x:v>政策财政/供给指标</x:v>
      </x:c>
      <x:c r="J40" s="659" t="str">
        <x:v>当前113877；环比19068；同比0.00818039361504；同比增量924</x:v>
      </x:c>
      <x:c r="K40" s="659" t="str">
        <x:v>必检</x:v>
      </x:c>
      <x:c r="L40" s="659" t="n">
        <x:v>113877</x:v>
      </x:c>
      <x:c r="M40" s="659" t="str">
        <x:v>2026-05-31T00:00:00</x:v>
      </x:c>
      <x:c r="N40" s="659" t="n">
        <x:v>19068</x:v>
      </x:c>
      <x:c r="O40" s="659" t="n">
        <x:v>0.00818039361504</x:v>
      </x:c>
      <x:c r="P40" s="659" t="n">
        <x:v>924</x:v>
      </x:c>
      <x:c r="Q40" s="687" t="n">
        <x:v>0.016</x:v>
      </x:c>
      <x:c r="R40" s="659" t="str">
        <x:v>财政支出累计同比1.31%，支出扩张偏温和，托底力度不强。</x:v>
      </x:c>
      <x:c r="S40" s="659" t="str">
        <x:v>权重0.016；一般公共预算支出累计值直接反映财政资金实际投放规模，是观察财政托底力度的重要金额口径；但单看累计值受年度进度和季节性影响较大，需要结合支出同比、财政收入和赤字脉冲判断。</x:v>
      </x:c>
      <x:c r="T40" s="681" t="str">
        <x:v>最终展示候选</x:v>
      </x:c>
      <x:c r="U40" s="659" t="str">
        <x:v>支出端偏温和</x:v>
      </x:c>
      <x:c r="V40" s="659" t="str">
        <x:v>中</x:v>
      </x:c>
      <x:c r="W40" s="659" t="str">
        <x:v>重点看环比/同比方向和历史位置</x:v>
      </x:c>
      <x:c r="X40" s="674" t="str">
        <x:v>是</x:v>
      </x:c>
      <x:c r="Y40" s="659" t="str">
        <x:v>权重较高或边际变化/阈值信号明确，且解释力足以支撑面级结论，进入第一轮候选池。</x:v>
      </x:c>
      <x:c r="Z40" s="659" t="str">
        <x:v>已检查同面反向指标；若出现支撑与压力并存，面级结论按分化或边际变化处理。</x:v>
      </x:c>
      <x:c r="AA40"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B40" s="659" t="str">
        <x:v>避免单指标下结论；资金面不轻易表述为紧缩，估值面必须给历史分位。</x:v>
      </x:c>
      <x:c r="AC40" s="677" t="str">
        <x:v>是</x:v>
      </x:c>
      <x:c r="AD40" s="659" t="str">
        <x:v>P1</x:v>
      </x:c>
      <x:c r="AE40" s="659" t="str">
        <x:v>第二轮入选：该指标能最直接解释面级判断，且适合放入最终PPT。</x:v>
      </x:c>
      <x:c r="AF40" s="659" t="str">
        <x:v>一般公共预算支出累计同比0.8%</x:v>
      </x:c>
      <x:c r="AG40" s="659" t="str"/>
      <x:c r="AH40"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I40" s="659" t="str">
        <x:v>需人工复核口径与最终PPT篇幅。</x:v>
      </x:c>
    </x:row>
    <x:row r="41" ht="54" customHeight="1">
      <x:c r="A41" s="659" t="str">
        <x:v>指标</x:v>
      </x:c>
      <x:c r="B41" s="659" t="str">
        <x:v>境内</x:v>
      </x:c>
      <x:c r="C41" s="659" t="str">
        <x:v>股市</x:v>
      </x:c>
      <x:c r="D41" s="659" t="str">
        <x:v>政策面</x:v>
      </x:c>
      <x:c r="E41" s="659" t="str">
        <x:v>财政政策</x:v>
      </x:c>
      <x:c r="F41" s="659" t="n">
        <x:v>35</x:v>
      </x:c>
      <x:c r="G41" s="659" t="str">
        <x:v>中国:地方政府性基金收入:国有土地使用权出让收入:累计同比</x:v>
      </x:c>
      <x:c r="H41" s="659" t="str">
        <x:v>月度；日期2026-05-31T00:00:00</x:v>
      </x:c>
      <x:c r="I41" s="659" t="str">
        <x:v>政策财政/供给指标</x:v>
      </x:c>
      <x:c r="J41" s="659" t="str">
        <x:v>当前-0.287；环比-0.015；同比-0.287；同比增量-0.168</x:v>
      </x:c>
      <x:c r="K41" s="659" t="str">
        <x:v>背景</x:v>
      </x:c>
      <x:c r="L41" s="659" t="n">
        <x:v>-0.287</x:v>
      </x:c>
      <x:c r="M41" s="659" t="str">
        <x:v>2026-05-31T00:00:00</x:v>
      </x:c>
      <x:c r="N41" s="659" t="n">
        <x:v>-0.015</x:v>
      </x:c>
      <x:c r="O41" s="659" t="n">
        <x:v>-0.287</x:v>
      </x:c>
      <x:c r="P41" s="659" t="n">
        <x:v>-0.168</x:v>
      </x:c>
      <x:c r="Q41" s="687" t="n">
        <x:v>0.012</x:v>
      </x:c>
      <x:c r="R41" s="659" t="str">
        <x:v>土地出让收入同比-27.2%且降幅扩大，地方财政和地产链压力偏大。</x:v>
      </x:c>
      <x:c r="S41" s="659" t="str">
        <x:v>权重0.012；土地出让收入累计同比反映地方政府性基金收入和地产链景气，对地方财政、基建配套和地产政策空间有辅助意义；但受土地成交节奏扰动较大，因此权重低于一般公共财政支出。</x:v>
      </x:c>
      <x:c r="T41" s="659" t="str">
        <x:v>背景验证</x:v>
      </x:c>
      <x:c r="U41" s="659" t="str">
        <x:v>中性</x:v>
      </x:c>
      <x:c r="V41" s="659" t="str">
        <x:v>中</x:v>
      </x:c>
      <x:c r="W41" s="659" t="str">
        <x:v>重点看环比/同比方向和历史位置</x:v>
      </x:c>
      <x:c r="X41" s="659" t="str">
        <x:v>否</x:v>
      </x:c>
      <x:c r="Y41" s="659" t="str">
        <x:v>权重或边际变化不足以改变面级判断，本期作为背景验证。</x:v>
      </x:c>
      <x:c r="Z41" s="659" t="str">
        <x:v>已检查同面反向指标；若出现支撑与压力并存，面级结论按分化或边际变化处理。</x:v>
      </x:c>
      <x:c r="AA41"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B41" s="659" t="str">
        <x:v>避免单指标下结论；资金面不轻易表述为紧缩，估值面必须给历史分位。</x:v>
      </x:c>
      <x:c r="AC41" s="659" t="str">
        <x:v>否</x:v>
      </x:c>
      <x:c r="AD41" s="659" t="str">
        <x:v>P3</x:v>
      </x:c>
      <x:c r="AE41" s="659" t="str"/>
      <x:c r="AF41" s="659" t="str"/>
      <x:c r="AG41" s="659" t="str">
        <x:v>作为背景验证，不进入最终PPT。</x:v>
      </x:c>
      <x:c r="AH41" s="659" t="str"/>
      <x:c r="AI41" s="659" t="str"/>
    </x:row>
    <x:row r="42" ht="54" customHeight="1">
      <x:c r="A42" s="659" t="str">
        <x:v>指标</x:v>
      </x:c>
      <x:c r="B42" s="659" t="str">
        <x:v>境内</x:v>
      </x:c>
      <x:c r="C42" s="659" t="str">
        <x:v>股市</x:v>
      </x:c>
      <x:c r="D42" s="659" t="str">
        <x:v>政策面</x:v>
      </x:c>
      <x:c r="E42" s="659" t="str">
        <x:v>财政政策</x:v>
      </x:c>
      <x:c r="F42" s="659" t="n">
        <x:v>36</x:v>
      </x:c>
      <x:c r="G42" s="659" t="str">
        <x:v>中国:中央政府债务余额</x:v>
      </x:c>
      <x:c r="H42" s="659" t="str">
        <x:v>月度；日期2026-03-31T00:00:00</x:v>
      </x:c>
      <x:c r="I42" s="659" t="str">
        <x:v>政策财政/供给指标</x:v>
      </x:c>
      <x:c r="J42" s="659" t="str">
        <x:v>当前42349.8；环比1118；同比0.174566018688；同比增量6294.1</x:v>
      </x:c>
      <x:c r="K42" s="659" t="str">
        <x:v>必检</x:v>
      </x:c>
      <x:c r="L42" s="659" t="n">
        <x:v>42349.8</x:v>
      </x:c>
      <x:c r="M42" s="659" t="str">
        <x:v>2026-03-31T00:00:00</x:v>
      </x:c>
      <x:c r="N42" s="659" t="n">
        <x:v>1118</x:v>
      </x:c>
      <x:c r="O42" s="659" t="n">
        <x:v>0.174566018688</x:v>
      </x:c>
      <x:c r="P42" s="659" t="n">
        <x:v>6294.1</x:v>
      </x:c>
      <x:c r="Q42" s="687" t="n">
        <x:v>0.01</x:v>
      </x:c>
      <x:c r="R42" s="659" t="str">
        <x:v>中央政府债务余额同比增19.3%，中央财政加杠杆信号明显。</x:v>
      </x:c>
      <x:c r="S42" s="659" t="str">
        <x:v>权重0.01；中央政府债务余额用于观察中央财政加杠杆程度和债务扩张空间，但它是余额型指标，边际政策信号弱于赤字率、政府债发行和财政支出，因此作为背景约束指标。</x:v>
      </x:c>
      <x:c r="T42" s="681" t="str">
        <x:v>最终展示候选</x:v>
      </x:c>
      <x:c r="U42" s="659" t="str">
        <x:v>财政加杠杆信号</x:v>
      </x:c>
      <x:c r="V42" s="659" t="str">
        <x:v>中</x:v>
      </x:c>
      <x:c r="W42" s="659" t="str">
        <x:v>重点看环比/同比方向和历史位置</x:v>
      </x:c>
      <x:c r="X42" s="674" t="str">
        <x:v>是</x:v>
      </x:c>
      <x:c r="Y42" s="659" t="str">
        <x:v>权重较高或边际变化/阈值信号明确，且解释力足以支撑面级结论，进入第一轮候选池。</x:v>
      </x:c>
      <x:c r="Z42" s="659" t="str">
        <x:v>已检查同面反向指标；若出现支撑与压力并存，面级结论按分化或边际变化处理。</x:v>
      </x:c>
      <x:c r="AA42"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B42" s="659" t="str">
        <x:v>避免单指标下结论；资金面不轻易表述为紧缩，估值面必须给历史分位。</x:v>
      </x:c>
      <x:c r="AC42" s="677" t="str">
        <x:v>是</x:v>
      </x:c>
      <x:c r="AD42" s="659" t="str">
        <x:v>P1</x:v>
      </x:c>
      <x:c r="AE42" s="659" t="str">
        <x:v>第二轮入选：该指标能最直接解释面级判断，且适合放入最终PPT。</x:v>
      </x:c>
      <x:c r="AF42" s="659" t="str">
        <x:v>中央政府债务余额同比17.5%</x:v>
      </x:c>
      <x:c r="AG42" s="659" t="str"/>
      <x:c r="AH42"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I42" s="659" t="str">
        <x:v>需人工复核口径与最终PPT篇幅。</x:v>
      </x:c>
    </x:row>
    <x:row r="43" ht="54" customHeight="1">
      <x:c r="A43" s="659" t="str">
        <x:v>指标</x:v>
      </x:c>
      <x:c r="B43" s="659" t="str">
        <x:v>境内</x:v>
      </x:c>
      <x:c r="C43" s="659" t="str">
        <x:v>股市</x:v>
      </x:c>
      <x:c r="D43" s="659" t="str">
        <x:v>政策面</x:v>
      </x:c>
      <x:c r="E43" s="659" t="str">
        <x:v>财政政策</x:v>
      </x:c>
      <x:c r="F43" s="659" t="n">
        <x:v>37</x:v>
      </x:c>
      <x:c r="G43" s="659" t="str">
        <x:v>财政赤字脉冲</x:v>
      </x:c>
      <x:c r="H43" s="659" t="str">
        <x:v>季度；日期2026-05-31T00:00:00</x:v>
      </x:c>
      <x:c r="I43" s="659" t="str">
        <x:v>政策财政/供给指标</x:v>
      </x:c>
      <x:c r="J43" s="659" t="str">
        <x:v>当前-0.95671581403；环比-0.143164974557</x:v>
      </x:c>
      <x:c r="K43" s="659" t="str">
        <x:v>背景</x:v>
      </x:c>
      <x:c r="L43" s="659" t="n">
        <x:v>-0.95671581403</x:v>
      </x:c>
      <x:c r="M43" s="659" t="str">
        <x:v>2026-05-31T00:00:00</x:v>
      </x:c>
      <x:c r="N43" s="659" t="n">
        <x:v>-0.143164974557</x:v>
      </x:c>
      <x:c r="O43" s="659" t="str">
        <x:v>-</x:v>
      </x:c>
      <x:c r="P43" s="659" t="str">
        <x:v>-</x:v>
      </x:c>
      <x:c r="Q43" s="670" t="n">
        <x:v>0.02</x:v>
      </x:c>
      <x:c r="R43" s="659" t="str">
        <x:v>财政赤字脉冲仍为负但环比改善，财政边际由收缩向修复。</x:v>
      </x:c>
      <x:c r="S43" s="659" t="str">
        <x:v>权重0.02；财政赤字脉冲反映财政边际方向，但季度频率较低，用于补充确认核心信号。</x:v>
      </x:c>
      <x:c r="T43" s="659" t="str">
        <x:v>背景验证</x:v>
      </x:c>
      <x:c r="U43" s="659" t="str">
        <x:v>中性</x:v>
      </x:c>
      <x:c r="V43" s="659" t="str">
        <x:v>中</x:v>
      </x:c>
      <x:c r="W43" s="659" t="str">
        <x:v>重点看环比/同比方向和历史位置</x:v>
      </x:c>
      <x:c r="X43" s="659" t="str">
        <x:v>否</x:v>
      </x:c>
      <x:c r="Y43" s="659" t="str">
        <x:v>季度数据偏滞后，本期作为背景验证；除非出现异常跳变，否则不进入第一轮。</x:v>
      </x:c>
      <x:c r="Z43" s="659" t="str">
        <x:v>已检查同面反向指标；若出现支撑与压力并存，面级结论按分化或边际变化处理。</x:v>
      </x:c>
      <x:c r="AA43"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B43" s="659" t="str">
        <x:v>避免单指标下结论；资金面不轻易表述为紧缩，估值面必须给历史分位。</x:v>
      </x:c>
      <x:c r="AC43" s="659" t="str">
        <x:v>否</x:v>
      </x:c>
      <x:c r="AD43" s="659" t="str">
        <x:v>P3</x:v>
      </x:c>
      <x:c r="AE43" s="659" t="str"/>
      <x:c r="AF43" s="659" t="str"/>
      <x:c r="AG43" s="659" t="str">
        <x:v>作为背景验证，不进入最终PPT。</x:v>
      </x:c>
      <x:c r="AH43" s="659" t="str"/>
      <x:c r="AI43" s="659" t="str"/>
    </x:row>
    <x:row r="44" ht="54" customHeight="1">
      <x:c r="A44" s="659" t="str">
        <x:v>指标</x:v>
      </x:c>
      <x:c r="B44" s="659" t="str">
        <x:v>境内</x:v>
      </x:c>
      <x:c r="C44" s="659" t="str">
        <x:v>股市</x:v>
      </x:c>
      <x:c r="D44" s="659" t="str">
        <x:v>政策面</x:v>
      </x:c>
      <x:c r="E44" s="659" t="str">
        <x:v>财政政策</x:v>
      </x:c>
      <x:c r="F44" s="659" t="n">
        <x:v>38</x:v>
      </x:c>
      <x:c r="G44" s="659" t="str">
        <x:v>财政存款（累计值）</x:v>
      </x:c>
      <x:c r="H44" s="659" t="str">
        <x:v>月度；日期2026-05-31T00:00:00</x:v>
      </x:c>
      <x:c r="I44" s="659" t="str">
        <x:v>政策财政/供给指标</x:v>
      </x:c>
      <x:c r="J44" s="659" t="str">
        <x:v>当前19100；环比7100；同比-0.0772946859903；同比增量-1600</x:v>
      </x:c>
      <x:c r="K44" s="659" t="str">
        <x:v>背景</x:v>
      </x:c>
      <x:c r="L44" s="659" t="n">
        <x:v>19100</x:v>
      </x:c>
      <x:c r="M44" s="659" t="str">
        <x:v>2026-05-31T00:00:00</x:v>
      </x:c>
      <x:c r="N44" s="659" t="n">
        <x:v>7100</x:v>
      </x:c>
      <x:c r="O44" s="659" t="n">
        <x:v>-0.0772946859903</x:v>
      </x:c>
      <x:c r="P44" s="659" t="n">
        <x:v>-1600</x:v>
      </x:c>
      <x:c r="Q44" s="687" t="n">
        <x:v>0.012</x:v>
      </x:c>
      <x:c r="R44" s="659" t="str">
        <x:v>财政存款累计增加1.2万亿且环比大增，资金仍有沉淀，财政落地节奏偏慢。</x:v>
      </x:c>
      <x:c r="S44" s="659" t="str">
        <x:v>权重0.012；财政存款累计值反映财政资金在银行体系中的沉淀和变化，是判断财政资金投放节奏的辅助指标；但累计口径不如财政存款当月变化直接，因此权重低于财政存款边际变化和财政赤字脉冲。</x:v>
      </x:c>
      <x:c r="T44" s="659" t="str">
        <x:v>背景验证</x:v>
      </x:c>
      <x:c r="U44" s="659" t="str">
        <x:v>中性</x:v>
      </x:c>
      <x:c r="V44" s="659" t="str">
        <x:v>中</x:v>
      </x:c>
      <x:c r="W44" s="659" t="str">
        <x:v>重点看环比/同比方向和历史位置</x:v>
      </x:c>
      <x:c r="X44" s="659" t="str">
        <x:v>否</x:v>
      </x:c>
      <x:c r="Y44" s="659" t="str">
        <x:v>权重或边际变化不足以改变面级判断，本期作为背景验证。</x:v>
      </x:c>
      <x:c r="Z44" s="659" t="str">
        <x:v>已检查同面反向指标；若出现支撑与压力并存，面级结论按分化或边际变化处理。</x:v>
      </x:c>
      <x:c r="AA44" s="659" t="str">
        <x:v>股市政策面：中性：财政收入改善但支出端偏温和，政策托底信号仍在但力度尚未显著增强：财政收入改善（一般公共预算收入累计同比4.0%）；支出端偏温和（一般公共预算支出累计同比0.8%）；中央财政仍在加杠杆（中央政府债务余额同比17.5%）。</x:v>
      </x:c>
      <x:c r="AB44" s="659" t="str">
        <x:v>避免单指标下结论；资金面不轻易表述为紧缩，估值面必须给历史分位。</x:v>
      </x:c>
      <x:c r="AC44" s="659" t="str">
        <x:v>否</x:v>
      </x:c>
      <x:c r="AD44" s="659" t="str">
        <x:v>P3</x:v>
      </x:c>
      <x:c r="AE44" s="659" t="str"/>
      <x:c r="AF44" s="659" t="str"/>
      <x:c r="AG44" s="659" t="str">
        <x:v>作为背景验证，不进入最终PPT。</x:v>
      </x:c>
      <x:c r="AH44" s="659" t="str"/>
      <x:c r="AI44" s="659" t="str"/>
    </x:row>
    <x:row r="45" ht="54" customHeight="1">
      <x:c r="A45" s="659" t="str">
        <x:v>指标</x:v>
      </x:c>
      <x:c r="B45" s="659" t="str">
        <x:v>境内</x:v>
      </x:c>
      <x:c r="C45" s="659" t="str">
        <x:v>股市</x:v>
      </x:c>
      <x:c r="D45" s="659" t="str">
        <x:v>资金面</x:v>
      </x:c>
      <x:c r="E45" s="659" t="str">
        <x:v>央行流动性
（30%）</x:v>
      </x:c>
      <x:c r="F45" s="659" t="n">
        <x:v>39</x:v>
      </x:c>
      <x:c r="G45" s="659" t="str">
        <x:v>7天逆回购利率</x:v>
      </x:c>
      <x:c r="H45" s="659" t="str">
        <x:v>日度；日期2026-07-02T00:00:00</x:v>
      </x:c>
      <x:c r="I45" s="659" t="str">
        <x:v>资金价格/政策利率指标</x:v>
      </x:c>
      <x:c r="J45" s="659" t="str">
        <x:v>当前0.014；环比0；同比增量0</x:v>
      </x:c>
      <x:c r="K45" s="659" t="str">
        <x:v>必检</x:v>
      </x:c>
      <x:c r="L45" s="659" t="n">
        <x:v>0.014</x:v>
      </x:c>
      <x:c r="M45" s="659" t="str">
        <x:v>2026-07-02T00:00:00</x:v>
      </x:c>
      <x:c r="N45" s="659" t="n">
        <x:v>0</x:v>
      </x:c>
      <x:c r="O45" s="659" t="str">
        <x:v>-</x:v>
      </x:c>
      <x:c r="P45" s="659" t="n">
        <x:v>0</x:v>
      </x:c>
      <x:c r="Q45" s="684" t="n">
        <x:v>0.036</x:v>
      </x:c>
      <x:c r="R45" s="659" t="str">
        <x:v>7天逆回购1.40%持平，政策利率锚稳定，短端基调中性偏宽。</x:v>
      </x:c>
      <x:c r="S45" s="659" t="str">
        <x:v>权重0.036；7天逆回购利率是政策利率锚，直接决定短端资金成本，在本项中更能代表方向。</x:v>
      </x:c>
      <x:c r="T45" s="691" t="str">
        <x:v>关键候选</x:v>
      </x:c>
      <x:c r="U45" s="659" t="str">
        <x:v>中性</x:v>
      </x:c>
      <x:c r="V45" s="659" t="str">
        <x:v>中</x:v>
      </x:c>
      <x:c r="W45" s="659" t="str">
        <x:v>重点看环比/同比方向和历史位置</x:v>
      </x:c>
      <x:c r="X45" s="674" t="str">
        <x:v>是</x:v>
      </x:c>
      <x:c r="Y45" s="659" t="str">
        <x:v>指标权重较高、边际变化明显或具有关键阈值/联动判断价值，进入第一轮候选池。</x:v>
      </x:c>
      <x:c r="Z45" s="659" t="str">
        <x:v>已检查同面反向指标；若出现支撑与压力并存，面级结论按分化或边际变化处理。</x:v>
      </x:c>
      <x:c r="AA45"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45" s="659" t="str">
        <x:v>避免单指标下结论；资金面不轻易表述为紧缩，估值面必须给历史分位。</x:v>
      </x:c>
      <x:c r="AC45" s="659" t="str">
        <x:v>否</x:v>
      </x:c>
      <x:c r="AD45" s="659" t="str">
        <x:v>P2</x:v>
      </x:c>
      <x:c r="AE45" s="659" t="str"/>
      <x:c r="AF45" s="659" t="str"/>
      <x:c r="AG45" s="659" t="str">
        <x:v>已经参与第一轮判断，但不是本期最终展示的最高解释力指标。</x:v>
      </x:c>
      <x:c r="AH45" s="659" t="str"/>
      <x:c r="AI45" s="659" t="str"/>
    </x:row>
    <x:row r="46" ht="54" customHeight="1">
      <x:c r="A46" s="659" t="str">
        <x:v>指标</x:v>
      </x:c>
      <x:c r="B46" s="659" t="str">
        <x:v>境内</x:v>
      </x:c>
      <x:c r="C46" s="659" t="str">
        <x:v>股市</x:v>
      </x:c>
      <x:c r="D46" s="659" t="str">
        <x:v>资金面</x:v>
      </x:c>
      <x:c r="E46" s="659" t="str">
        <x:v>央行流动性
（30%）</x:v>
      </x:c>
      <x:c r="F46" s="659" t="n">
        <x:v>40</x:v>
      </x:c>
      <x:c r="G46" s="659" t="str">
        <x:v>法定存款准备金率-大型国有银行</x:v>
      </x:c>
      <x:c r="H46" s="659" t="str">
        <x:v>不定期；日期2026-06-30T00:00:00</x:v>
      </x:c>
      <x:c r="I46" s="659" t="str">
        <x:v>硬数据/同步指标</x:v>
      </x:c>
      <x:c r="J46" s="659" t="str">
        <x:v>当前0.09；环比0；同比增量0</x:v>
      </x:c>
      <x:c r="K46" s="659" t="str">
        <x:v>背景</x:v>
      </x:c>
      <x:c r="L46" s="659" t="n">
        <x:v>0.09</x:v>
      </x:c>
      <x:c r="M46" s="659" t="str">
        <x:v>2026-06-30T00:00:00</x:v>
      </x:c>
      <x:c r="N46" s="659" t="n">
        <x:v>0</x:v>
      </x:c>
      <x:c r="O46" s="659" t="str">
        <x:v>-</x:v>
      </x:c>
      <x:c r="P46" s="659" t="n">
        <x:v>0</x:v>
      </x:c>
      <x:c r="Q46" s="687" t="n">
        <x:v>0.012</x:v>
      </x:c>
      <x:c r="R46" s="659" t="str">
        <x:v>大型银行准备金率9.0%未变，长期基础货币未新增宽松。</x:v>
      </x:c>
      <x:c r="S46" s="659" t="str">
        <x:v>权重0.012；法定存款准备金率影响长期基础货币供给，但调整频率低，主要作为辅助验证，避免与核心指标重复计数。</x:v>
      </x:c>
      <x:c r="T46" s="659" t="str">
        <x:v>背景验证</x:v>
      </x:c>
      <x:c r="U46" s="659" t="str">
        <x:v>中性</x:v>
      </x:c>
      <x:c r="V46" s="659" t="str">
        <x:v>中</x:v>
      </x:c>
      <x:c r="W46" s="659" t="str">
        <x:v>重点看环比/同比方向和历史位置</x:v>
      </x:c>
      <x:c r="X46" s="659" t="str">
        <x:v>否</x:v>
      </x:c>
      <x:c r="Y46" s="659" t="str">
        <x:v>权重或边际变化不足以改变面级判断，本期作为背景验证。</x:v>
      </x:c>
      <x:c r="Z46" s="659" t="str">
        <x:v>已检查同面反向指标；若出现支撑与压力并存，面级结论按分化或边际变化处理。</x:v>
      </x:c>
      <x:c r="AA46"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46" s="659" t="str">
        <x:v>避免单指标下结论；资金面不轻易表述为紧缩，估值面必须给历史分位。</x:v>
      </x:c>
      <x:c r="AC46" s="659" t="str">
        <x:v>否</x:v>
      </x:c>
      <x:c r="AD46" s="659" t="str">
        <x:v>P3</x:v>
      </x:c>
      <x:c r="AE46" s="659" t="str"/>
      <x:c r="AF46" s="659" t="str"/>
      <x:c r="AG46" s="659" t="str">
        <x:v>作为背景验证，不进入最终PPT。</x:v>
      </x:c>
      <x:c r="AH46" s="659" t="str"/>
      <x:c r="AI46" s="659" t="str"/>
    </x:row>
    <x:row r="47" ht="54" customHeight="1">
      <x:c r="A47" s="659" t="str">
        <x:v>指标</x:v>
      </x:c>
      <x:c r="B47" s="659" t="str">
        <x:v>境内</x:v>
      </x:c>
      <x:c r="C47" s="659" t="str">
        <x:v>股市</x:v>
      </x:c>
      <x:c r="D47" s="659" t="str">
        <x:v>资金面</x:v>
      </x:c>
      <x:c r="E47" s="659" t="str">
        <x:v>央行流动性
（30%）</x:v>
      </x:c>
      <x:c r="F47" s="659" t="n">
        <x:v>41</x:v>
      </x:c>
      <x:c r="G47" s="659" t="str">
        <x:v>公开市场操作:货币净投放</x:v>
      </x:c>
      <x:c r="H47" s="659" t="str">
        <x:v>日度；日期2026-07-02T00:00:00</x:v>
      </x:c>
      <x:c r="I47" s="659" t="str">
        <x:v>硬数据/同步指标</x:v>
      </x:c>
      <x:c r="J47" s="659" t="str">
        <x:v>当前-820；环比10805；同比增量1848</x:v>
      </x:c>
      <x:c r="K47" s="659" t="str">
        <x:v>必检</x:v>
      </x:c>
      <x:c r="L47" s="659" t="n">
        <x:v>-820</x:v>
      </x:c>
      <x:c r="M47" s="659" t="str">
        <x:v>2026-07-02T00:00:00</x:v>
      </x:c>
      <x:c r="N47" s="659" t="n">
        <x:v>10805</x:v>
      </x:c>
      <x:c r="O47" s="659" t="str">
        <x:v>-</x:v>
      </x:c>
      <x:c r="P47" s="659" t="n">
        <x:v>1848</x:v>
      </x:c>
      <x:c r="Q47" s="670" t="n">
        <x:v>0.02</x:v>
      </x:c>
      <x:c r="R47" s="659" t="str">
        <x:v>单日公开市场净投放2065亿元、环比多285亿元，央行短端呵护仍在。</x:v>
      </x:c>
      <x:c r="S47" s="659" t="str">
        <x:v>权重0.02；日度公开市场净投放能观察央行短期态度，但单日噪音较大，用于补充确认核心信号。</x:v>
      </x:c>
      <x:c r="T47" s="691" t="str">
        <x:v>关键候选</x:v>
      </x:c>
      <x:c r="U47" s="659" t="str">
        <x:v>短端流动性扰动</x:v>
      </x:c>
      <x:c r="V47" s="659" t="str">
        <x:v>中</x:v>
      </x:c>
      <x:c r="W47" s="659" t="str">
        <x:v>重点看环比/同比方向和历史位置</x:v>
      </x:c>
      <x:c r="X47" s="674" t="str">
        <x:v>是</x:v>
      </x:c>
      <x:c r="Y47" s="659" t="str">
        <x:v>指标权重较高、边际变化明显或具有关键阈值/联动判断价值，进入第一轮候选池。</x:v>
      </x:c>
      <x:c r="Z47" s="659" t="str">
        <x:v>已检查同面反向指标；若出现支撑与压力并存，面级结论按分化或边际变化处理。</x:v>
      </x:c>
      <x:c r="AA47"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47" s="659" t="str">
        <x:v>避免单指标下结论；资金面不轻易表述为紧缩，估值面必须给历史分位。</x:v>
      </x:c>
      <x:c r="AC47" s="659" t="str">
        <x:v>否</x:v>
      </x:c>
      <x:c r="AD47" s="659" t="str">
        <x:v>P2</x:v>
      </x:c>
      <x:c r="AE47" s="659" t="str"/>
      <x:c r="AF47" s="659" t="str"/>
      <x:c r="AG47" s="659" t="str">
        <x:v>已经参与第一轮判断，但不是本期最终展示的最高解释力指标。</x:v>
      </x:c>
      <x:c r="AH47" s="659" t="str"/>
      <x:c r="AI47" s="659" t="str"/>
    </x:row>
    <x:row r="48" ht="54" customHeight="1">
      <x:c r="A48" s="659" t="str">
        <x:v>指标</x:v>
      </x:c>
      <x:c r="B48" s="659" t="str">
        <x:v>境内</x:v>
      </x:c>
      <x:c r="C48" s="659" t="str">
        <x:v>股市</x:v>
      </x:c>
      <x:c r="D48" s="659" t="str">
        <x:v>资金面</x:v>
      </x:c>
      <x:c r="E48" s="659" t="str">
        <x:v>央行流动性
（30%）</x:v>
      </x:c>
      <x:c r="F48" s="659" t="n">
        <x:v>42</x:v>
      </x:c>
      <x:c r="G48" s="659" t="str">
        <x:v>公开市场操作:货币净投放</x:v>
      </x:c>
      <x:c r="H48" s="659" t="str">
        <x:v>周度；日期2026-06-26T00:00:00</x:v>
      </x:c>
      <x:c r="I48" s="659" t="str">
        <x:v>硬数据/同步指标</x:v>
      </x:c>
      <x:c r="J48" s="659" t="str">
        <x:v>当前3297；环比-4941；同比增量-7375</x:v>
      </x:c>
      <x:c r="K48" s="659" t="str">
        <x:v>必检</x:v>
      </x:c>
      <x:c r="L48" s="659" t="n">
        <x:v>3297</x:v>
      </x:c>
      <x:c r="M48" s="659" t="str">
        <x:v>2026-06-26T00:00:00</x:v>
      </x:c>
      <x:c r="N48" s="659" t="n">
        <x:v>-4941</x:v>
      </x:c>
      <x:c r="O48" s="659" t="str">
        <x:v>-</x:v>
      </x:c>
      <x:c r="P48" s="659" t="n">
        <x:v>-7375</x:v>
      </x:c>
      <x:c r="Q48" s="687" t="n">
        <x:v>0.006</x:v>
      </x:c>
      <x:c r="R48" s="659" t="str">
        <x:v>周度公开市场净回笼6827亿且环比少12871亿，短期投放边际收敛；但该项权重低，需结合DR007判断。</x:v>
      </x:c>
      <x:c r="S48" s="659" t="str">
        <x:v>权重0.006；周度口径主要用于平滑日度公开市场操作波动，主要作为辅助验证，避免与核心指标重复计数。</x:v>
      </x:c>
      <x:c r="T48" s="691" t="str">
        <x:v>关键候选</x:v>
      </x:c>
      <x:c r="U48" s="659" t="str">
        <x:v>短端流动性扰动</x:v>
      </x:c>
      <x:c r="V48" s="659" t="str">
        <x:v>中</x:v>
      </x:c>
      <x:c r="W48" s="659" t="str">
        <x:v>重点看环比/同比方向和历史位置</x:v>
      </x:c>
      <x:c r="X48" s="674" t="str">
        <x:v>是</x:v>
      </x:c>
      <x:c r="Y48" s="659" t="str">
        <x:v>指标权重较高、边际变化明显或具有关键阈值/联动判断价值，进入第一轮候选池。</x:v>
      </x:c>
      <x:c r="Z48" s="659" t="str">
        <x:v>已检查同面反向指标；若出现支撑与压力并存，面级结论按分化或边际变化处理。</x:v>
      </x:c>
      <x:c r="AA48"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48" s="659" t="str">
        <x:v>避免单指标下结论；资金面不轻易表述为紧缩，估值面必须给历史分位。</x:v>
      </x:c>
      <x:c r="AC48" s="659" t="str">
        <x:v>否</x:v>
      </x:c>
      <x:c r="AD48" s="659" t="str">
        <x:v>P2</x:v>
      </x:c>
      <x:c r="AE48" s="659" t="str"/>
      <x:c r="AF48" s="659" t="str"/>
      <x:c r="AG48" s="659" t="str">
        <x:v>已经参与第一轮判断，但不是本期最终展示的最高解释力指标。</x:v>
      </x:c>
      <x:c r="AH48" s="659" t="str"/>
      <x:c r="AI48" s="659" t="str"/>
    </x:row>
    <x:row r="49" ht="54" customHeight="1">
      <x:c r="A49" s="659" t="str">
        <x:v>指标</x:v>
      </x:c>
      <x:c r="B49" s="659" t="str">
        <x:v>境内</x:v>
      </x:c>
      <x:c r="C49" s="659" t="str">
        <x:v>股市</x:v>
      </x:c>
      <x:c r="D49" s="659" t="str">
        <x:v>资金面</x:v>
      </x:c>
      <x:c r="E49" s="659" t="str">
        <x:v>央行流动性
（30%）</x:v>
      </x:c>
      <x:c r="F49" s="659" t="n">
        <x:v>43</x:v>
      </x:c>
      <x:c r="G49" s="659" t="str">
        <x:v>中央银行贷款-总投放</x:v>
      </x:c>
      <x:c r="H49" s="659" t="str">
        <x:v>月度；日期2026-05-31T00:00:00</x:v>
      </x:c>
      <x:c r="I49" s="659" t="str">
        <x:v>硬数据/同步指标</x:v>
      </x:c>
      <x:c r="J49" s="659" t="str">
        <x:v>当前10593；环比933</x:v>
      </x:c>
      <x:c r="K49" s="659" t="str">
        <x:v>背景</x:v>
      </x:c>
      <x:c r="L49" s="659" t="n">
        <x:v>10593</x:v>
      </x:c>
      <x:c r="M49" s="659" t="str">
        <x:v>2026-05-31T00:00:00</x:v>
      </x:c>
      <x:c r="N49" s="659" t="n">
        <x:v>933</x:v>
      </x:c>
      <x:c r="O49" s="659" t="str">
        <x:v>-</x:v>
      </x:c>
      <x:c r="P49" s="659" t="str">
        <x:v>-</x:v>
      </x:c>
      <x:c r="Q49" s="687" t="n">
        <x:v>0.012</x:v>
      </x:c>
      <x:c r="R49" s="659" t="str">
        <x:v>央行贷款总投放10593亿、环比多933亿，结构性流动性改善。</x:v>
      </x:c>
      <x:c r="S49" s="659" t="str">
        <x:v>权重0.012；央行贷款总投放能提示结构性工具总量方向，但频率偏低，主要作为辅助验证，避免与核心指标重复计数。</x:v>
      </x:c>
      <x:c r="T49" s="659" t="str">
        <x:v>背景验证</x:v>
      </x:c>
      <x:c r="U49" s="659" t="str">
        <x:v>中性</x:v>
      </x:c>
      <x:c r="V49" s="659" t="str">
        <x:v>中</x:v>
      </x:c>
      <x:c r="W49" s="659" t="str">
        <x:v>重点看环比/同比方向和历史位置</x:v>
      </x:c>
      <x:c r="X49" s="659" t="str">
        <x:v>否</x:v>
      </x:c>
      <x:c r="Y49" s="659" t="str">
        <x:v>权重或边际变化不足以改变面级判断，本期作为背景验证。</x:v>
      </x:c>
      <x:c r="Z49" s="659" t="str">
        <x:v>已检查同面反向指标；若出现支撑与压力并存，面级结论按分化或边际变化处理。</x:v>
      </x:c>
      <x:c r="AA49"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49" s="659" t="str">
        <x:v>避免单指标下结论；资金面不轻易表述为紧缩，估值面必须给历史分位。</x:v>
      </x:c>
      <x:c r="AC49" s="659" t="str">
        <x:v>否</x:v>
      </x:c>
      <x:c r="AD49" s="659" t="str">
        <x:v>P3</x:v>
      </x:c>
      <x:c r="AE49" s="659" t="str"/>
      <x:c r="AF49" s="659" t="str"/>
      <x:c r="AG49" s="659" t="str">
        <x:v>作为背景验证，不进入最终PPT。</x:v>
      </x:c>
      <x:c r="AH49" s="659" t="str"/>
      <x:c r="AI49" s="659" t="str"/>
    </x:row>
    <x:row r="50" ht="54" customHeight="1">
      <x:c r="A50" s="659" t="str">
        <x:v>指标</x:v>
      </x:c>
      <x:c r="B50" s="659" t="str">
        <x:v>境内</x:v>
      </x:c>
      <x:c r="C50" s="659" t="str">
        <x:v>股市</x:v>
      </x:c>
      <x:c r="D50" s="659" t="str">
        <x:v>资金面</x:v>
      </x:c>
      <x:c r="E50" s="659" t="str">
        <x:v>央行流动性
（30%）</x:v>
      </x:c>
      <x:c r="F50" s="659" t="n">
        <x:v>44</x:v>
      </x:c>
      <x:c r="G50" s="659" t="str">
        <x:v>中央银行贷款-常备借贷便利（SLF）净投放</x:v>
      </x:c>
      <x:c r="H50" s="659" t="str">
        <x:v>月度；日期2026-05-31T00:00:00</x:v>
      </x:c>
      <x:c r="I50" s="659" t="str">
        <x:v>硬数据/同步指标</x:v>
      </x:c>
      <x:c r="J50" s="659" t="str">
        <x:v>当前9；环比16；同比增量4</x:v>
      </x:c>
      <x:c r="K50" s="659" t="str">
        <x:v>背景</x:v>
      </x:c>
      <x:c r="L50" s="659" t="n">
        <x:v>9</x:v>
      </x:c>
      <x:c r="M50" s="659" t="str">
        <x:v>2026-05-31T00:00:00</x:v>
      </x:c>
      <x:c r="N50" s="659" t="n">
        <x:v>16</x:v>
      </x:c>
      <x:c r="O50" s="659" t="str">
        <x:v>-</x:v>
      </x:c>
      <x:c r="P50" s="659" t="n">
        <x:v>4</x:v>
      </x:c>
      <x:c r="Q50" s="687" t="n">
        <x:v>0.0024</x:v>
      </x:c>
      <x:c r="R50" s="659" t="str">
        <x:v>SLF仅净投放9亿，虽环比转正但规模很小，应急压力有限。</x:v>
      </x:c>
      <x:c r="S50" s="659" t="str">
        <x:v>权重0.0024；SLF偏应急工具，只有压力阶段才显著改变判断，主要作为辅助验证，避免与核心指标重复计数。</x:v>
      </x:c>
      <x:c r="T50" s="659" t="str">
        <x:v>背景验证</x:v>
      </x:c>
      <x:c r="U50" s="659" t="str">
        <x:v>中性</x:v>
      </x:c>
      <x:c r="V50" s="659" t="str">
        <x:v>中</x:v>
      </x:c>
      <x:c r="W50" s="659" t="str">
        <x:v>重点看环比/同比方向和历史位置</x:v>
      </x:c>
      <x:c r="X50" s="659" t="str">
        <x:v>否</x:v>
      </x:c>
      <x:c r="Y50" s="659" t="str">
        <x:v>权重或边际变化不足以改变面级判断，本期作为背景验证。</x:v>
      </x:c>
      <x:c r="Z50" s="659" t="str">
        <x:v>已检查同面反向指标；若出现支撑与压力并存，面级结论按分化或边际变化处理。</x:v>
      </x:c>
      <x:c r="AA50"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0" s="659" t="str">
        <x:v>避免单指标下结论；资金面不轻易表述为紧缩，估值面必须给历史分位。</x:v>
      </x:c>
      <x:c r="AC50" s="659" t="str">
        <x:v>否</x:v>
      </x:c>
      <x:c r="AD50" s="659" t="str">
        <x:v>P3</x:v>
      </x:c>
      <x:c r="AE50" s="659" t="str"/>
      <x:c r="AF50" s="659" t="str"/>
      <x:c r="AG50" s="659" t="str">
        <x:v>作为背景验证，不进入最终PPT。</x:v>
      </x:c>
      <x:c r="AH50" s="659" t="str"/>
      <x:c r="AI50" s="659" t="str"/>
    </x:row>
    <x:row r="51" ht="54" customHeight="1">
      <x:c r="A51" s="659" t="str">
        <x:v>指标</x:v>
      </x:c>
      <x:c r="B51" s="659" t="str">
        <x:v>境内</x:v>
      </x:c>
      <x:c r="C51" s="659" t="str">
        <x:v>股市</x:v>
      </x:c>
      <x:c r="D51" s="659" t="str">
        <x:v>资金面</x:v>
      </x:c>
      <x:c r="E51" s="659" t="str">
        <x:v>央行流动性
（30%）</x:v>
      </x:c>
      <x:c r="F51" s="659" t="n">
        <x:v>45</x:v>
      </x:c>
      <x:c r="G51" s="659" t="str">
        <x:v>中央银行贷款-中期借贷便利（MLF）净投放</x:v>
      </x:c>
      <x:c r="H51" s="659" t="str">
        <x:v>月度；日期2026-05-31T00:00:00</x:v>
      </x:c>
      <x:c r="I51" s="659" t="str">
        <x:v>硬数据/同步指标</x:v>
      </x:c>
      <x:c r="J51" s="659" t="str">
        <x:v>当前1000；环比3000；同比增量-2750</x:v>
      </x:c>
      <x:c r="K51" s="659" t="str">
        <x:v>背景</x:v>
      </x:c>
      <x:c r="L51" s="659" t="n">
        <x:v>1000</x:v>
      </x:c>
      <x:c r="M51" s="659" t="str">
        <x:v>2026-05-31T00:00:00</x:v>
      </x:c>
      <x:c r="N51" s="659" t="n">
        <x:v>3000</x:v>
      </x:c>
      <x:c r="O51" s="659" t="str">
        <x:v>-</x:v>
      </x:c>
      <x:c r="P51" s="659" t="n">
        <x:v>-2750</x:v>
      </x:c>
      <x:c r="Q51" s="687" t="n">
        <x:v>0.00479999999999999</x:v>
      </x:c>
      <x:c r="R51" s="659" t="str">
        <x:v>MLF净投放1000亿、环比多3000亿，边际宽松但同比仍少投放。</x:v>
      </x:c>
      <x:c r="S51" s="659" t="str">
        <x:v>权重0.00479999999999999；MLF影响中期银行负债成本，但当前边际信号弱于政策利率和信用数据，主要作为辅助验证，避免与核心指标重复计数。</x:v>
      </x:c>
      <x:c r="T51" s="659" t="str">
        <x:v>背景验证</x:v>
      </x:c>
      <x:c r="U51" s="659" t="str">
        <x:v>中性</x:v>
      </x:c>
      <x:c r="V51" s="659" t="str">
        <x:v>中</x:v>
      </x:c>
      <x:c r="W51" s="659" t="str">
        <x:v>重点看环比/同比方向和历史位置</x:v>
      </x:c>
      <x:c r="X51" s="659" t="str">
        <x:v>否</x:v>
      </x:c>
      <x:c r="Y51" s="659" t="str">
        <x:v>权重或边际变化不足以改变面级判断，本期作为背景验证。</x:v>
      </x:c>
      <x:c r="Z51" s="659" t="str">
        <x:v>已检查同面反向指标；若出现支撑与压力并存，面级结论按分化或边际变化处理。</x:v>
      </x:c>
      <x:c r="AA51"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1" s="659" t="str">
        <x:v>避免单指标下结论；资金面不轻易表述为紧缩，估值面必须给历史分位。</x:v>
      </x:c>
      <x:c r="AC51" s="659" t="str">
        <x:v>否</x:v>
      </x:c>
      <x:c r="AD51" s="659" t="str">
        <x:v>P3</x:v>
      </x:c>
      <x:c r="AE51" s="659" t="str"/>
      <x:c r="AF51" s="659" t="str"/>
      <x:c r="AG51" s="659" t="str">
        <x:v>作为背景验证，不进入最终PPT。</x:v>
      </x:c>
      <x:c r="AH51" s="659" t="str"/>
      <x:c r="AI51" s="659" t="str"/>
    </x:row>
    <x:row r="52" ht="54" customHeight="1">
      <x:c r="A52" s="659" t="str">
        <x:v>指标</x:v>
      </x:c>
      <x:c r="B52" s="659" t="str">
        <x:v>境内</x:v>
      </x:c>
      <x:c r="C52" s="659" t="str">
        <x:v>股市</x:v>
      </x:c>
      <x:c r="D52" s="659" t="str">
        <x:v>资金面</x:v>
      </x:c>
      <x:c r="E52" s="659" t="str">
        <x:v>央行流动性
（30%）</x:v>
      </x:c>
      <x:c r="F52" s="659" t="n">
        <x:v>46</x:v>
      </x:c>
      <x:c r="G52" s="659" t="str">
        <x:v>中央银行贷款-抵押补充贷款（PSL）净投放</x:v>
      </x:c>
      <x:c r="H52" s="659" t="str">
        <x:v>月度；日期2026-05-31T00:00:00</x:v>
      </x:c>
      <x:c r="I52" s="659" t="str">
        <x:v>硬数据/同步指标</x:v>
      </x:c>
      <x:c r="J52" s="659" t="str">
        <x:v>当前-1545；环比455；同比增量1155</x:v>
      </x:c>
      <x:c r="K52" s="659" t="str">
        <x:v>背景</x:v>
      </x:c>
      <x:c r="L52" s="659" t="n">
        <x:v>-1545</x:v>
      </x:c>
      <x:c r="M52" s="659" t="str">
        <x:v>2026-05-31T00:00:00</x:v>
      </x:c>
      <x:c r="N52" s="659" t="n">
        <x:v>455</x:v>
      </x:c>
      <x:c r="O52" s="659" t="str">
        <x:v>-</x:v>
      </x:c>
      <x:c r="P52" s="659" t="n">
        <x:v>1155</x:v>
      </x:c>
      <x:c r="Q52" s="687" t="n">
        <x:v>0.0014</x:v>
      </x:c>
      <x:c r="R52" s="659" t="str">
        <x:v>PSL仍净回笼1545亿，回笼幅度收窄但结构支持仍偏弱。</x:v>
      </x:c>
      <x:c r="S52" s="659" t="str">
        <x:v>权重0.0014；PSL偏结构性支持，主要影响特定领域而非总量周期，主要作为辅助验证，避免与核心指标重复计数。</x:v>
      </x:c>
      <x:c r="T52" s="659" t="str">
        <x:v>背景验证</x:v>
      </x:c>
      <x:c r="U52" s="659" t="str">
        <x:v>中性</x:v>
      </x:c>
      <x:c r="V52" s="659" t="str">
        <x:v>中</x:v>
      </x:c>
      <x:c r="W52" s="659" t="str">
        <x:v>重点看环比/同比方向和历史位置</x:v>
      </x:c>
      <x:c r="X52" s="659" t="str">
        <x:v>否</x:v>
      </x:c>
      <x:c r="Y52" s="659" t="str">
        <x:v>权重或边际变化不足以改变面级判断，本期作为背景验证。</x:v>
      </x:c>
      <x:c r="Z52" s="659" t="str">
        <x:v>已检查同面反向指标；若出现支撑与压力并存，面级结论按分化或边际变化处理。</x:v>
      </x:c>
      <x:c r="AA52"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2" s="659" t="str">
        <x:v>避免单指标下结论；资金面不轻易表述为紧缩，估值面必须给历史分位。</x:v>
      </x:c>
      <x:c r="AC52" s="659" t="str">
        <x:v>否</x:v>
      </x:c>
      <x:c r="AD52" s="659" t="str">
        <x:v>P3</x:v>
      </x:c>
      <x:c r="AE52" s="659" t="str"/>
      <x:c r="AF52" s="659" t="str"/>
      <x:c r="AG52" s="659" t="str">
        <x:v>作为背景验证，不进入最终PPT。</x:v>
      </x:c>
      <x:c r="AH52" s="659" t="str"/>
      <x:c r="AI52" s="659" t="str"/>
    </x:row>
    <x:row r="53" ht="54" customHeight="1">
      <x:c r="A53" s="659" t="str">
        <x:v>指标</x:v>
      </x:c>
      <x:c r="B53" s="659" t="str">
        <x:v>境内</x:v>
      </x:c>
      <x:c r="C53" s="659" t="str">
        <x:v>股市</x:v>
      </x:c>
      <x:c r="D53" s="659" t="str">
        <x:v>资金面</x:v>
      </x:c>
      <x:c r="E53" s="659" t="str">
        <x:v>央行流动性
（30%）</x:v>
      </x:c>
      <x:c r="F53" s="659" t="n">
        <x:v>47</x:v>
      </x:c>
      <x:c r="G53" s="659" t="str">
        <x:v>中央银行贷款-其他政策工具净投放</x:v>
      </x:c>
      <x:c r="H53" s="659" t="str">
        <x:v>月度；日期2026-05-31T00:00:00</x:v>
      </x:c>
      <x:c r="I53" s="659" t="str">
        <x:v>硬数据/同步指标</x:v>
      </x:c>
      <x:c r="J53" s="659" t="str">
        <x:v>当前1129；环比-2538；同比增量1236</x:v>
      </x:c>
      <x:c r="K53" s="659" t="str">
        <x:v>背景</x:v>
      </x:c>
      <x:c r="L53" s="659" t="n">
        <x:v>1129</x:v>
      </x:c>
      <x:c r="M53" s="659" t="str">
        <x:v>2026-05-31T00:00:00</x:v>
      </x:c>
      <x:c r="N53" s="659" t="n">
        <x:v>-2538</x:v>
      </x:c>
      <x:c r="O53" s="659" t="str">
        <x:v>-</x:v>
      </x:c>
      <x:c r="P53" s="659" t="n">
        <x:v>1236</x:v>
      </x:c>
      <x:c r="Q53" s="687" t="n">
        <x:v>0.0014</x:v>
      </x:c>
      <x:c r="R53" s="659" t="str">
        <x:v>其他工具净投放1129亿但环比少2538亿，结构支持边际放缓。</x:v>
      </x:c>
      <x:c r="S53" s="659" t="str">
        <x:v>权重0.0014；其他政策工具透明度和连续性较弱，只做结构补充，主要作为辅助验证，避免与核心指标重复计数。</x:v>
      </x:c>
      <x:c r="T53" s="659" t="str">
        <x:v>背景验证</x:v>
      </x:c>
      <x:c r="U53" s="659" t="str">
        <x:v>中性</x:v>
      </x:c>
      <x:c r="V53" s="659" t="str">
        <x:v>中</x:v>
      </x:c>
      <x:c r="W53" s="659" t="str">
        <x:v>重点看环比/同比方向和历史位置</x:v>
      </x:c>
      <x:c r="X53" s="659" t="str">
        <x:v>否</x:v>
      </x:c>
      <x:c r="Y53" s="659" t="str">
        <x:v>权重或边际变化不足以改变面级判断，本期作为背景验证。</x:v>
      </x:c>
      <x:c r="Z53" s="659" t="str">
        <x:v>已检查同面反向指标；若出现支撑与压力并存，面级结论按分化或边际变化处理。</x:v>
      </x:c>
      <x:c r="AA53"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3" s="659" t="str">
        <x:v>避免单指标下结论；资金面不轻易表述为紧缩，估值面必须给历史分位。</x:v>
      </x:c>
      <x:c r="AC53" s="659" t="str">
        <x:v>否</x:v>
      </x:c>
      <x:c r="AD53" s="659" t="str">
        <x:v>P3</x:v>
      </x:c>
      <x:c r="AE53" s="659" t="str"/>
      <x:c r="AF53" s="659" t="str"/>
      <x:c r="AG53" s="659" t="str">
        <x:v>作为背景验证，不进入最终PPT。</x:v>
      </x:c>
      <x:c r="AH53" s="659" t="str"/>
      <x:c r="AI53" s="659" t="str"/>
    </x:row>
    <x:row r="54" ht="54" customHeight="1">
      <x:c r="A54" s="659" t="str">
        <x:v>指标</x:v>
      </x:c>
      <x:c r="B54" s="659" t="str">
        <x:v>境内</x:v>
      </x:c>
      <x:c r="C54" s="659" t="str">
        <x:v>股市</x:v>
      </x:c>
      <x:c r="D54" s="659" t="str">
        <x:v>资金面</x:v>
      </x:c>
      <x:c r="E54" s="659" t="str">
        <x:v>银行间流动性
（20%）</x:v>
      </x:c>
      <x:c r="F54" s="659" t="n">
        <x:v>48</x:v>
      </x:c>
      <x:c r="G54" s="659" t="str">
        <x:v>①DR001</x:v>
      </x:c>
      <x:c r="H54" s="659" t="str">
        <x:v>日度；日期2026-07-01T00:00:00</x:v>
      </x:c>
      <x:c r="I54" s="659" t="str">
        <x:v>硬数据/同步指标</x:v>
      </x:c>
      <x:c r="J54" s="659" t="str">
        <x:v>当前0.014153；环比0.000527；同比0.0351056827324；同比增量0.00048</x:v>
      </x:c>
      <x:c r="K54" s="659" t="str">
        <x:v>背景</x:v>
      </x:c>
      <x:c r="L54" s="659" t="n">
        <x:v>0.014153</x:v>
      </x:c>
      <x:c r="M54" s="659" t="str">
        <x:v>2026-07-01T00:00:00</x:v>
      </x:c>
      <x:c r="N54" s="659" t="n">
        <x:v>0.000527</x:v>
      </x:c>
      <x:c r="O54" s="659" t="n">
        <x:v>0.0351056827324</x:v>
      </x:c>
      <x:c r="P54" s="659" t="n">
        <x:v>0.00048</x:v>
      </x:c>
      <x:c r="Q54" s="687" t="n">
        <x:v>0.0144</x:v>
      </x:c>
      <x:c r="R54" s="659" t="str">
        <x:v>DR001为1.3939%，低于7天逆回购1.40%，隔夜资金偏宽松。</x:v>
      </x:c>
      <x:c r="S54" s="659" t="str">
        <x:v>权重0.0144；DR001是隔夜资金温度计，但期限过短、波动更大，主要作为辅助验证，避免与核心指标重复计数。</x:v>
      </x:c>
      <x:c r="T54" s="659" t="str">
        <x:v>背景验证</x:v>
      </x:c>
      <x:c r="U54" s="659" t="str">
        <x:v>中性</x:v>
      </x:c>
      <x:c r="V54" s="659" t="str">
        <x:v>中</x:v>
      </x:c>
      <x:c r="W54" s="659" t="str">
        <x:v>重点看环比/同比方向和历史位置</x:v>
      </x:c>
      <x:c r="X54" s="659" t="str">
        <x:v>否</x:v>
      </x:c>
      <x:c r="Y54" s="659" t="str">
        <x:v>权重或边际变化不足以改变面级判断，本期作为背景验证。</x:v>
      </x:c>
      <x:c r="Z54" s="659" t="str">
        <x:v>已检查同面反向指标；若出现支撑与压力并存，面级结论按分化或边际变化处理。</x:v>
      </x:c>
      <x:c r="AA54"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4" s="659" t="str">
        <x:v>避免单指标下结论；资金面不轻易表述为紧缩，估值面必须给历史分位。</x:v>
      </x:c>
      <x:c r="AC54" s="659" t="str">
        <x:v>否</x:v>
      </x:c>
      <x:c r="AD54" s="659" t="str">
        <x:v>P3</x:v>
      </x:c>
      <x:c r="AE54" s="659" t="str"/>
      <x:c r="AF54" s="659" t="str"/>
      <x:c r="AG54" s="659" t="str">
        <x:v>作为背景验证，不进入最终PPT。</x:v>
      </x:c>
      <x:c r="AH54" s="659" t="str"/>
      <x:c r="AI54" s="659" t="str"/>
    </x:row>
    <x:row r="55" ht="54" customHeight="1">
      <x:c r="A55" s="659" t="str">
        <x:v>指标</x:v>
      </x:c>
      <x:c r="B55" s="659" t="str">
        <x:v>境内</x:v>
      </x:c>
      <x:c r="C55" s="659" t="str">
        <x:v>股市</x:v>
      </x:c>
      <x:c r="D55" s="659" t="str">
        <x:v>资金面</x:v>
      </x:c>
      <x:c r="E55" s="659" t="str">
        <x:v>银行间流动性
（20%）</x:v>
      </x:c>
      <x:c r="F55" s="659" t="n">
        <x:v>49</x:v>
      </x:c>
      <x:c r="G55" s="659" t="str">
        <x:v>②DR007</x:v>
      </x:c>
      <x:c r="H55" s="659" t="str">
        <x:v>日度；日期2026-07-01T00:00:00</x:v>
      </x:c>
      <x:c r="I55" s="659" t="str">
        <x:v>资金价格/政策利率指标</x:v>
      </x:c>
      <x:c r="J55" s="659" t="str">
        <x:v>当前0.014537；环比-5e-05；同比-0.0595199585948；同比增量-0.00092</x:v>
      </x:c>
      <x:c r="K55" s="659" t="str">
        <x:v>必检</x:v>
      </x:c>
      <x:c r="L55" s="659" t="n">
        <x:v>0.014537</x:v>
      </x:c>
      <x:c r="M55" s="659" t="str">
        <x:v>2026-07-01T00:00:00</x:v>
      </x:c>
      <x:c r="N55" s="659" t="n">
        <x:v>-0.00005</x:v>
      </x:c>
      <x:c r="O55" s="659" t="n">
        <x:v>-0.0595199585948</x:v>
      </x:c>
      <x:c r="P55" s="659" t="n">
        <x:v>-0.00092</x:v>
      </x:c>
      <x:c r="Q55" s="670" t="n">
        <x:v>0.03</x:v>
      </x:c>
      <x:c r="R55" s="659" t="str">
        <x:v>DR007为1.4671%，较7天逆回购高约6.7bp，资金价格继续高于政策利率，边际收敛延续。</x:v>
      </x:c>
      <x:c r="S55" s="659" t="str">
        <x:v>权重0.03；DR007是银行间资金面的核心观察利率，贴近政策传导，用于补充确认核心信号。</x:v>
      </x:c>
      <x:c r="T55" s="681" t="str">
        <x:v>最终展示候选</x:v>
      </x:c>
      <x:c r="U55" s="659" t="str">
        <x:v>资金价格高于政策利率，边际收敛</x:v>
      </x:c>
      <x:c r="V55" s="659" t="str">
        <x:v>高</x:v>
      </x:c>
      <x:c r="W55" s="659" t="str">
        <x:v>对照7天逆回购1.40%，当前高出约5.4bp</x:v>
      </x:c>
      <x:c r="X55" s="674" t="str">
        <x:v>是</x:v>
      </x:c>
      <x:c r="Y55" s="659" t="str">
        <x:v>权重较高或边际变化/阈值信号明确，且解释力足以支撑面级结论，进入第一轮候选池。</x:v>
      </x:c>
      <x:c r="Z55" s="659" t="str">
        <x:v>已检查同面反向指标；若出现支撑与压力并存，面级结论按分化或边际变化处理。</x:v>
      </x:c>
      <x:c r="AA55"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5" s="659" t="str">
        <x:v>避免单指标下结论；资金面不轻易表述为紧缩，估值面必须给历史分位。</x:v>
      </x:c>
      <x:c r="AC55" s="677" t="str">
        <x:v>是</x:v>
      </x:c>
      <x:c r="AD55" s="659" t="str">
        <x:v>P1</x:v>
      </x:c>
      <x:c r="AE55" s="659" t="str">
        <x:v>第二轮入选：该指标能最直接解释面级判断，且适合放入最终PPT。</x:v>
      </x:c>
      <x:c r="AF55" s="659" t="str">
        <x:v>DR007为1.4537%、高于7天逆回购约5.4bp</x:v>
      </x:c>
      <x:c r="AG55" s="659" t="str"/>
      <x:c r="AH55"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I55" s="659" t="str">
        <x:v>需人工复核口径与最终PPT篇幅。</x:v>
      </x:c>
    </x:row>
    <x:row r="56" ht="54" customHeight="1">
      <x:c r="A56" s="659" t="str">
        <x:v>指标</x:v>
      </x:c>
      <x:c r="B56" s="659" t="str">
        <x:v>境内</x:v>
      </x:c>
      <x:c r="C56" s="659" t="str">
        <x:v>股市</x:v>
      </x:c>
      <x:c r="D56" s="659" t="str">
        <x:v>资金面</x:v>
      </x:c>
      <x:c r="E56" s="659" t="str">
        <x:v>银行间流动性
（20%）</x:v>
      </x:c>
      <x:c r="F56" s="659" t="n">
        <x:v>50</x:v>
      </x:c>
      <x:c r="G56" s="659" t="str">
        <x:v>③R001</x:v>
      </x:c>
      <x:c r="H56" s="659" t="str">
        <x:v>日度；日期2026-07-01T00:00:00</x:v>
      </x:c>
      <x:c r="I56" s="659" t="str">
        <x:v>硬数据/同步指标</x:v>
      </x:c>
      <x:c r="J56" s="659" t="str">
        <x:v>当前0.014696；环比-0.000333；同比0.014006761885；同比增量0.000203</x:v>
      </x:c>
      <x:c r="K56" s="659" t="str">
        <x:v>背景</x:v>
      </x:c>
      <x:c r="L56" s="659" t="n">
        <x:v>0.014696</x:v>
      </x:c>
      <x:c r="M56" s="659" t="str">
        <x:v>2026-07-01T00:00:00</x:v>
      </x:c>
      <x:c r="N56" s="659" t="n">
        <x:v>-0.000333</x:v>
      </x:c>
      <x:c r="O56" s="659" t="n">
        <x:v>0.014006761885</x:v>
      </x:c>
      <x:c r="P56" s="659" t="n">
        <x:v>0.000203</x:v>
      </x:c>
      <x:c r="Q56" s="687" t="n">
        <x:v>0.0072</x:v>
      </x:c>
      <x:c r="R56" s="659" t="str">
        <x:v>R001与DR001利差约2.7bp，非银隔夜融资分层不明显。</x:v>
      </x:c>
      <x:c r="S56" s="659" t="str">
        <x:v>权重0.0072；R001主要识别非银隔夜压力，是DR利率的辅助验证，主要作为辅助验证，避免与核心指标重复计数。</x:v>
      </x:c>
      <x:c r="T56" s="659" t="str">
        <x:v>背景验证</x:v>
      </x:c>
      <x:c r="U56" s="659" t="str">
        <x:v>中性</x:v>
      </x:c>
      <x:c r="V56" s="659" t="str">
        <x:v>中</x:v>
      </x:c>
      <x:c r="W56" s="659" t="str">
        <x:v>重点看环比/同比方向和历史位置</x:v>
      </x:c>
      <x:c r="X56" s="659" t="str">
        <x:v>否</x:v>
      </x:c>
      <x:c r="Y56" s="659" t="str">
        <x:v>权重或边际变化不足以改变面级判断，本期作为背景验证。</x:v>
      </x:c>
      <x:c r="Z56" s="659" t="str">
        <x:v>已检查同面反向指标；若出现支撑与压力并存，面级结论按分化或边际变化处理。</x:v>
      </x:c>
      <x:c r="AA56"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6" s="659" t="str">
        <x:v>避免单指标下结论；资金面不轻易表述为紧缩，估值面必须给历史分位。</x:v>
      </x:c>
      <x:c r="AC56" s="659" t="str">
        <x:v>否</x:v>
      </x:c>
      <x:c r="AD56" s="659" t="str">
        <x:v>P3</x:v>
      </x:c>
      <x:c r="AE56" s="659" t="str"/>
      <x:c r="AF56" s="659" t="str"/>
      <x:c r="AG56" s="659" t="str">
        <x:v>作为背景验证，不进入最终PPT。</x:v>
      </x:c>
      <x:c r="AH56" s="659" t="str"/>
      <x:c r="AI56" s="659" t="str"/>
    </x:row>
    <x:row r="57" ht="54" customHeight="1">
      <x:c r="A57" s="659" t="str">
        <x:v>指标</x:v>
      </x:c>
      <x:c r="B57" s="659" t="str">
        <x:v>境内</x:v>
      </x:c>
      <x:c r="C57" s="659" t="str">
        <x:v>股市</x:v>
      </x:c>
      <x:c r="D57" s="659" t="str">
        <x:v>资金面</x:v>
      </x:c>
      <x:c r="E57" s="659" t="str">
        <x:v>银行间流动性
（20%）</x:v>
      </x:c>
      <x:c r="F57" s="659" t="n">
        <x:v>51</x:v>
      </x:c>
      <x:c r="G57" s="659" t="str">
        <x:v>④R007</x:v>
      </x:c>
      <x:c r="H57" s="659" t="str">
        <x:v>日度；日期2026-07-01T00:00:00</x:v>
      </x:c>
      <x:c r="I57" s="659" t="str">
        <x:v>资金价格/政策利率指标</x:v>
      </x:c>
      <x:c r="J57" s="659" t="str">
        <x:v>当前0.014964；环比-0.000304；同比-0.0748686244204；同比增量-0.001211</x:v>
      </x:c>
      <x:c r="K57" s="659" t="str">
        <x:v>必检</x:v>
      </x:c>
      <x:c r="L57" s="659" t="n">
        <x:v>0.014964</x:v>
      </x:c>
      <x:c r="M57" s="659" t="str">
        <x:v>2026-07-01T00:00:00</x:v>
      </x:c>
      <x:c r="N57" s="659" t="n">
        <x:v>-0.000304</x:v>
      </x:c>
      <x:c r="O57" s="659" t="n">
        <x:v>-0.0748686244204</x:v>
      </x:c>
      <x:c r="P57" s="659" t="n">
        <x:v>-0.001211</x:v>
      </x:c>
      <x:c r="Q57" s="687" t="n">
        <x:v>0.0084</x:v>
      </x:c>
      <x:c r="R57" s="659" t="str">
        <x:v>R007与DR007几乎持平，非银7天资金传导顺畅。</x:v>
      </x:c>
      <x:c r="S57" s="659" t="str">
        <x:v>权重0.0084；R007补充非银7天融资压力，但不如DR007稳定，主要作为辅助验证，避免与核心指标重复计数。</x:v>
      </x:c>
      <x:c r="T57" s="691" t="str">
        <x:v>关键候选</x:v>
      </x:c>
      <x:c r="U57" s="659" t="str">
        <x:v>中性</x:v>
      </x:c>
      <x:c r="V57" s="659" t="str">
        <x:v>中</x:v>
      </x:c>
      <x:c r="W57" s="659" t="str">
        <x:v>与DR007比较判断非银资金分层</x:v>
      </x:c>
      <x:c r="X57" s="674" t="str">
        <x:v>是</x:v>
      </x:c>
      <x:c r="Y57" s="659" t="str">
        <x:v>指标权重较高、边际变化明显或具有关键阈值/联动判断价值，进入第一轮候选池。</x:v>
      </x:c>
      <x:c r="Z57" s="659" t="str">
        <x:v>已检查同面反向指标；若出现支撑与压力并存，面级结论按分化或边际变化处理。</x:v>
      </x:c>
      <x:c r="AA57"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7" s="659" t="str">
        <x:v>避免单指标下结论；资金面不轻易表述为紧缩，估值面必须给历史分位。</x:v>
      </x:c>
      <x:c r="AC57" s="659" t="str">
        <x:v>否</x:v>
      </x:c>
      <x:c r="AD57" s="659" t="str">
        <x:v>P2</x:v>
      </x:c>
      <x:c r="AE57" s="659" t="str"/>
      <x:c r="AF57" s="659" t="str"/>
      <x:c r="AG57" s="659" t="str">
        <x:v>已经参与第一轮判断，但不是本期最终展示的最高解释力指标。</x:v>
      </x:c>
      <x:c r="AH57" s="659" t="str"/>
      <x:c r="AI57" s="659" t="str"/>
    </x:row>
    <x:row r="58" ht="54" customHeight="1">
      <x:c r="A58" s="659" t="str">
        <x:v>指标</x:v>
      </x:c>
      <x:c r="B58" s="659" t="str">
        <x:v>境内</x:v>
      </x:c>
      <x:c r="C58" s="659" t="str">
        <x:v>股市</x:v>
      </x:c>
      <x:c r="D58" s="659" t="str">
        <x:v>资金面</x:v>
      </x:c>
      <x:c r="E58" s="659" t="str">
        <x:v>银行间流动性
（20%）</x:v>
      </x:c>
      <x:c r="F58" s="659" t="n">
        <x:v>52</x:v>
      </x:c>
      <x:c r="G58" s="659" t="str">
        <x:v>SHIBOR:3个月</x:v>
      </x:c>
      <x:c r="H58" s="659" t="str">
        <x:v>日度；日期2026-07-01T00:00:00</x:v>
      </x:c>
      <x:c r="I58" s="659" t="str">
        <x:v>硬数据/同步指标</x:v>
      </x:c>
      <x:c r="J58" s="659" t="str">
        <x:v>当前0.01438；环比0；同比-0.116707616708；同比增量-0.0019</x:v>
      </x:c>
      <x:c r="K58" s="659" t="str">
        <x:v>背景</x:v>
      </x:c>
      <x:c r="L58" s="659" t="n">
        <x:v>0.01438</x:v>
      </x:c>
      <x:c r="M58" s="659" t="str">
        <x:v>2026-07-01T00:00:00</x:v>
      </x:c>
      <x:c r="N58" s="659" t="n">
        <x:v>0</x:v>
      </x:c>
      <x:c r="O58" s="659" t="n">
        <x:v>-0.116707616708</x:v>
      </x:c>
      <x:c r="P58" s="659" t="n">
        <x:v>-0.0019</x:v>
      </x:c>
      <x:c r="Q58" s="687" t="n">
        <x:v>0.012</x:v>
      </x:c>
      <x:c r="R58" s="659" t="str">
        <x:v>3M Shibor低位微升0.6bp，中期资金价格边际收敛但整体不紧。</x:v>
      </x:c>
      <x:c r="S58" s="659" t="str">
        <x:v>权重0.012；3个月SHIBOR反映银行中期同业负债成本，比隔夜和7天利率更能观察资金面压力向银行负债端的传导；但它仍是报价型利率，受同业结构和期限溢价影响，因此作为DR007、R007后的辅助期限指标。</x:v>
      </x:c>
      <x:c r="T58" s="659" t="str">
        <x:v>背景验证</x:v>
      </x:c>
      <x:c r="U58" s="659" t="str">
        <x:v>中性</x:v>
      </x:c>
      <x:c r="V58" s="659" t="str">
        <x:v>中</x:v>
      </x:c>
      <x:c r="W58" s="659" t="str">
        <x:v>重点看环比/同比方向和历史位置</x:v>
      </x:c>
      <x:c r="X58" s="659" t="str">
        <x:v>否</x:v>
      </x:c>
      <x:c r="Y58" s="659" t="str">
        <x:v>权重或边际变化不足以改变面级判断，本期作为背景验证。</x:v>
      </x:c>
      <x:c r="Z58" s="659" t="str">
        <x:v>已检查同面反向指标；若出现支撑与压力并存，面级结论按分化或边际变化处理。</x:v>
      </x:c>
      <x:c r="AA58"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8" s="659" t="str">
        <x:v>避免单指标下结论；资金面不轻易表述为紧缩，估值面必须给历史分位。</x:v>
      </x:c>
      <x:c r="AC58" s="659" t="str">
        <x:v>否</x:v>
      </x:c>
      <x:c r="AD58" s="659" t="str">
        <x:v>P3</x:v>
      </x:c>
      <x:c r="AE58" s="659" t="str"/>
      <x:c r="AF58" s="659" t="str"/>
      <x:c r="AG58" s="659" t="str">
        <x:v>作为背景验证，不进入最终PPT。</x:v>
      </x:c>
      <x:c r="AH58" s="659" t="str"/>
      <x:c r="AI58" s="659" t="str"/>
    </x:row>
    <x:row r="59" ht="54" customHeight="1">
      <x:c r="A59" s="659" t="str">
        <x:v>指标</x:v>
      </x:c>
      <x:c r="B59" s="659" t="str">
        <x:v>境内</x:v>
      </x:c>
      <x:c r="C59" s="659" t="str">
        <x:v>股市</x:v>
      </x:c>
      <x:c r="D59" s="659" t="str">
        <x:v>资金面</x:v>
      </x:c>
      <x:c r="E59" s="659" t="str">
        <x:v>实体流动性</x:v>
      </x:c>
      <x:c r="F59" s="659" t="n">
        <x:v>53</x:v>
      </x:c>
      <x:c r="G59" s="659" t="str">
        <x:v>社会融资规模</x:v>
      </x:c>
      <x:c r="H59" s="659" t="str">
        <x:v>月度；日期2026-05-31T00:00:00</x:v>
      </x:c>
      <x:c r="I59" s="659" t="str">
        <x:v>硬数据/同步指标</x:v>
      </x:c>
      <x:c r="J59" s="659" t="str">
        <x:v>当前20264；环比14026；同比-0.115109170306；同比增量-2636</x:v>
      </x:c>
      <x:c r="K59" s="659" t="str">
        <x:v>必检</x:v>
      </x:c>
      <x:c r="L59" s="659" t="n">
        <x:v>20264</x:v>
      </x:c>
      <x:c r="M59" s="659" t="str">
        <x:v>2026-05-31T00:00:00</x:v>
      </x:c>
      <x:c r="N59" s="659" t="n">
        <x:v>14026</x:v>
      </x:c>
      <x:c r="O59" s="659" t="n">
        <x:v>-0.115109170306</x:v>
      </x:c>
      <x:c r="P59" s="659" t="n">
        <x:v>-2636</x:v>
      </x:c>
      <x:c r="Q59" s="694" t="n">
        <x:v>0.072</x:v>
      </x:c>
      <x:c r="R59" s="659" t="str">
        <x:v>社融2.03万亿元且同比少增2636亿元，较上月明显修复但仍低于去年同期。</x:v>
      </x:c>
      <x:c r="S59" s="659" t="str">
        <x:v>权重0.072；社融是实体融资最宽口径，是中国信用周期的核心代表，在本项中更能代表方向。</x:v>
      </x:c>
      <x:c r="T59" s="681" t="str">
        <x:v>最终展示候选</x:v>
      </x:c>
      <x:c r="U59" s="659" t="str">
        <x:v>实体信用同比偏弱但环比修复</x:v>
      </x:c>
      <x:c r="V59" s="659" t="str">
        <x:v>高</x:v>
      </x:c>
      <x:c r="W59" s="659" t="str">
        <x:v>重点看环比/同比方向和历史位置</x:v>
      </x:c>
      <x:c r="X59" s="674" t="str">
        <x:v>是</x:v>
      </x:c>
      <x:c r="Y59" s="659" t="str">
        <x:v>权重较高或边际变化/阈值信号明确，且解释力足以支撑面级结论，进入第一轮候选池。</x:v>
      </x:c>
      <x:c r="Z59" s="659" t="str">
        <x:v>已检查同面反向指标；若出现支撑与压力并存，面级结论按分化或边际变化处理。</x:v>
      </x:c>
      <x:c r="AA59"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59" s="659" t="str">
        <x:v>避免单指标下结论；资金面不轻易表述为紧缩，估值面必须给历史分位。</x:v>
      </x:c>
      <x:c r="AC59" s="677" t="str">
        <x:v>是</x:v>
      </x:c>
      <x:c r="AD59" s="659" t="str">
        <x:v>P1</x:v>
      </x:c>
      <x:c r="AE59" s="659" t="str">
        <x:v>第二轮入选：该指标能最直接解释面级判断，且适合放入最终PPT。</x:v>
      </x:c>
      <x:c r="AF59" s="659" t="str">
        <x:v>社融2.03万亿元、同比少增2636亿元</x:v>
      </x:c>
      <x:c r="AG59" s="659" t="str"/>
      <x:c r="AH59"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I59" s="659" t="str">
        <x:v>需人工复核口径与最终PPT篇幅。</x:v>
      </x:c>
    </x:row>
    <x:row r="60" ht="54" customHeight="1">
      <x:c r="A60" s="659" t="str">
        <x:v>指标</x:v>
      </x:c>
      <x:c r="B60" s="659" t="str">
        <x:v>境内</x:v>
      </x:c>
      <x:c r="C60" s="659" t="str">
        <x:v>股市</x:v>
      </x:c>
      <x:c r="D60" s="659" t="str">
        <x:v>资金面</x:v>
      </x:c>
      <x:c r="E60" s="659" t="str">
        <x:v>实体流动性</x:v>
      </x:c>
      <x:c r="F60" s="659" t="n">
        <x:v>54</x:v>
      </x:c>
      <x:c r="G60" s="659" t="str">
        <x:v>新增人民币贷款</x:v>
      </x:c>
      <x:c r="H60" s="659" t="str">
        <x:v>月度；日期2026-05-31T00:00:00</x:v>
      </x:c>
      <x:c r="I60" s="659" t="str">
        <x:v>硬数据/同步指标</x:v>
      </x:c>
      <x:c r="J60" s="659" t="str">
        <x:v>当前4965；环比8971；同比-0.16174236029；同比增量-958</x:v>
      </x:c>
      <x:c r="K60" s="659" t="str">
        <x:v>必检</x:v>
      </x:c>
      <x:c r="L60" s="659" t="n">
        <x:v>4965</x:v>
      </x:c>
      <x:c r="M60" s="659" t="str">
        <x:v>2026-05-31T00:00:00</x:v>
      </x:c>
      <x:c r="N60" s="659" t="n">
        <x:v>8971</x:v>
      </x:c>
      <x:c r="O60" s="659" t="n">
        <x:v>-0.16174236029</x:v>
      </x:c>
      <x:c r="P60" s="659" t="n">
        <x:v>-958</x:v>
      </x:c>
      <x:c r="Q60" s="694" t="n">
        <x:v>0.06</x:v>
      </x:c>
      <x:c r="R60" s="659" t="str">
        <x:v>新增人民币贷款4965亿元且同比少增958亿元，信贷较上月修复但仍低于去年同期。</x:v>
      </x:c>
      <x:c r="S60" s="659" t="str">
        <x:v>权重0.06；新增人民币贷款是社融中最重要的实体信用来源，在本项中更能代表方向。</x:v>
      </x:c>
      <x:c r="T60" s="681" t="str">
        <x:v>最终展示候选</x:v>
      </x:c>
      <x:c r="U60" s="659" t="str">
        <x:v>实体信用同比偏弱但环比修复</x:v>
      </x:c>
      <x:c r="V60" s="659" t="str">
        <x:v>高</x:v>
      </x:c>
      <x:c r="W60" s="659" t="str">
        <x:v>重点看环比/同比方向和历史位置</x:v>
      </x:c>
      <x:c r="X60" s="674" t="str">
        <x:v>是</x:v>
      </x:c>
      <x:c r="Y60" s="659" t="str">
        <x:v>权重较高或边际变化/阈值信号明确，且解释力足以支撑面级结论，进入第一轮候选池。</x:v>
      </x:c>
      <x:c r="Z60" s="659" t="str">
        <x:v>已检查同面反向指标；若出现支撑与压力并存，面级结论按分化或边际变化处理。</x:v>
      </x:c>
      <x:c r="AA60"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0" s="659" t="str">
        <x:v>避免单指标下结论；资金面不轻易表述为紧缩，估值面必须给历史分位。</x:v>
      </x:c>
      <x:c r="AC60" s="677" t="str">
        <x:v>是</x:v>
      </x:c>
      <x:c r="AD60" s="659" t="str">
        <x:v>P1</x:v>
      </x:c>
      <x:c r="AE60" s="659" t="str">
        <x:v>第二轮入选：该指标能最直接解释面级判断，且适合放入最终PPT。</x:v>
      </x:c>
      <x:c r="AF60" s="659" t="str">
        <x:v>新增贷款4965亿元、同比少增958亿元</x:v>
      </x:c>
      <x:c r="AG60" s="659" t="str"/>
      <x:c r="AH60"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I60" s="659" t="str">
        <x:v>需人工复核口径与最终PPT篇幅。</x:v>
      </x:c>
    </x:row>
    <x:row r="61" ht="54" customHeight="1">
      <x:c r="A61" s="659" t="str">
        <x:v>指标</x:v>
      </x:c>
      <x:c r="B61" s="659" t="str">
        <x:v>境内</x:v>
      </x:c>
      <x:c r="C61" s="659" t="str">
        <x:v>股市</x:v>
      </x:c>
      <x:c r="D61" s="659" t="str">
        <x:v>资金面</x:v>
      </x:c>
      <x:c r="E61" s="659" t="str">
        <x:v>实体流动性</x:v>
      </x:c>
      <x:c r="F61" s="659" t="n">
        <x:v>55</x:v>
      </x:c>
      <x:c r="G61" s="659" t="str">
        <x:v>政府债券</x:v>
      </x:c>
      <x:c r="H61" s="659" t="str">
        <x:v>月度；日期2026-05-31T00:00:00</x:v>
      </x:c>
      <x:c r="I61" s="659" t="str">
        <x:v>政策财政/供给指标</x:v>
      </x:c>
      <x:c r="J61" s="659" t="str">
        <x:v>当前12236；环比3195；同比-0.161055879328；同比增量-2349</x:v>
      </x:c>
      <x:c r="K61" s="659" t="str">
        <x:v>必检</x:v>
      </x:c>
      <x:c r="L61" s="659" t="n">
        <x:v>12236</x:v>
      </x:c>
      <x:c r="M61" s="659" t="str">
        <x:v>2026-05-31T00:00:00</x:v>
      </x:c>
      <x:c r="N61" s="659" t="n">
        <x:v>3195</x:v>
      </x:c>
      <x:c r="O61" s="659" t="n">
        <x:v>-0.161055879328</x:v>
      </x:c>
      <x:c r="P61" s="659" t="n">
        <x:v>-2349</x:v>
      </x:c>
      <x:c r="Q61" s="684" t="n">
        <x:v>0.036</x:v>
      </x:c>
      <x:c r="R61" s="659" t="str">
        <x:v>政府债融资1.22万亿元、较上月增加3195亿元，政府债供给边际增加。</x:v>
      </x:c>
      <x:c r="S61" s="659" t="str">
        <x:v>权重0.036；政府债融资直接对应财政发力和稳增长节奏，在本项中更能代表方向。</x:v>
      </x:c>
      <x:c r="T61" s="691" t="str">
        <x:v>关键候选</x:v>
      </x:c>
      <x:c r="U61" s="659" t="str">
        <x:v>中性</x:v>
      </x:c>
      <x:c r="V61" s="659" t="str">
        <x:v>中</x:v>
      </x:c>
      <x:c r="W61" s="659" t="str">
        <x:v>重点看环比/同比方向和历史位置</x:v>
      </x:c>
      <x:c r="X61" s="674" t="str">
        <x:v>是</x:v>
      </x:c>
      <x:c r="Y61" s="659" t="str">
        <x:v>指标权重较高、边际变化明显或具有关键阈值/联动判断价值，进入第一轮候选池。</x:v>
      </x:c>
      <x:c r="Z61" s="659" t="str">
        <x:v>已检查同面反向指标；若出现支撑与压力并存，面级结论按分化或边际变化处理。</x:v>
      </x:c>
      <x:c r="AA61"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1" s="659" t="str">
        <x:v>避免单指标下结论；资金面不轻易表述为紧缩，估值面必须给历史分位。</x:v>
      </x:c>
      <x:c r="AC61" s="659" t="str">
        <x:v>否</x:v>
      </x:c>
      <x:c r="AD61" s="659" t="str">
        <x:v>P2</x:v>
      </x:c>
      <x:c r="AE61" s="659" t="str"/>
      <x:c r="AF61" s="659" t="str"/>
      <x:c r="AG61" s="659" t="str">
        <x:v>已经参与第一轮判断，但不是本期最终展示的最高解释力指标。</x:v>
      </x:c>
      <x:c r="AH61" s="659" t="str"/>
      <x:c r="AI61" s="659" t="str"/>
    </x:row>
    <x:row r="62" ht="54" customHeight="1">
      <x:c r="A62" s="659" t="str">
        <x:v>指标</x:v>
      </x:c>
      <x:c r="B62" s="659" t="str">
        <x:v>境内</x:v>
      </x:c>
      <x:c r="C62" s="659" t="str">
        <x:v>股市</x:v>
      </x:c>
      <x:c r="D62" s="659" t="str">
        <x:v>资金面</x:v>
      </x:c>
      <x:c r="E62" s="659" t="str">
        <x:v>实体流动性</x:v>
      </x:c>
      <x:c r="F62" s="659" t="n">
        <x:v>56</x:v>
      </x:c>
      <x:c r="G62" s="659" t="str">
        <x:v>票据融资</x:v>
      </x:c>
      <x:c r="H62" s="659" t="str">
        <x:v>月度；日期2026-05-31T00:00:00</x:v>
      </x:c>
      <x:c r="I62" s="659" t="str">
        <x:v>硬数据/同步指标</x:v>
      </x:c>
      <x:c r="J62" s="659" t="str">
        <x:v>当前-685；环比4599；同比0.411512027491；同比增量479</x:v>
      </x:c>
      <x:c r="K62" s="659" t="str">
        <x:v>背景</x:v>
      </x:c>
      <x:c r="L62" s="659" t="n">
        <x:v>-685</x:v>
      </x:c>
      <x:c r="M62" s="659" t="str">
        <x:v>2026-05-31T00:00:00</x:v>
      </x:c>
      <x:c r="N62" s="659" t="n">
        <x:v>4599</x:v>
      </x:c>
      <x:c r="O62" s="659" t="n">
        <x:v>0.411512027491</x:v>
      </x:c>
      <x:c r="P62" s="659" t="n">
        <x:v>479</x:v>
      </x:c>
      <x:c r="Q62" s="687" t="n">
        <x:v>0.0144</x:v>
      </x:c>
      <x:c r="R62" s="659" t="str">
        <x:v>票据融资-5284亿且同比少增2490亿，银行冲量因素减弱。</x:v>
      </x:c>
      <x:c r="S62" s="659" t="str">
        <x:v>权重0.0144；票据融资用于判断银行冲量和真实贷款需求质量，主要作为辅助验证，避免与核心指标重复计数。</x:v>
      </x:c>
      <x:c r="T62" s="659" t="str">
        <x:v>背景验证</x:v>
      </x:c>
      <x:c r="U62" s="659" t="str">
        <x:v>中性</x:v>
      </x:c>
      <x:c r="V62" s="659" t="str">
        <x:v>中</x:v>
      </x:c>
      <x:c r="W62" s="659" t="str">
        <x:v>重点看环比/同比方向和历史位置</x:v>
      </x:c>
      <x:c r="X62" s="659" t="str">
        <x:v>否</x:v>
      </x:c>
      <x:c r="Y62" s="659" t="str">
        <x:v>权重或边际变化不足以改变面级判断，本期作为背景验证。</x:v>
      </x:c>
      <x:c r="Z62" s="659" t="str">
        <x:v>已检查同面反向指标；若出现支撑与压力并存，面级结论按分化或边际变化处理。</x:v>
      </x:c>
      <x:c r="AA62"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2" s="659" t="str">
        <x:v>避免单指标下结论；资金面不轻易表述为紧缩，估值面必须给历史分位。</x:v>
      </x:c>
      <x:c r="AC62" s="659" t="str">
        <x:v>否</x:v>
      </x:c>
      <x:c r="AD62" s="659" t="str">
        <x:v>P3</x:v>
      </x:c>
      <x:c r="AE62" s="659" t="str"/>
      <x:c r="AF62" s="659" t="str"/>
      <x:c r="AG62" s="659" t="str">
        <x:v>作为背景验证，不进入最终PPT。</x:v>
      </x:c>
      <x:c r="AH62" s="659" t="str"/>
      <x:c r="AI62" s="659" t="str"/>
    </x:row>
    <x:row r="63" ht="54" customHeight="1">
      <x:c r="A63" s="659" t="str">
        <x:v>指标</x:v>
      </x:c>
      <x:c r="B63" s="659" t="str">
        <x:v>境内</x:v>
      </x:c>
      <x:c r="C63" s="659" t="str">
        <x:v>股市</x:v>
      </x:c>
      <x:c r="D63" s="659" t="str">
        <x:v>资金面</x:v>
      </x:c>
      <x:c r="E63" s="659" t="str">
        <x:v>实体流动性</x:v>
      </x:c>
      <x:c r="F63" s="659" t="n">
        <x:v>57</x:v>
      </x:c>
      <x:c r="G63" s="659" t="str">
        <x:v>企业债券融资</x:v>
      </x:c>
      <x:c r="H63" s="659" t="str">
        <x:v>月度；日期2026-05-31T00:00:00</x:v>
      </x:c>
      <x:c r="I63" s="659" t="str">
        <x:v>硬数据/同步指标</x:v>
      </x:c>
      <x:c r="J63" s="659" t="str">
        <x:v>当前1680；环比-2840；同比0.122994652406；同比增量184</x:v>
      </x:c>
      <x:c r="K63" s="659" t="str">
        <x:v>必检</x:v>
      </x:c>
      <x:c r="L63" s="659" t="n">
        <x:v>1680</x:v>
      </x:c>
      <x:c r="M63" s="659" t="str">
        <x:v>2026-05-31T00:00:00</x:v>
      </x:c>
      <x:c r="N63" s="659" t="n">
        <x:v>-2840</x:v>
      </x:c>
      <x:c r="O63" s="659" t="n">
        <x:v>0.122994652406</x:v>
      </x:c>
      <x:c r="P63" s="659" t="n">
        <x:v>184</x:v>
      </x:c>
      <x:c r="Q63" s="687" t="n">
        <x:v>0.0168</x:v>
      </x:c>
      <x:c r="R63" s="659" t="str">
        <x:v>企业债融资1680亿元、较上月减少2840亿元，信用债供给边际回落。</x:v>
      </x:c>
      <x:c r="S63" s="659" t="str">
        <x:v>权重0.0168；企业债融资反映直接融资环境和信用风险偏好，主要作为辅助验证，避免与核心指标重复计数。</x:v>
      </x:c>
      <x:c r="T63" s="691" t="str">
        <x:v>关键候选</x:v>
      </x:c>
      <x:c r="U63" s="659" t="str">
        <x:v>中性</x:v>
      </x:c>
      <x:c r="V63" s="659" t="str">
        <x:v>中</x:v>
      </x:c>
      <x:c r="W63" s="659" t="str">
        <x:v>重点看环比/同比方向和历史位置</x:v>
      </x:c>
      <x:c r="X63" s="674" t="str">
        <x:v>是</x:v>
      </x:c>
      <x:c r="Y63" s="659" t="str">
        <x:v>指标权重较高、边际变化明显或具有关键阈值/联动判断价值，进入第一轮候选池。</x:v>
      </x:c>
      <x:c r="Z63" s="659" t="str">
        <x:v>已检查同面反向指标；若出现支撑与压力并存，面级结论按分化或边际变化处理。</x:v>
      </x:c>
      <x:c r="AA63"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3" s="659" t="str">
        <x:v>避免单指标下结论；资金面不轻易表述为紧缩，估值面必须给历史分位。</x:v>
      </x:c>
      <x:c r="AC63" s="659" t="str">
        <x:v>否</x:v>
      </x:c>
      <x:c r="AD63" s="659" t="str">
        <x:v>P2</x:v>
      </x:c>
      <x:c r="AE63" s="659" t="str"/>
      <x:c r="AF63" s="659" t="str"/>
      <x:c r="AG63" s="659" t="str">
        <x:v>已经参与第一轮判断，但不是本期最终展示的最高解释力指标。</x:v>
      </x:c>
      <x:c r="AH63" s="659" t="str"/>
      <x:c r="AI63" s="659" t="str"/>
    </x:row>
    <x:row r="64" ht="54" customHeight="1">
      <x:c r="A64" s="659" t="str">
        <x:v>指标</x:v>
      </x:c>
      <x:c r="B64" s="659" t="str">
        <x:v>境内</x:v>
      </x:c>
      <x:c r="C64" s="659" t="str">
        <x:v>股市</x:v>
      </x:c>
      <x:c r="D64" s="659" t="str">
        <x:v>资金面</x:v>
      </x:c>
      <x:c r="E64" s="659" t="str">
        <x:v>实体流动性</x:v>
      </x:c>
      <x:c r="F64" s="659" t="n">
        <x:v>58</x:v>
      </x:c>
      <x:c r="G64" s="659" t="str">
        <x:v>M1</x:v>
      </x:c>
      <x:c r="H64" s="659" t="str">
        <x:v>月度；日期2026-05-31T00:00:00</x:v>
      </x:c>
      <x:c r="I64" s="659" t="str">
        <x:v>硬数据/同步指标</x:v>
      </x:c>
      <x:c r="J64" s="659" t="str">
        <x:v>当前0.055；环比0.005；同比0.055；同比增量0.032</x:v>
      </x:c>
      <x:c r="K64" s="659" t="str">
        <x:v>必检</x:v>
      </x:c>
      <x:c r="L64" s="659" t="n">
        <x:v>0.055</x:v>
      </x:c>
      <x:c r="M64" s="659" t="str">
        <x:v>2026-05-31T00:00:00</x:v>
      </x:c>
      <x:c r="N64" s="659" t="n">
        <x:v>0.005</x:v>
      </x:c>
      <x:c r="O64" s="659" t="n">
        <x:v>0.055</x:v>
      </x:c>
      <x:c r="P64" s="659" t="n">
        <x:v>0.032</x:v>
      </x:c>
      <x:c r="Q64" s="684" t="n">
        <x:v>0.042</x:v>
      </x:c>
      <x:c r="R64" s="659" t="str">
        <x:v>M1为5.0%且同比改善，但仍低于M2的8.6%，资金活化修复不充分。</x:v>
      </x:c>
      <x:c r="S64" s="659" t="str">
        <x:v>权重0.042；M1反映资金活化程度，对企业经营和风险偏好更领先，在本项中更能代表方向。</x:v>
      </x:c>
      <x:c r="T64" s="691" t="str">
        <x:v>关键候选</x:v>
      </x:c>
      <x:c r="U64" s="659" t="str">
        <x:v>中性</x:v>
      </x:c>
      <x:c r="V64" s="659" t="str">
        <x:v>中</x:v>
      </x:c>
      <x:c r="W64" s="659" t="str">
        <x:v>重点看环比/同比方向和历史位置</x:v>
      </x:c>
      <x:c r="X64" s="674" t="str">
        <x:v>是</x:v>
      </x:c>
      <x:c r="Y64" s="659" t="str">
        <x:v>指标权重较高、边际变化明显或具有关键阈值/联动判断价值，进入第一轮候选池。</x:v>
      </x:c>
      <x:c r="Z64" s="659" t="str">
        <x:v>已检查同面反向指标；若出现支撑与压力并存，面级结论按分化或边际变化处理。</x:v>
      </x:c>
      <x:c r="AA64"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4" s="659" t="str">
        <x:v>避免单指标下结论；资金面不轻易表述为紧缩，估值面必须给历史分位。</x:v>
      </x:c>
      <x:c r="AC64" s="659" t="str">
        <x:v>否</x:v>
      </x:c>
      <x:c r="AD64" s="659" t="str">
        <x:v>P2</x:v>
      </x:c>
      <x:c r="AE64" s="659" t="str"/>
      <x:c r="AF64" s="659" t="str"/>
      <x:c r="AG64" s="659" t="str">
        <x:v>已经参与第一轮判断，但不是本期最终展示的最高解释力指标。</x:v>
      </x:c>
      <x:c r="AH64" s="659" t="str"/>
      <x:c r="AI64" s="659" t="str"/>
    </x:row>
    <x:row r="65" ht="54" customHeight="1">
      <x:c r="A65" s="659" t="str">
        <x:v>指标</x:v>
      </x:c>
      <x:c r="B65" s="659" t="str">
        <x:v>境内</x:v>
      </x:c>
      <x:c r="C65" s="659" t="str">
        <x:v>股市</x:v>
      </x:c>
      <x:c r="D65" s="659" t="str">
        <x:v>资金面</x:v>
      </x:c>
      <x:c r="E65" s="659" t="str">
        <x:v>实体流动性</x:v>
      </x:c>
      <x:c r="F65" s="659" t="n">
        <x:v>59</x:v>
      </x:c>
      <x:c r="G65" s="659" t="str">
        <x:v>M2</x:v>
      </x:c>
      <x:c r="H65" s="659" t="str">
        <x:v>月度；日期2026-05-31T00:00:00</x:v>
      </x:c>
      <x:c r="I65" s="659" t="str">
        <x:v>硬数据/同步指标</x:v>
      </x:c>
      <x:c r="J65" s="659" t="str">
        <x:v>当前0.086；环比0；同比0.086；同比增量0.007</x:v>
      </x:c>
      <x:c r="K65" s="659" t="str">
        <x:v>背景</x:v>
      </x:c>
      <x:c r="L65" s="659" t="n">
        <x:v>0.086</x:v>
      </x:c>
      <x:c r="M65" s="659" t="str">
        <x:v>2026-05-31T00:00:00</x:v>
      </x:c>
      <x:c r="N65" s="659" t="n">
        <x:v>0</x:v>
      </x:c>
      <x:c r="O65" s="659" t="n">
        <x:v>0.086</x:v>
      </x:c>
      <x:c r="P65" s="659" t="n">
        <x:v>0.007</x:v>
      </x:c>
      <x:c r="Q65" s="670" t="n">
        <x:v>0.0228</x:v>
      </x:c>
      <x:c r="R65" s="659" t="str">
        <x:v>M2为8.6%、环比小升0.1pct，总量流动性平稳偏宽。</x:v>
      </x:c>
      <x:c r="S65" s="659" t="str">
        <x:v>权重0.0228；M2代表广义货币总水位，但对增长拐点的领先性弱于社融和M1，用于补充确认核心信号。</x:v>
      </x:c>
      <x:c r="T65" s="659" t="str">
        <x:v>背景验证</x:v>
      </x:c>
      <x:c r="U65" s="659" t="str">
        <x:v>中性</x:v>
      </x:c>
      <x:c r="V65" s="659" t="str">
        <x:v>中</x:v>
      </x:c>
      <x:c r="W65" s="659" t="str">
        <x:v>重点看环比/同比方向和历史位置</x:v>
      </x:c>
      <x:c r="X65" s="659" t="str">
        <x:v>否</x:v>
      </x:c>
      <x:c r="Y65" s="659" t="str">
        <x:v>权重或边际变化不足以改变面级判断，本期作为背景验证。</x:v>
      </x:c>
      <x:c r="Z65" s="659" t="str">
        <x:v>已检查同面反向指标；若出现支撑与压力并存，面级结论按分化或边际变化处理。</x:v>
      </x:c>
      <x:c r="AA65"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5" s="659" t="str">
        <x:v>避免单指标下结论；资金面不轻易表述为紧缩，估值面必须给历史分位。</x:v>
      </x:c>
      <x:c r="AC65" s="659" t="str">
        <x:v>否</x:v>
      </x:c>
      <x:c r="AD65" s="659" t="str">
        <x:v>P3</x:v>
      </x:c>
      <x:c r="AE65" s="659" t="str"/>
      <x:c r="AF65" s="659" t="str"/>
      <x:c r="AG65" s="659" t="str">
        <x:v>作为背景验证，不进入最终PPT。</x:v>
      </x:c>
      <x:c r="AH65" s="659" t="str"/>
      <x:c r="AI65" s="659" t="str"/>
    </x:row>
    <x:row r="66" ht="54" customHeight="1">
      <x:c r="A66" s="659" t="str">
        <x:v>指标</x:v>
      </x:c>
      <x:c r="B66" s="659" t="str">
        <x:v>境内</x:v>
      </x:c>
      <x:c r="C66" s="659" t="str">
        <x:v>股市</x:v>
      </x:c>
      <x:c r="D66" s="659" t="str">
        <x:v>资金面</x:v>
      </x:c>
      <x:c r="E66" s="659" t="str">
        <x:v>实体流动性</x:v>
      </x:c>
      <x:c r="F66" s="659" t="n">
        <x:v>60</x:v>
      </x:c>
      <x:c r="G66" s="659" t="str">
        <x:v>中国:居民部门杠杆率</x:v>
      </x:c>
      <x:c r="H66" s="659" t="str">
        <x:v>季度；日期2026-03-31T00:00:00</x:v>
      </x:c>
      <x:c r="I66" s="659" t="str">
        <x:v>硬数据/低频滞后指标</x:v>
      </x:c>
      <x:c r="J66" s="659" t="str">
        <x:v>当前0.59；环比-0.004；同比增量-0.025</x:v>
      </x:c>
      <x:c r="K66" s="659" t="str">
        <x:v>背景</x:v>
      </x:c>
      <x:c r="L66" s="659" t="n">
        <x:v>0.59</x:v>
      </x:c>
      <x:c r="M66" s="659" t="str">
        <x:v>2026-03-31T00:00:00</x:v>
      </x:c>
      <x:c r="N66" s="659" t="n">
        <x:v>-0.004</x:v>
      </x:c>
      <x:c r="O66" s="659" t="str">
        <x:v>-</x:v>
      </x:c>
      <x:c r="P66" s="659" t="n">
        <x:v>-0.025</x:v>
      </x:c>
      <x:c r="Q66" s="687" t="n">
        <x:v>0.012</x:v>
      </x:c>
      <x:c r="R66" s="659" t="str">
        <x:v>居民杠杆率59.0%、同比降2.5pct，居民信用扩张仍谨慎。</x:v>
      </x:c>
      <x:c r="S66" s="659" t="str">
        <x:v>权重0.012；居民部门杠杆率反映居民资产负债表扩张空间和消费、地产信用约束，对中期需求有指示意义；但季度更新且属于慢变量，权重低于社融、居民贷款和M1等更敏感的信用指标。</x:v>
      </x:c>
      <x:c r="T66" s="659" t="str">
        <x:v>背景验证</x:v>
      </x:c>
      <x:c r="U66" s="659" t="str">
        <x:v>中性</x:v>
      </x:c>
      <x:c r="V66" s="659" t="str">
        <x:v>中</x:v>
      </x:c>
      <x:c r="W66" s="659" t="str">
        <x:v>重点看环比/同比方向和历史位置</x:v>
      </x:c>
      <x:c r="X66" s="659" t="str">
        <x:v>否</x:v>
      </x:c>
      <x:c r="Y66" s="659" t="str">
        <x:v>权重或边际变化不足以改变面级判断，本期作为背景验证。</x:v>
      </x:c>
      <x:c r="Z66" s="659" t="str">
        <x:v>已检查同面反向指标；若出现支撑与压力并存，面级结论按分化或边际变化处理。</x:v>
      </x:c>
      <x:c r="AA66"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6" s="659" t="str">
        <x:v>避免单指标下结论；资金面不轻易表述为紧缩，估值面必须给历史分位。</x:v>
      </x:c>
      <x:c r="AC66" s="659" t="str">
        <x:v>否</x:v>
      </x:c>
      <x:c r="AD66" s="659" t="str">
        <x:v>P3</x:v>
      </x:c>
      <x:c r="AE66" s="659" t="str"/>
      <x:c r="AF66" s="659" t="str"/>
      <x:c r="AG66" s="659" t="str">
        <x:v>作为背景验证，不进入最终PPT。</x:v>
      </x:c>
      <x:c r="AH66" s="659" t="str"/>
      <x:c r="AI66" s="659" t="str"/>
    </x:row>
    <x:row r="67" ht="54" customHeight="1">
      <x:c r="A67" s="659" t="str">
        <x:v>指标</x:v>
      </x:c>
      <x:c r="B67" s="659" t="str">
        <x:v>境内</x:v>
      </x:c>
      <x:c r="C67" s="659" t="str">
        <x:v>股市</x:v>
      </x:c>
      <x:c r="D67" s="659" t="str">
        <x:v>资金面</x:v>
      </x:c>
      <x:c r="E67" s="659" t="str">
        <x:v>实体流动性</x:v>
      </x:c>
      <x:c r="F67" s="659" t="n">
        <x:v>61</x:v>
      </x:c>
      <x:c r="G67" s="659" t="str">
        <x:v>中国:政府部门杠杆率</x:v>
      </x:c>
      <x:c r="H67" s="659" t="str">
        <x:v>季度；日期2026-03-31T00:00:00</x:v>
      </x:c>
      <x:c r="I67" s="659" t="str">
        <x:v>硬数据/低频滞后指标</x:v>
      </x:c>
      <x:c r="J67" s="659" t="str">
        <x:v>当前0.703；环比0.019；同比增量0.071</x:v>
      </x:c>
      <x:c r="K67" s="659" t="str">
        <x:v>背景</x:v>
      </x:c>
      <x:c r="L67" s="659" t="n">
        <x:v>0.703</x:v>
      </x:c>
      <x:c r="M67" s="659" t="str">
        <x:v>2026-03-31T00:00:00</x:v>
      </x:c>
      <x:c r="N67" s="659" t="n">
        <x:v>0.019</x:v>
      </x:c>
      <x:c r="O67" s="659" t="str">
        <x:v>-</x:v>
      </x:c>
      <x:c r="P67" s="659" t="n">
        <x:v>0.071</x:v>
      </x:c>
      <x:c r="Q67" s="687" t="n">
        <x:v>0.014</x:v>
      </x:c>
      <x:c r="R67" s="659" t="str">
        <x:v>政府杠杆率70.3%、同比升7.1pct，财政加杠杆明显。</x:v>
      </x:c>
      <x:c r="S67" s="659" t="str">
        <x:v>权重0.014；政府部门杠杆率衡量财政加杠杆空间和稳增长约束，能辅助判断基建、财政支出和政府债融资的持续性；但更新频率低，更多用于确认财政周期背景。</x:v>
      </x:c>
      <x:c r="T67" s="659" t="str">
        <x:v>背景验证</x:v>
      </x:c>
      <x:c r="U67" s="659" t="str">
        <x:v>中性</x:v>
      </x:c>
      <x:c r="V67" s="659" t="str">
        <x:v>中</x:v>
      </x:c>
      <x:c r="W67" s="659" t="str">
        <x:v>重点看环比/同比方向和历史位置</x:v>
      </x:c>
      <x:c r="X67" s="659" t="str">
        <x:v>否</x:v>
      </x:c>
      <x:c r="Y67" s="659" t="str">
        <x:v>权重或边际变化不足以改变面级判断，本期作为背景验证。</x:v>
      </x:c>
      <x:c r="Z67" s="659" t="str">
        <x:v>已检查同面反向指标；若出现支撑与压力并存，面级结论按分化或边际变化处理。</x:v>
      </x:c>
      <x:c r="AA67"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7" s="659" t="str">
        <x:v>避免单指标下结论；资金面不轻易表述为紧缩，估值面必须给历史分位。</x:v>
      </x:c>
      <x:c r="AC67" s="659" t="str">
        <x:v>否</x:v>
      </x:c>
      <x:c r="AD67" s="659" t="str">
        <x:v>P3</x:v>
      </x:c>
      <x:c r="AE67" s="659" t="str"/>
      <x:c r="AF67" s="659" t="str"/>
      <x:c r="AG67" s="659" t="str">
        <x:v>作为背景验证，不进入最终PPT。</x:v>
      </x:c>
      <x:c r="AH67" s="659" t="str"/>
      <x:c r="AI67" s="659" t="str"/>
    </x:row>
    <x:row r="68" ht="54" customHeight="1">
      <x:c r="A68" s="659" t="str">
        <x:v>指标</x:v>
      </x:c>
      <x:c r="B68" s="659" t="str">
        <x:v>境内</x:v>
      </x:c>
      <x:c r="C68" s="659" t="str">
        <x:v>股市</x:v>
      </x:c>
      <x:c r="D68" s="659" t="str">
        <x:v>资金面</x:v>
      </x:c>
      <x:c r="E68" s="659" t="str">
        <x:v>实体流动性</x:v>
      </x:c>
      <x:c r="F68" s="659" t="n">
        <x:v>62</x:v>
      </x:c>
      <x:c r="G68" s="659" t="str">
        <x:v>中国:非金融企业部门杠杆率</x:v>
      </x:c>
      <x:c r="H68" s="659" t="str">
        <x:v>季度；日期2026-03-31T00:00:00</x:v>
      </x:c>
      <x:c r="I68" s="659" t="str">
        <x:v>硬数据/低频滞后指标</x:v>
      </x:c>
      <x:c r="J68" s="659" t="str">
        <x:v>当前1.8；环比0.054；同比增量0.063</x:v>
      </x:c>
      <x:c r="K68" s="659" t="str">
        <x:v>背景</x:v>
      </x:c>
      <x:c r="L68" s="659" t="n">
        <x:v>1.8</x:v>
      </x:c>
      <x:c r="M68" s="659" t="str">
        <x:v>2026-03-31T00:00:00</x:v>
      </x:c>
      <x:c r="N68" s="659" t="n">
        <x:v>0.054</x:v>
      </x:c>
      <x:c r="O68" s="659" t="str">
        <x:v>-</x:v>
      </x:c>
      <x:c r="P68" s="659" t="n">
        <x:v>0.063</x:v>
      </x:c>
      <x:c r="Q68" s="687" t="n">
        <x:v>0.018</x:v>
      </x:c>
      <x:c r="R68" s="659" t="str">
        <x:v>企业杠杆率180.0%、同比升6.3pct，融资扩张伴随债务压力。</x:v>
      </x:c>
      <x:c r="S68" s="659" t="str">
        <x:v>权重0.018；非金融企业部门杠杆率反映企业资产负债表压力和再融资空间，对投资扩张、信用风险和盈利修复都有中期影响，因此重要性高于居民杠杆率；但它仍是季度慢变量，不能替代月度信用数据。</x:v>
      </x:c>
      <x:c r="T68" s="659" t="str">
        <x:v>背景验证</x:v>
      </x:c>
      <x:c r="U68" s="659" t="str">
        <x:v>中性</x:v>
      </x:c>
      <x:c r="V68" s="659" t="str">
        <x:v>中</x:v>
      </x:c>
      <x:c r="W68" s="659" t="str">
        <x:v>重点看环比/同比方向和历史位置</x:v>
      </x:c>
      <x:c r="X68" s="659" t="str">
        <x:v>否</x:v>
      </x:c>
      <x:c r="Y68" s="659" t="str">
        <x:v>权重或边际变化不足以改变面级判断，本期作为背景验证。</x:v>
      </x:c>
      <x:c r="Z68" s="659" t="str">
        <x:v>已检查同面反向指标；若出现支撑与压力并存，面级结论按分化或边际变化处理。</x:v>
      </x:c>
      <x:c r="AA68"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8" s="659" t="str">
        <x:v>避免单指标下结论；资金面不轻易表述为紧缩，估值面必须给历史分位。</x:v>
      </x:c>
      <x:c r="AC68" s="659" t="str">
        <x:v>否</x:v>
      </x:c>
      <x:c r="AD68" s="659" t="str">
        <x:v>P3</x:v>
      </x:c>
      <x:c r="AE68" s="659" t="str"/>
      <x:c r="AF68" s="659" t="str"/>
      <x:c r="AG68" s="659" t="str">
        <x:v>作为背景验证，不进入最终PPT。</x:v>
      </x:c>
      <x:c r="AH68" s="659" t="str"/>
      <x:c r="AI68" s="659" t="str"/>
    </x:row>
    <x:row r="69" ht="54" customHeight="1">
      <x:c r="A69" s="659" t="str">
        <x:v>指标</x:v>
      </x:c>
      <x:c r="B69" s="659" t="str">
        <x:v>境内</x:v>
      </x:c>
      <x:c r="C69" s="659" t="str">
        <x:v>股市</x:v>
      </x:c>
      <x:c r="D69" s="659" t="str">
        <x:v>资金面</x:v>
      </x:c>
      <x:c r="E69" s="659" t="str">
        <x:v>实体流动性</x:v>
      </x:c>
      <x:c r="F69" s="659" t="n">
        <x:v>63</x:v>
      </x:c>
      <x:c r="G69" s="659" t="str">
        <x:v>中国:贷款市场报价利率(LPR):1年</x:v>
      </x:c>
      <x:c r="H69" s="659" t="str">
        <x:v>月度；日期2026-06-22T00:00:00</x:v>
      </x:c>
      <x:c r="I69" s="659" t="str">
        <x:v>资金价格/政策利率指标</x:v>
      </x:c>
      <x:c r="J69" s="659" t="str">
        <x:v>当前0.03；环比0；同比增量0</x:v>
      </x:c>
      <x:c r="K69" s="659" t="str">
        <x:v>必检</x:v>
      </x:c>
      <x:c r="L69" s="659" t="n">
        <x:v>0.03</x:v>
      </x:c>
      <x:c r="M69" s="659" t="str">
        <x:v>2026-06-22T00:00:00</x:v>
      </x:c>
      <x:c r="N69" s="659" t="n">
        <x:v>0</x:v>
      </x:c>
      <x:c r="O69" s="659" t="str">
        <x:v>-</x:v>
      </x:c>
      <x:c r="P69" s="659" t="n">
        <x:v>0</x:v>
      </x:c>
      <x:c r="Q69" s="687" t="n">
        <x:v>0.018</x:v>
      </x:c>
      <x:c r="R69" s="659" t="str">
        <x:v>1年LPR为3.00%且持平，贷款定价未进一步宽松。</x:v>
      </x:c>
      <x:c r="S69" s="659" t="str">
        <x:v>权重0.018；1年LPR是企业和居民贷款定价的重要基准，直接影响实体融资成本和信用扩张意愿；但调整频率不高，更多用于判断政策利率向贷款端的传导效果。</x:v>
      </x:c>
      <x:c r="T69" s="691" t="str">
        <x:v>关键候选</x:v>
      </x:c>
      <x:c r="U69" s="659" t="str">
        <x:v>中性</x:v>
      </x:c>
      <x:c r="V69" s="659" t="str">
        <x:v>中</x:v>
      </x:c>
      <x:c r="W69" s="659" t="str">
        <x:v>重点看环比/同比方向和历史位置</x:v>
      </x:c>
      <x:c r="X69" s="674" t="str">
        <x:v>是</x:v>
      </x:c>
      <x:c r="Y69" s="659" t="str">
        <x:v>指标权重较高、边际变化明显或具有关键阈值/联动判断价值，进入第一轮候选池。</x:v>
      </x:c>
      <x:c r="Z69" s="659" t="str">
        <x:v>已检查同面反向指标；若出现支撑与压力并存，面级结论按分化或边际变化处理。</x:v>
      </x:c>
      <x:c r="AA69"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69" s="659" t="str">
        <x:v>避免单指标下结论；资金面不轻易表述为紧缩，估值面必须给历史分位。</x:v>
      </x:c>
      <x:c r="AC69" s="659" t="str">
        <x:v>否</x:v>
      </x:c>
      <x:c r="AD69" s="659" t="str">
        <x:v>P2</x:v>
      </x:c>
      <x:c r="AE69" s="659" t="str"/>
      <x:c r="AF69" s="659" t="str"/>
      <x:c r="AG69" s="659" t="str">
        <x:v>已经参与第一轮判断，但不是本期最终展示的最高解释力指标。</x:v>
      </x:c>
      <x:c r="AH69" s="659" t="str"/>
      <x:c r="AI69" s="659" t="str"/>
    </x:row>
    <x:row r="70" ht="54" customHeight="1">
      <x:c r="A70" s="659" t="str">
        <x:v>指标</x:v>
      </x:c>
      <x:c r="B70" s="659" t="str">
        <x:v>境内</x:v>
      </x:c>
      <x:c r="C70" s="659" t="str">
        <x:v>股市</x:v>
      </x:c>
      <x:c r="D70" s="659" t="str">
        <x:v>资金面</x:v>
      </x:c>
      <x:c r="E70" s="659" t="str">
        <x:v>海外流动性</x:v>
      </x:c>
      <x:c r="F70" s="659" t="n">
        <x:v>64</x:v>
      </x:c>
      <x:c r="G70" s="659" t="str">
        <x:v>中国:银行结售汇差额:当月值</x:v>
      </x:c>
      <x:c r="H70" s="659" t="str">
        <x:v>月度；日期2026-05-31T00:00:00</x:v>
      </x:c>
      <x:c r="I70" s="659" t="str">
        <x:v>硬数据/同步指标</x:v>
      </x:c>
      <x:c r="J70" s="659" t="str">
        <x:v>当前357.9242；环比-42.8748；同比2.17932997864；同比增量245.3457</x:v>
      </x:c>
      <x:c r="K70" s="659" t="str">
        <x:v>背景</x:v>
      </x:c>
      <x:c r="L70" s="659" t="n">
        <x:v>357.9242</x:v>
      </x:c>
      <x:c r="M70" s="659" t="str">
        <x:v>2026-05-31T00:00:00</x:v>
      </x:c>
      <x:c r="N70" s="659" t="n">
        <x:v>-42.8748</x:v>
      </x:c>
      <x:c r="O70" s="659" t="n">
        <x:v>2.17932997864</x:v>
      </x:c>
      <x:c r="P70" s="659" t="n">
        <x:v>245.3457</x:v>
      </x:c>
      <x:c r="Q70" s="687" t="n">
        <x:v>0.01</x:v>
      </x:c>
      <x:c r="R70" s="659" t="str">
        <x:v>结售汇顺差400.8亿美元且同比多443.4亿，人民币流动性支撑增强。</x:v>
      </x:c>
      <x:c r="S70" s="659" t="str">
        <x:v>权重0.01；银行结售汇差额直接反映境内外汇供求和跨境资金结汇/购汇意愿，对人民币流动性和汇率预期有辅助判断价值；但数据为月度且受企业季节性结算和政策因素影响，因此权重低于社融、M1/M2等核心信用指标。</x:v>
      </x:c>
      <x:c r="T70" s="659" t="str">
        <x:v>背景验证</x:v>
      </x:c>
      <x:c r="U70" s="659" t="str">
        <x:v>中性</x:v>
      </x:c>
      <x:c r="V70" s="659" t="str">
        <x:v>中</x:v>
      </x:c>
      <x:c r="W70" s="659" t="str">
        <x:v>重点看环比/同比方向和历史位置</x:v>
      </x:c>
      <x:c r="X70" s="659" t="str">
        <x:v>否</x:v>
      </x:c>
      <x:c r="Y70" s="659" t="str">
        <x:v>权重或边际变化不足以改变面级判断，本期作为背景验证。</x:v>
      </x:c>
      <x:c r="Z70" s="659" t="str">
        <x:v>已检查同面反向指标；若出现支撑与压力并存，面级结论按分化或边际变化处理。</x:v>
      </x:c>
      <x:c r="AA70"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70" s="659" t="str">
        <x:v>避免单指标下结论；资金面不轻易表述为紧缩，估值面必须给历史分位。</x:v>
      </x:c>
      <x:c r="AC70" s="659" t="str">
        <x:v>否</x:v>
      </x:c>
      <x:c r="AD70" s="659" t="str">
        <x:v>P3</x:v>
      </x:c>
      <x:c r="AE70" s="659" t="str"/>
      <x:c r="AF70" s="659" t="str"/>
      <x:c r="AG70" s="659" t="str">
        <x:v>作为背景验证，不进入最终PPT。</x:v>
      </x:c>
      <x:c r="AH70" s="659" t="str"/>
      <x:c r="AI70" s="659" t="str"/>
    </x:row>
    <x:row r="71" ht="54" customHeight="1">
      <x:c r="A71" s="659" t="str">
        <x:v>指标</x:v>
      </x:c>
      <x:c r="B71" s="659" t="str">
        <x:v>境内</x:v>
      </x:c>
      <x:c r="C71" s="659" t="str">
        <x:v>股市</x:v>
      </x:c>
      <x:c r="D71" s="659" t="str">
        <x:v>资金面</x:v>
      </x:c>
      <x:c r="E71" s="659" t="str">
        <x:v>海外流动性</x:v>
      </x:c>
      <x:c r="F71" s="659" t="n">
        <x:v>65</x:v>
      </x:c>
      <x:c r="G71" s="659" t="str">
        <x:v>中国:国债收益率:10年</x:v>
      </x:c>
      <x:c r="H71" s="659" t="str">
        <x:v>日度；日期2026-07-01T00:00:00</x:v>
      </x:c>
      <x:c r="I71" s="659" t="str">
        <x:v>硬数据/同步指标</x:v>
      </x:c>
      <x:c r="J71" s="659" t="str">
        <x:v>当前0.017448；环比0.000118；同比增量0.001015</x:v>
      </x:c>
      <x:c r="K71" s="659" t="str">
        <x:v>背景</x:v>
      </x:c>
      <x:c r="L71" s="659" t="n">
        <x:v>0.017448</x:v>
      </x:c>
      <x:c r="M71" s="659" t="str">
        <x:v>2026-07-01T00:00:00</x:v>
      </x:c>
      <x:c r="N71" s="659" t="n">
        <x:v>0.000118</x:v>
      </x:c>
      <x:c r="O71" s="659" t="str">
        <x:v>-</x:v>
      </x:c>
      <x:c r="P71" s="659" t="n">
        <x:v>0.001015</x:v>
      </x:c>
      <x:c r="Q71" s="687" t="n">
        <x:v>0.012</x:v>
      </x:c>
      <x:c r="R71" s="659" t="str">
        <x:v>中债10Y升至1.7743%、环比上行1.29bp，长端资金边际收敛。</x:v>
      </x:c>
      <x:c r="S71" s="659" t="str">
        <x:v>权重0.012；中国10年期国债收益率是国内长期无风险利率锚，能反映增长预期、通胀预期和配置需求变化；在本模块中主要用于补充观察中长期利率环境。</x:v>
      </x:c>
      <x:c r="T71" s="659" t="str">
        <x:v>背景验证</x:v>
      </x:c>
      <x:c r="U71" s="659" t="str">
        <x:v>中性</x:v>
      </x:c>
      <x:c r="V71" s="659" t="str">
        <x:v>中</x:v>
      </x:c>
      <x:c r="W71" s="659" t="str">
        <x:v>重点看环比/同比方向和历史位置</x:v>
      </x:c>
      <x:c r="X71" s="659" t="str">
        <x:v>否</x:v>
      </x:c>
      <x:c r="Y71" s="659" t="str">
        <x:v>权重或边际变化不足以改变面级判断，本期作为背景验证。</x:v>
      </x:c>
      <x:c r="Z71" s="659" t="str">
        <x:v>已检查同面反向指标；若出现支撑与压力并存，面级结论按分化或边际变化处理。</x:v>
      </x:c>
      <x:c r="AA71"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71" s="659" t="str">
        <x:v>避免单指标下结论；资金面不轻易表述为紧缩，估值面必须给历史分位。</x:v>
      </x:c>
      <x:c r="AC71" s="659" t="str">
        <x:v>否</x:v>
      </x:c>
      <x:c r="AD71" s="659" t="str">
        <x:v>P3</x:v>
      </x:c>
      <x:c r="AE71" s="659" t="str"/>
      <x:c r="AF71" s="659" t="str"/>
      <x:c r="AG71" s="659" t="str">
        <x:v>作为背景验证，不进入最终PPT。</x:v>
      </x:c>
      <x:c r="AH71" s="659" t="str"/>
      <x:c r="AI71" s="659" t="str"/>
    </x:row>
    <x:row r="72" ht="54" customHeight="1">
      <x:c r="A72" s="659" t="str">
        <x:v>指标</x:v>
      </x:c>
      <x:c r="B72" s="659" t="str">
        <x:v>境内</x:v>
      </x:c>
      <x:c r="C72" s="659" t="str">
        <x:v>股市</x:v>
      </x:c>
      <x:c r="D72" s="659" t="str">
        <x:v>资金面</x:v>
      </x:c>
      <x:c r="E72" s="659" t="str">
        <x:v>海外流动性</x:v>
      </x:c>
      <x:c r="F72" s="659" t="n">
        <x:v>66</x:v>
      </x:c>
      <x:c r="G72" s="659" t="str">
        <x:v>美国:国债收益率:10年</x:v>
      </x:c>
      <x:c r="H72" s="659" t="str">
        <x:v>日度；日期2026-07-01T00:00:00</x:v>
      </x:c>
      <x:c r="I72" s="659" t="str">
        <x:v>硬数据/同步指标</x:v>
      </x:c>
      <x:c r="J72" s="659" t="str">
        <x:v>当前0.0448；环比0.0004；同比增量0.0022</x:v>
      </x:c>
      <x:c r="K72" s="659" t="str">
        <x:v>背景</x:v>
      </x:c>
      <x:c r="L72" s="659" t="n">
        <x:v>0.0448</x:v>
      </x:c>
      <x:c r="M72" s="659" t="str">
        <x:v>2026-07-01T00:00:00</x:v>
      </x:c>
      <x:c r="N72" s="659" t="n">
        <x:v>0.0004</x:v>
      </x:c>
      <x:c r="O72" s="659" t="str">
        <x:v>-</x:v>
      </x:c>
      <x:c r="P72" s="659" t="n">
        <x:v>0.0022</x:v>
      </x:c>
      <x:c r="Q72" s="687" t="n">
        <x:v>0.012</x:v>
      </x:c>
      <x:c r="R72" s="659" t="str">
        <x:v>美债10Y升至4.55%、环比上行2bp，外部折现率压力上升。</x:v>
      </x:c>
      <x:c r="S72" s="659" t="str">
        <x:v>权重0.012；美国10年期国债收益率代表全球美元长期利率锚，会影响人民币资产估值、汇率压力和跨境资金偏好；但它不是中国本土流动性变量，因此作为外部约束指标给予中低权重。</x:v>
      </x:c>
      <x:c r="T72" s="659" t="str">
        <x:v>背景验证</x:v>
      </x:c>
      <x:c r="U72" s="659" t="str">
        <x:v>中性</x:v>
      </x:c>
      <x:c r="V72" s="659" t="str">
        <x:v>中</x:v>
      </x:c>
      <x:c r="W72" s="659" t="str">
        <x:v>重点看环比/同比方向和历史位置</x:v>
      </x:c>
      <x:c r="X72" s="659" t="str">
        <x:v>否</x:v>
      </x:c>
      <x:c r="Y72" s="659" t="str">
        <x:v>权重或边际变化不足以改变面级判断，本期作为背景验证。</x:v>
      </x:c>
      <x:c r="Z72" s="659" t="str">
        <x:v>已检查同面反向指标；若出现支撑与压力并存，面级结论按分化或边际变化处理。</x:v>
      </x:c>
      <x:c r="AA72"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72" s="659" t="str">
        <x:v>避免单指标下结论；资金面不轻易表述为紧缩，估值面必须给历史分位。</x:v>
      </x:c>
      <x:c r="AC72" s="659" t="str">
        <x:v>否</x:v>
      </x:c>
      <x:c r="AD72" s="659" t="str">
        <x:v>P3</x:v>
      </x:c>
      <x:c r="AE72" s="659" t="str"/>
      <x:c r="AF72" s="659" t="str"/>
      <x:c r="AG72" s="659" t="str">
        <x:v>作为背景验证，不进入最终PPT。</x:v>
      </x:c>
      <x:c r="AH72" s="659" t="str"/>
      <x:c r="AI72" s="659" t="str"/>
    </x:row>
    <x:row r="73" ht="54" customHeight="1">
      <x:c r="A73" s="659" t="str">
        <x:v>指标</x:v>
      </x:c>
      <x:c r="B73" s="659" t="str">
        <x:v>境内</x:v>
      </x:c>
      <x:c r="C73" s="659" t="str">
        <x:v>股市</x:v>
      </x:c>
      <x:c r="D73" s="659" t="str">
        <x:v>资金面</x:v>
      </x:c>
      <x:c r="E73" s="659" t="str">
        <x:v>海外流动性</x:v>
      </x:c>
      <x:c r="F73" s="659" t="n">
        <x:v>67</x:v>
      </x:c>
      <x:c r="G73" s="659" t="str">
        <x:v>中美10年期国债利差 (中-美)</x:v>
      </x:c>
      <x:c r="H73" s="659" t="str">
        <x:v>日度；日期2026-07-01T00:00:00</x:v>
      </x:c>
      <x:c r="I73" s="659" t="str">
        <x:v>硬数据/同步指标</x:v>
      </x:c>
      <x:c r="J73" s="659" t="str">
        <x:v>当前-0.027352；环比-0.000282；同比增量-0.001185</x:v>
      </x:c>
      <x:c r="K73" s="659" t="str">
        <x:v>背景</x:v>
      </x:c>
      <x:c r="L73" s="659" t="n">
        <x:v>-0.027352</x:v>
      </x:c>
      <x:c r="M73" s="659" t="str">
        <x:v>2026-07-01T00:00:00</x:v>
      </x:c>
      <x:c r="N73" s="659" t="n">
        <x:v>-0.000282</x:v>
      </x:c>
      <x:c r="O73" s="659" t="str">
        <x:v>-</x:v>
      </x:c>
      <x:c r="P73" s="659" t="n">
        <x:v>-0.001185</x:v>
      </x:c>
      <x:c r="Q73" s="687" t="n">
        <x:v>0.016</x:v>
      </x:c>
      <x:c r="R73" s="659" t="str">
        <x:v>中美10Y利差-2.7757%、倒挂小幅扩大，汇率和外资压力仍在。</x:v>
      </x:c>
      <x:c r="S73" s="659" t="str">
        <x:v>权重0.016；中美10年期国债利差直接衡量中美长期利率相对吸引力，对汇率、外资配置和跨境资金流向有较强解释力；相比单独看两国利率，利差更适合做外部流动性约束判断。</x:v>
      </x:c>
      <x:c r="T73" s="659" t="str">
        <x:v>背景验证</x:v>
      </x:c>
      <x:c r="U73" s="659" t="str">
        <x:v>中性</x:v>
      </x:c>
      <x:c r="V73" s="659" t="str">
        <x:v>中</x:v>
      </x:c>
      <x:c r="W73" s="659" t="str">
        <x:v>重点看环比/同比方向和历史位置</x:v>
      </x:c>
      <x:c r="X73" s="659" t="str">
        <x:v>否</x:v>
      </x:c>
      <x:c r="Y73" s="659" t="str">
        <x:v>权重或边际变化不足以改变面级判断，本期作为背景验证。</x:v>
      </x:c>
      <x:c r="Z73" s="659" t="str">
        <x:v>已检查同面反向指标；若出现支撑与压力并存，面级结论按分化或边际变化处理。</x:v>
      </x:c>
      <x:c r="AA73" s="659" t="str">
        <x:v>股市资金面：中性偏宽松但边际收敛：实体信用较上月修复但同比仍弱，银行间资金价格仍高于政策利率：信用较上月改善（社融2.03万亿元、同比少增2636亿元；新增贷款4965亿元、同比少增958亿元）；资金价格仍高于政策利率（DR007为1.4537%、高于7天逆回购约5.4bp）。</x:v>
      </x:c>
      <x:c r="AB73" s="659" t="str">
        <x:v>避免单指标下结论；资金面不轻易表述为紧缩，估值面必须给历史分位。</x:v>
      </x:c>
      <x:c r="AC73" s="659" t="str">
        <x:v>否</x:v>
      </x:c>
      <x:c r="AD73" s="659" t="str">
        <x:v>P3</x:v>
      </x:c>
      <x:c r="AE73" s="659" t="str"/>
      <x:c r="AF73" s="659" t="str"/>
      <x:c r="AG73" s="659" t="str">
        <x:v>作为背景验证，不进入最终PPT。</x:v>
      </x:c>
      <x:c r="AH73" s="659" t="str"/>
      <x:c r="AI73" s="659" t="str"/>
    </x:row>
    <x:row r="74" ht="54" customHeight="1">
      <x:c r="A74" s="659" t="str">
        <x:v>指标</x:v>
      </x:c>
      <x:c r="B74" s="659" t="str">
        <x:v>境内</x:v>
      </x:c>
      <x:c r="C74" s="659" t="str">
        <x:v>股市</x:v>
      </x:c>
      <x:c r="D74" s="659" t="str">
        <x:v>情绪面</x:v>
      </x:c>
      <x:c r="E74" s="659" t="str">
        <x:v>资金流指标</x:v>
      </x:c>
      <x:c r="F74" s="659" t="n">
        <x:v>68</x:v>
      </x:c>
      <x:c r="G74" s="659" t="str">
        <x:v>北向资金成交额（亿港元）：</x:v>
      </x:c>
      <x:c r="H74" s="659" t="str">
        <x:v>日度；日期2026-06-30T00:00:00</x:v>
      </x:c>
      <x:c r="I74" s="659" t="str">
        <x:v>市场交易/估值指标</x:v>
      </x:c>
      <x:c r="J74" s="659" t="str">
        <x:v>当前3644.5241；环比-622.6979</x:v>
      </x:c>
      <x:c r="K74" s="659" t="str">
        <x:v>必检</x:v>
      </x:c>
      <x:c r="L74" s="659" t="n">
        <x:v>3644.5241</x:v>
      </x:c>
      <x:c r="M74" s="659" t="str">
        <x:v>2026-06-30T00:00:00</x:v>
      </x:c>
      <x:c r="N74" s="659" t="n">
        <x:v>-622.6979</x:v>
      </x:c>
      <x:c r="O74" s="659" t="str">
        <x:v>-</x:v>
      </x:c>
      <x:c r="P74" s="659" t="str">
        <x:v>-</x:v>
      </x:c>
      <x:c r="Q74" s="694" t="n">
        <x:v>0.14</x:v>
      </x:c>
      <x:c r="R74" s="659" t="str">
        <x:v>北向成交额3498.7亿，接近3500亿活跃阈值但环比回落，外资参与度高位略降；该指标为成交额而非净流入，需与ETF和指数表现交叉。</x:v>
      </x:c>
      <x:c r="S74" s="659" t="str">
        <x:v>权重0.14；北向成交额反映外资参与度和跨境资金活跃度，但成交额不是净流入，方向判断需结合净买入、ETF净流入和指数表现。</x:v>
      </x:c>
      <x:c r="T74" s="691" t="str">
        <x:v>关键候选</x:v>
      </x:c>
      <x:c r="U74" s="659" t="str">
        <x:v>情绪偏积极</x:v>
      </x:c>
      <x:c r="V74" s="659" t="str">
        <x:v>高</x:v>
      </x:c>
      <x:c r="W74" s="659" t="str">
        <x:v>成交活跃度分位约98.3%</x:v>
      </x:c>
      <x:c r="X74" s="674" t="str">
        <x:v>是</x:v>
      </x:c>
      <x:c r="Y74" s="659" t="str">
        <x:v>指标权重较高、边际变化明显或具有关键阈值/联动判断价值，进入第一轮候选池。</x:v>
      </x:c>
      <x:c r="Z74" s="659" t="str">
        <x:v>已检查同面反向指标；若出现支撑与压力并存，面级结论按分化或边际变化处理。</x:v>
      </x:c>
      <x:c r="AA74"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B74" s="659" t="str">
        <x:v>避免单指标下结论；资金面不轻易表述为紧缩，估值面必须给历史分位。</x:v>
      </x:c>
      <x:c r="AC74" s="659" t="str">
        <x:v>否</x:v>
      </x:c>
      <x:c r="AD74" s="659" t="str">
        <x:v>P2</x:v>
      </x:c>
      <x:c r="AE74" s="659" t="str"/>
      <x:c r="AF74" s="659" t="str"/>
      <x:c r="AG74" s="659" t="str">
        <x:v>已经参与第一轮判断，但不是本期最终展示的最高解释力指标。</x:v>
      </x:c>
      <x:c r="AH74" s="659" t="str"/>
      <x:c r="AI74" s="659" t="str"/>
    </x:row>
    <x:row r="75" ht="54" customHeight="1">
      <x:c r="A75" s="659" t="str">
        <x:v>指标</x:v>
      </x:c>
      <x:c r="B75" s="659" t="str">
        <x:v>境内</x:v>
      </x:c>
      <x:c r="C75" s="659" t="str">
        <x:v>股市</x:v>
      </x:c>
      <x:c r="D75" s="659" t="str">
        <x:v>情绪面</x:v>
      </x:c>
      <x:c r="E75" s="659" t="str">
        <x:v>资金流指标</x:v>
      </x:c>
      <x:c r="F75" s="659" t="n">
        <x:v>69</x:v>
      </x:c>
      <x:c r="G75" s="659" t="str">
        <x:v>ETF净流入</x:v>
      </x:c>
      <x:c r="H75" s="659" t="str">
        <x:v>日度；日期2026-07-01T00:00:00</x:v>
      </x:c>
      <x:c r="I75" s="659" t="str">
        <x:v>市场交易/估值指标</x:v>
      </x:c>
      <x:c r="J75" s="659" t="str">
        <x:v>当前-180.432782049；环比-53.6505275422</x:v>
      </x:c>
      <x:c r="K75" s="659" t="str">
        <x:v>必检</x:v>
      </x:c>
      <x:c r="L75" s="659" t="n">
        <x:v>-180.432782049</x:v>
      </x:c>
      <x:c r="M75" s="659" t="str">
        <x:v>2026-07-01T00:00:00</x:v>
      </x:c>
      <x:c r="N75" s="659" t="n">
        <x:v>-53.6505275422</x:v>
      </x:c>
      <x:c r="O75" s="659" t="str">
        <x:v>-</x:v>
      </x:c>
      <x:c r="P75" s="659" t="str">
        <x:v>-</x:v>
      </x:c>
      <x:c r="Q75" s="694" t="n">
        <x:v>0.12</x:v>
      </x:c>
      <x:c r="R75" s="659" t="str">
        <x:v>ETF净流出162亿元，较前日扩大91亿元，被动资金流转弱。</x:v>
      </x:c>
      <x:c r="S75" s="659" t="str">
        <x:v>权重0.12；ETF净流入是股票市场增量资金的高频直接观察口径，能较快反映资金通过ETF入市或赎回的方向；但单日数据波动较大，且会受套利和调仓影响，因此权重低于成交额、融资余额等核心活跃度指标，高于月度公募募集。</x:v>
      </x:c>
      <x:c r="T75" s="681" t="str">
        <x:v>最终展示候选</x:v>
      </x:c>
      <x:c r="U75" s="659" t="str">
        <x:v>资金流偏消极</x:v>
      </x:c>
      <x:c r="V75" s="659" t="str">
        <x:v>中</x:v>
      </x:c>
      <x:c r="W75" s="659" t="str">
        <x:v>重点看环比/同比方向和历史位置</x:v>
      </x:c>
      <x:c r="X75" s="674" t="str">
        <x:v>是</x:v>
      </x:c>
      <x:c r="Y75" s="659" t="str">
        <x:v>权重较高或边际变化/阈值信号明确，且解释力足以支撑面级结论，进入第一轮候选池。</x:v>
      </x:c>
      <x:c r="Z75" s="659" t="str">
        <x:v>已检查同面反向指标；若出现支撑与压力并存，面级结论按分化或边际变化处理。</x:v>
      </x:c>
      <x:c r="AA75"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B75" s="659" t="str">
        <x:v>避免单指标下结论；资金面不轻易表述为紧缩，估值面必须给历史分位。</x:v>
      </x:c>
      <x:c r="AC75" s="677" t="str">
        <x:v>是</x:v>
      </x:c>
      <x:c r="AD75" s="659" t="str">
        <x:v>P1</x:v>
      </x:c>
      <x:c r="AE75" s="659" t="str">
        <x:v>第二轮入选：该指标能最直接解释面级判断，且适合放入最终PPT。</x:v>
      </x:c>
      <x:c r="AF75" s="659" t="str">
        <x:v>ETF净流出约180亿元</x:v>
      </x:c>
      <x:c r="AG75" s="659" t="str"/>
      <x:c r="AH75"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I75" s="659" t="str">
        <x:v>需人工复核口径与最终PPT篇幅。</x:v>
      </x:c>
    </x:row>
    <x:row r="76" ht="54" customHeight="1">
      <x:c r="A76" s="659" t="str">
        <x:v>指标</x:v>
      </x:c>
      <x:c r="B76" s="659" t="str">
        <x:v>境内</x:v>
      </x:c>
      <x:c r="C76" s="659" t="str">
        <x:v>股市</x:v>
      </x:c>
      <x:c r="D76" s="659" t="str">
        <x:v>情绪面</x:v>
      </x:c>
      <x:c r="E76" s="659" t="str">
        <x:v>资金流指标</x:v>
      </x:c>
      <x:c r="F76" s="659" t="n">
        <x:v>70</x:v>
      </x:c>
      <x:c r="G76" s="659" t="str">
        <x:v>公募基金募集：</x:v>
      </x:c>
      <x:c r="H76" s="659" t="str">
        <x:v>月度；日期—</x:v>
      </x:c>
      <x:c r="I76" s="659" t="str">
        <x:v>硬数据/同步指标</x:v>
      </x:c>
      <x:c r="J76" s="659" t="str">
        <x:v>缺少有效数据</x:v>
      </x:c>
      <x:c r="K76" s="659" t="str">
        <x:v>背景</x:v>
      </x:c>
      <x:c r="L76" s="659" t="str">
        <x:v>—</x:v>
      </x:c>
      <x:c r="M76" s="659" t="str">
        <x:v>—</x:v>
      </x:c>
      <x:c r="N76" s="659" t="str">
        <x:v>—</x:v>
      </x:c>
      <x:c r="O76" s="659" t="str">
        <x:v>-</x:v>
      </x:c>
      <x:c r="P76" s="659" t="str">
        <x:v>-</x:v>
      </x:c>
      <x:c r="Q76" s="694" t="n">
        <x:v>0.07</x:v>
      </x:c>
      <x:c r="R76" s="659" t="str">
        <x:v>公募基金募集当前数据缺失，暂不判断长期增量资金。</x:v>
      </x:c>
      <x:c r="S76" s="659" t="str">
        <x:v>权重0.07；公募募集反映长期资金供给，但月度数据有滞后，主要作为辅助验证，避免与核心指标重复计数。</x:v>
      </x:c>
      <x:c r="T76" s="698" t="str">
        <x:v>缺数据</x:v>
      </x:c>
      <x:c r="U76" s="659" t="str">
        <x:v>中性</x:v>
      </x:c>
      <x:c r="V76" s="659" t="str">
        <x:v>中</x:v>
      </x:c>
      <x:c r="W76" s="659" t="str">
        <x:v>无明确阈值，作为背景验证</x:v>
      </x:c>
      <x:c r="X76" s="659" t="str">
        <x:v>否</x:v>
      </x:c>
      <x:c r="Y76" s="659" t="str">
        <x:v>本期无有效前端数据，不进入候选池。</x:v>
      </x:c>
      <x:c r="Z76" s="659" t="str">
        <x:v>已检查同面反向指标；若出现支撑与压力并存，面级结论按分化或边际变化处理。</x:v>
      </x:c>
      <x:c r="AA76"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B76" s="659" t="str">
        <x:v>避免单指标下结论；资金面不轻易表述为紧缩，估值面必须给历史分位。</x:v>
      </x:c>
      <x:c r="AC76" s="659" t="str">
        <x:v>否</x:v>
      </x:c>
      <x:c r="AD76" s="659" t="str">
        <x:v>P3</x:v>
      </x:c>
      <x:c r="AE76" s="659" t="str"/>
      <x:c r="AF76" s="659" t="str"/>
      <x:c r="AG76" s="659" t="str">
        <x:v>作为背景验证，不进入最终PPT。</x:v>
      </x:c>
      <x:c r="AH76" s="659" t="str"/>
      <x:c r="AI76" s="659" t="str"/>
    </x:row>
    <x:row r="77" ht="54" customHeight="1">
      <x:c r="A77" s="659" t="str">
        <x:v>指标</x:v>
      </x:c>
      <x:c r="B77" s="659" t="str">
        <x:v>境内</x:v>
      </x:c>
      <x:c r="C77" s="659" t="str">
        <x:v>股市</x:v>
      </x:c>
      <x:c r="D77" s="659" t="str">
        <x:v>情绪面</x:v>
      </x:c>
      <x:c r="E77" s="659" t="str">
        <x:v>交易额</x:v>
      </x:c>
      <x:c r="F77" s="659" t="n">
        <x:v>71</x:v>
      </x:c>
      <x:c r="G77" s="659" t="str">
        <x:v>A股日度成交额（亿元）：</x:v>
      </x:c>
      <x:c r="H77" s="659" t="str">
        <x:v>日度；日期2026-07-01T00:00:00</x:v>
      </x:c>
      <x:c r="I77" s="659" t="str">
        <x:v>市场交易/估值指标</x:v>
      </x:c>
      <x:c r="J77" s="659" t="str">
        <x:v>当前36827.9693745；环比3889.77380748</x:v>
      </x:c>
      <x:c r="K77" s="659" t="str">
        <x:v>必检</x:v>
      </x:c>
      <x:c r="L77" s="659" t="n">
        <x:v>36827.9693745</x:v>
      </x:c>
      <x:c r="M77" s="659" t="str">
        <x:v>2026-07-01T00:00:00</x:v>
      </x:c>
      <x:c r="N77" s="659" t="n">
        <x:v>3889.77380748</x:v>
      </x:c>
      <x:c r="O77" s="659" t="str">
        <x:v>-</x:v>
      </x:c>
      <x:c r="P77" s="659" t="str">
        <x:v>-</x:v>
      </x:c>
      <x:c r="Q77" s="694" t="n">
        <x:v>0.2</x:v>
      </x:c>
      <x:c r="R77" s="659" t="str">
        <x:v>A股成交额3.05万亿元，高于活跃阈值但较上一交易日减少1854亿元，交易热度边际降温。</x:v>
      </x:c>
      <x:c r="S77" s="659" t="str">
        <x:v>权重0.2；成交额最直接反映参与度和赚钱效应，在本项中更能代表方向。</x:v>
      </x:c>
      <x:c r="T77" s="681" t="str">
        <x:v>最终展示候选</x:v>
      </x:c>
      <x:c r="U77" s="659" t="str">
        <x:v>情绪偏积极</x:v>
      </x:c>
      <x:c r="V77" s="659" t="str">
        <x:v>高</x:v>
      </x:c>
      <x:c r="W77" s="659" t="str">
        <x:v>成交活跃度分位约98.3%</x:v>
      </x:c>
      <x:c r="X77" s="674" t="str">
        <x:v>是</x:v>
      </x:c>
      <x:c r="Y77" s="659" t="str">
        <x:v>权重较高或边际变化/阈值信号明确，且解释力足以支撑面级结论，进入第一轮候选池。</x:v>
      </x:c>
      <x:c r="Z77" s="659" t="str">
        <x:v>已检查同面反向指标；若出现支撑与压力并存，面级结论按分化或边际变化处理。</x:v>
      </x:c>
      <x:c r="AA77"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B77" s="659" t="str">
        <x:v>避免单指标下结论；资金面不轻易表述为紧缩，估值面必须给历史分位。</x:v>
      </x:c>
      <x:c r="AC77" s="677" t="str">
        <x:v>是</x:v>
      </x:c>
      <x:c r="AD77" s="659" t="str">
        <x:v>P1</x:v>
      </x:c>
      <x:c r="AE77" s="659" t="str">
        <x:v>第二轮入选：该指标能最直接解释面级判断，且适合放入最终PPT。</x:v>
      </x:c>
      <x:c r="AF77" s="659" t="str">
        <x:v>A股成交额3.68万亿元、近60日约98.3%分位</x:v>
      </x:c>
      <x:c r="AG77" s="659" t="str"/>
      <x:c r="AH77"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I77" s="659" t="str">
        <x:v>需人工复核口径与最终PPT篇幅。</x:v>
      </x:c>
    </x:row>
    <x:row r="78" ht="54" customHeight="1">
      <x:c r="A78" s="659" t="str">
        <x:v>指标</x:v>
      </x:c>
      <x:c r="B78" s="659" t="str">
        <x:v>境内</x:v>
      </x:c>
      <x:c r="C78" s="659" t="str">
        <x:v>股市</x:v>
      </x:c>
      <x:c r="D78" s="659" t="str">
        <x:v>情绪面</x:v>
      </x:c>
      <x:c r="E78" s="659" t="str">
        <x:v>杠杆资金</x:v>
      </x:c>
      <x:c r="F78" s="659" t="n">
        <x:v>72</x:v>
      </x:c>
      <x:c r="G78" s="659" t="str">
        <x:v>融资融券余额（亿元）：</x:v>
      </x:c>
      <x:c r="H78" s="659" t="str">
        <x:v>日度；日期2026-07-01T00:00:00</x:v>
      </x:c>
      <x:c r="I78" s="659" t="str">
        <x:v>市场交易/估值指标</x:v>
      </x:c>
      <x:c r="J78" s="659" t="str">
        <x:v>当前3.03047423745；环比0.010077745555</x:v>
      </x:c>
      <x:c r="K78" s="659" t="str">
        <x:v>必检</x:v>
      </x:c>
      <x:c r="L78" s="659" t="n">
        <x:v>3.03047423745</x:v>
      </x:c>
      <x:c r="M78" s="659" t="str">
        <x:v>2026-07-01T00:00:00</x:v>
      </x:c>
      <x:c r="N78" s="659" t="n">
        <x:v>0.010077745555</x:v>
      </x:c>
      <x:c r="O78" s="659" t="str">
        <x:v>-</x:v>
      </x:c>
      <x:c r="P78" s="659" t="str">
        <x:v>-</x:v>
      </x:c>
      <x:c r="Q78" s="694" t="n">
        <x:v>0.15</x:v>
      </x:c>
      <x:c r="R78" s="659" t="str">
        <x:v>两融余额2.879万亿元，仍处偏高位置但较前日减少0.008万亿元，杠杆资金小幅回落。</x:v>
      </x:c>
      <x:c r="S78" s="659" t="str">
        <x:v>权重0.15；融资融券余额代表杠杆资金风险偏好，在本项中更能代表方向。</x:v>
      </x:c>
      <x:c r="T78" s="681" t="str">
        <x:v>最终展示候选</x:v>
      </x:c>
      <x:c r="U78" s="659" t="str">
        <x:v>情绪偏积极</x:v>
      </x:c>
      <x:c r="V78" s="659" t="str">
        <x:v>高</x:v>
      </x:c>
      <x:c r="W78" s="659" t="str">
        <x:v>杠杆资金分位约98.3%</x:v>
      </x:c>
      <x:c r="X78" s="674" t="str">
        <x:v>是</x:v>
      </x:c>
      <x:c r="Y78" s="659" t="str">
        <x:v>权重较高或边际变化/阈值信号明确，且解释力足以支撑面级结论，进入第一轮候选池。</x:v>
      </x:c>
      <x:c r="Z78" s="659" t="str">
        <x:v>已检查同面反向指标；若出现支撑与压力并存，面级结论按分化或边际变化处理。</x:v>
      </x:c>
      <x:c r="AA78"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B78" s="659" t="str">
        <x:v>避免单指标下结论；资金面不轻易表述为紧缩，估值面必须给历史分位。</x:v>
      </x:c>
      <x:c r="AC78" s="677" t="str">
        <x:v>是</x:v>
      </x:c>
      <x:c r="AD78" s="659" t="str">
        <x:v>P1</x:v>
      </x:c>
      <x:c r="AE78" s="659" t="str">
        <x:v>第二轮入选：该指标能最直接解释面级判断，且适合放入最终PPT。</x:v>
      </x:c>
      <x:c r="AF78" s="659" t="str">
        <x:v>两融余额3.03万亿元、近60日约98.3%分位</x:v>
      </x:c>
      <x:c r="AG78" s="659" t="str"/>
      <x:c r="AH78"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I78" s="659" t="str">
        <x:v>需人工复核口径与最终PPT篇幅。</x:v>
      </x:c>
    </x:row>
    <x:row r="79" ht="54" customHeight="1">
      <x:c r="A79" s="659" t="str">
        <x:v>指标</x:v>
      </x:c>
      <x:c r="B79" s="659" t="str">
        <x:v>境内</x:v>
      </x:c>
      <x:c r="C79" s="659" t="str">
        <x:v>股市</x:v>
      </x:c>
      <x:c r="D79" s="659" t="str">
        <x:v>情绪面</x:v>
      </x:c>
      <x:c r="E79" s="659" t="str">
        <x:v>换手率</x:v>
      </x:c>
      <x:c r="F79" s="659" t="n">
        <x:v>73</x:v>
      </x:c>
      <x:c r="G79" s="659" t="str">
        <x:v>市场换手率：</x:v>
      </x:c>
      <x:c r="H79" s="659" t="str">
        <x:v>日度；日期2026-07-01T00:00:00</x:v>
      </x:c>
      <x:c r="I79" s="659" t="str">
        <x:v>硬数据/同步指标</x:v>
      </x:c>
      <x:c r="J79" s="659" t="str">
        <x:v>当前0.0416908557009；环比0.00486259892433</x:v>
      </x:c>
      <x:c r="K79" s="659" t="str">
        <x:v>必检</x:v>
      </x:c>
      <x:c r="L79" s="659" t="n">
        <x:v>0.0416908557009</x:v>
      </x:c>
      <x:c r="M79" s="659" t="str">
        <x:v>2026-07-01T00:00:00</x:v>
      </x:c>
      <x:c r="N79" s="659" t="n">
        <x:v>0.00486259892433</x:v>
      </x:c>
      <x:c r="O79" s="659" t="str">
        <x:v>-</x:v>
      </x:c>
      <x:c r="P79" s="659" t="str">
        <x:v>-</x:v>
      </x:c>
      <x:c r="Q79" s="694" t="n">
        <x:v>0.1</x:v>
      </x:c>
      <x:c r="R79" s="659" t="str">
        <x:v>换手率3.54%，处于中高活跃区间但未到5%过热阈值，交易活跃但尚非极端亢奋。</x:v>
      </x:c>
      <x:c r="S79" s="659" t="str">
        <x:v>权重0.1；换手率用于确认交易活跃是否扩散到全市场，用于补充确认核心信号。</x:v>
      </x:c>
      <x:c r="T79" s="691" t="str">
        <x:v>关键候选</x:v>
      </x:c>
      <x:c r="U79" s="659" t="str">
        <x:v>中性</x:v>
      </x:c>
      <x:c r="V79" s="659" t="str">
        <x:v>中</x:v>
      </x:c>
      <x:c r="W79" s="659" t="str">
        <x:v>重点看环比/同比方向和历史位置</x:v>
      </x:c>
      <x:c r="X79" s="674" t="str">
        <x:v>是</x:v>
      </x:c>
      <x:c r="Y79" s="659" t="str">
        <x:v>指标权重较高、边际变化明显或具有关键阈值/联动判断价值，进入第一轮候选池。</x:v>
      </x:c>
      <x:c r="Z79" s="659" t="str">
        <x:v>已检查同面反向指标；若出现支撑与压力并存，面级结论按分化或边际变化处理。</x:v>
      </x:c>
      <x:c r="AA79"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B79" s="659" t="str">
        <x:v>避免单指标下结论；资金面不轻易表述为紧缩，估值面必须给历史分位。</x:v>
      </x:c>
      <x:c r="AC79" s="659" t="str">
        <x:v>否</x:v>
      </x:c>
      <x:c r="AD79" s="659" t="str">
        <x:v>P2</x:v>
      </x:c>
      <x:c r="AE79" s="659" t="str"/>
      <x:c r="AF79" s="659" t="str"/>
      <x:c r="AG79" s="659" t="str">
        <x:v>已经参与第一轮判断，但不是本期最终展示的最高解释力指标。</x:v>
      </x:c>
      <x:c r="AH79" s="659" t="str"/>
      <x:c r="AI79" s="659" t="str"/>
    </x:row>
    <x:row r="80" ht="54" customHeight="1">
      <x:c r="A80" s="659" t="str">
        <x:v>指标</x:v>
      </x:c>
      <x:c r="B80" s="659" t="str">
        <x:v>境内</x:v>
      </x:c>
      <x:c r="C80" s="659" t="str">
        <x:v>股市</x:v>
      </x:c>
      <x:c r="D80" s="659" t="str">
        <x:v>情绪面</x:v>
      </x:c>
      <x:c r="E80" s="659" t="str">
        <x:v>滞后指标</x:v>
      </x:c>
      <x:c r="F80" s="659" t="n">
        <x:v>74</x:v>
      </x:c>
      <x:c r="G80" s="659" t="str">
        <x:v>新开户数（个人/万户）：</x:v>
      </x:c>
      <x:c r="H80" s="659" t="str">
        <x:v>月度；日期2026-05-31T00:00:00</x:v>
      </x:c>
      <x:c r="I80" s="659" t="str">
        <x:v>硬数据/同步指标</x:v>
      </x:c>
      <x:c r="J80" s="659" t="str">
        <x:v>当前275.583；环比27.4467；同比0.779279541026；同比增量120.6984</x:v>
      </x:c>
      <x:c r="K80" s="659" t="str">
        <x:v>必检</x:v>
      </x:c>
      <x:c r="L80" s="659" t="n">
        <x:v>275.583</x:v>
      </x:c>
      <x:c r="M80" s="659" t="str">
        <x:v>2026-05-31T00:00:00</x:v>
      </x:c>
      <x:c r="N80" s="659" t="n">
        <x:v>27.4467</x:v>
      </x:c>
      <x:c r="O80" s="659" t="n">
        <x:v>0.779279541026</x:v>
      </x:c>
      <x:c r="P80" s="659" t="n">
        <x:v>120.6984</x:v>
      </x:c>
      <x:c r="Q80" s="684" t="n">
        <x:v>0.05</x:v>
      </x:c>
      <x:c r="R80" s="659" t="str">
        <x:v>新开户275.6万户，较上月增加27.4万，居民入市意愿改善但未到350万强热度阈值。</x:v>
      </x:c>
      <x:c r="S80" s="659" t="str">
        <x:v>权重0.05；新开户数反映居民入市意愿，但通常滞后于行情，主要作为辅助验证，避免与核心指标重复计数。</x:v>
      </x:c>
      <x:c r="T80" s="691" t="str">
        <x:v>关键候选</x:v>
      </x:c>
      <x:c r="U80" s="659" t="str">
        <x:v>中性</x:v>
      </x:c>
      <x:c r="V80" s="659" t="str">
        <x:v>中</x:v>
      </x:c>
      <x:c r="W80" s="659" t="str">
        <x:v>重点看环比/同比方向和历史位置</x:v>
      </x:c>
      <x:c r="X80" s="674" t="str">
        <x:v>是</x:v>
      </x:c>
      <x:c r="Y80" s="659" t="str">
        <x:v>指标权重较高、边际变化明显或具有关键阈值/联动判断价值，进入第一轮候选池。</x:v>
      </x:c>
      <x:c r="Z80" s="659" t="str">
        <x:v>已检查同面反向指标；若出现支撑与压力并存，面级结论按分化或边际变化处理。</x:v>
      </x:c>
      <x:c r="AA80" s="659" t="str">
        <x:v>股市情绪面：中性偏强但资金分化：成交和杠杆资金处于高位并继续回升，但ETF资金明显流出：交易活跃度高位（A股成交额3.68万亿元、近60日约98.3%分位）；杠杆资金高位回升（两融余额3.03万亿元、近60日约98.3%分位）；被动资金偏弱（ETF净流出约180亿元）。</x:v>
      </x:c>
      <x:c r="AB80" s="659" t="str">
        <x:v>避免单指标下结论；资金面不轻易表述为紧缩，估值面必须给历史分位。</x:v>
      </x:c>
      <x:c r="AC80" s="659" t="str">
        <x:v>否</x:v>
      </x:c>
      <x:c r="AD80" s="659" t="str">
        <x:v>P2</x:v>
      </x:c>
      <x:c r="AE80" s="659" t="str"/>
      <x:c r="AF80" s="659" t="str"/>
      <x:c r="AG80" s="659" t="str">
        <x:v>已经参与第一轮判断，但不是本期最终展示的最高解释力指标。</x:v>
      </x:c>
      <x:c r="AH80" s="659" t="str"/>
      <x:c r="AI80" s="659" t="str"/>
    </x:row>
    <x:row r="81" ht="54" customHeight="1">
      <x:c r="A81" s="659" t="str">
        <x:v>指标</x:v>
      </x:c>
      <x:c r="B81" s="659" t="str">
        <x:v>境内</x:v>
      </x:c>
      <x:c r="C81" s="659" t="str">
        <x:v>股市</x:v>
      </x:c>
      <x:c r="D81" s="659" t="str">
        <x:v>估值面</x:v>
      </x:c>
      <x:c r="E81" s="659" t="str">
        <x:v>指数</x:v>
      </x:c>
      <x:c r="F81" s="659" t="n">
        <x:v>75</x:v>
      </x:c>
      <x:c r="G81" s="659" t="str">
        <x:v>上证指数：</x:v>
      </x:c>
      <x:c r="H81" s="659" t="str">
        <x:v>日度；日期2026-07-01T00:00:00</x:v>
      </x:c>
      <x:c r="I81" s="659" t="str">
        <x:v>硬数据/同步指标</x:v>
      </x:c>
      <x:c r="J81" s="659" t="str">
        <x:v>当前4112.4453；环比0.00440799930207</x:v>
      </x:c>
      <x:c r="K81" s="659" t="str">
        <x:v>背景</x:v>
      </x:c>
      <x:c r="L81" s="659" t="n">
        <x:v>4112.4453</x:v>
      </x:c>
      <x:c r="M81" s="659" t="str">
        <x:v>2026-07-01T00:00:00</x:v>
      </x:c>
      <x:c r="N81" s="659" t="n">
        <x:v>0.00440799930207</x:v>
      </x:c>
      <x:c r="O81" s="659" t="str">
        <x:v>-</x:v>
      </x:c>
      <x:c r="P81" s="659" t="str">
        <x:v>-</x:v>
      </x:c>
      <x:c r="Q81" s="670" t="n">
        <x:v>0.03</x:v>
      </x:c>
      <x:c r="R81" s="659" t="str">
        <x:v>A股和港股估值数据已补齐：沪深300PE为14.69倍、近三年分位98.4%，创业板指PE为51.81倍、近三年分位99.9%；恒生指数PE为11.99倍、近三年分位83.9%，恒生科技PE为22.50倍、近三年分位57.1%。整体看，A股核心和成长估值仍处近三年高位，港股传统指数估值偏高但边际回落，港股科技成长估值处于中位偏上。</x:v>
      </x:c>
      <x:c r="S81" s="659" t="str">
        <x:v>权重0.03；上证指数只反映价格位置和市场状态，不等同于估值，主要作为宽基行情的辅助确认。</x:v>
      </x:c>
      <x:c r="T81" s="659" t="str">
        <x:v>背景验证</x:v>
      </x:c>
      <x:c r="U81" s="659" t="str">
        <x:v>估值偏高，性价比下降</x:v>
      </x:c>
      <x:c r="V81" s="659" t="str">
        <x:v>中</x:v>
      </x:c>
      <x:c r="W81" s="659" t="str">
        <x:v>重点看环比/同比方向和历史位置</x:v>
      </x:c>
      <x:c r="X81" s="659" t="str">
        <x:v>否</x:v>
      </x:c>
      <x:c r="Y81" s="659" t="str">
        <x:v>权重或边际变化不足以改变面级判断，本期作为背景验证。</x:v>
      </x:c>
      <x:c r="Z81" s="659" t="str">
        <x:v>已检查同面反向指标；若出现支撑与压力并存，面级结论按分化或边际变化处理。</x:v>
      </x:c>
      <x:c r="AA81"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1" s="659" t="str">
        <x:v>避免单指标下结论；资金面不轻易表述为紧缩，估值面必须给历史分位。</x:v>
      </x:c>
      <x:c r="AC81" s="659" t="str">
        <x:v>否</x:v>
      </x:c>
      <x:c r="AD81" s="659" t="str">
        <x:v>P3</x:v>
      </x:c>
      <x:c r="AE81" s="659" t="str"/>
      <x:c r="AF81" s="659" t="str"/>
      <x:c r="AG81" s="659" t="str">
        <x:v>作为背景验证，不进入最终PPT。</x:v>
      </x:c>
      <x:c r="AH81" s="659" t="str"/>
      <x:c r="AI81" s="659" t="str"/>
    </x:row>
    <x:row r="82" ht="54" customHeight="1">
      <x:c r="A82" s="659" t="str">
        <x:v>指标</x:v>
      </x:c>
      <x:c r="B82" s="659" t="str">
        <x:v>境内</x:v>
      </x:c>
      <x:c r="C82" s="659" t="str">
        <x:v>股市</x:v>
      </x:c>
      <x:c r="D82" s="659" t="str">
        <x:v>估值面</x:v>
      </x:c>
      <x:c r="E82" s="659" t="str">
        <x:v>指数</x:v>
      </x:c>
      <x:c r="F82" s="659" t="n">
        <x:v>76</x:v>
      </x:c>
      <x:c r="G82" s="659" t="str">
        <x:v>深成指数：</x:v>
      </x:c>
      <x:c r="H82" s="659" t="str">
        <x:v>日度；日期2026-07-01T00:00:00</x:v>
      </x:c>
      <x:c r="I82" s="659" t="str">
        <x:v>硬数据/同步指标</x:v>
      </x:c>
      <x:c r="J82" s="659" t="str">
        <x:v>当前16119.1683；环比-0.00533077651483</x:v>
      </x:c>
      <x:c r="K82" s="659" t="str">
        <x:v>背景</x:v>
      </x:c>
      <x:c r="L82" s="659" t="n">
        <x:v>16119.1683</x:v>
      </x:c>
      <x:c r="M82" s="659" t="str">
        <x:v>2026-07-01T00:00:00</x:v>
      </x:c>
      <x:c r="N82" s="659" t="n">
        <x:v>-0.00533077651483</x:v>
      </x:c>
      <x:c r="O82" s="659" t="str">
        <x:v>-</x:v>
      </x:c>
      <x:c r="P82" s="659" t="str">
        <x:v>-</x:v>
      </x:c>
      <x:c r="Q82" s="670" t="n">
        <x:v>0.03</x:v>
      </x:c>
      <x:c r="R82" s="659" t="str">
        <x:v>深成指14954点接近15000乐观阈值但环比回落2.06%，深市价格压力边际上升，需结合PE判断估值。</x:v>
      </x:c>
      <x:c r="S82" s="659" t="str">
        <x:v>权重0.03；深成指数用于补充深市和成长板块价格表现，但不是估值指标，主要作为辅助确认。</x:v>
      </x:c>
      <x:c r="T82" s="659" t="str">
        <x:v>背景验证</x:v>
      </x:c>
      <x:c r="U82" s="659" t="str">
        <x:v>估值偏高，性价比下降</x:v>
      </x:c>
      <x:c r="V82" s="659" t="str">
        <x:v>中</x:v>
      </x:c>
      <x:c r="W82" s="659" t="str">
        <x:v>重点看环比/同比方向和历史位置</x:v>
      </x:c>
      <x:c r="X82" s="659" t="str">
        <x:v>否</x:v>
      </x:c>
      <x:c r="Y82" s="659" t="str">
        <x:v>权重或边际变化不足以改变面级判断，本期作为背景验证。</x:v>
      </x:c>
      <x:c r="Z82" s="659" t="str">
        <x:v>已检查同面反向指标；若出现支撑与压力并存，面级结论按分化或边际变化处理。</x:v>
      </x:c>
      <x:c r="AA82"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2" s="659" t="str">
        <x:v>避免单指标下结论；资金面不轻易表述为紧缩，估值面必须给历史分位。</x:v>
      </x:c>
      <x:c r="AC82" s="659" t="str">
        <x:v>否</x:v>
      </x:c>
      <x:c r="AD82" s="659" t="str">
        <x:v>P3</x:v>
      </x:c>
      <x:c r="AE82" s="659" t="str"/>
      <x:c r="AF82" s="659" t="str"/>
      <x:c r="AG82" s="659" t="str">
        <x:v>作为背景验证，不进入最终PPT。</x:v>
      </x:c>
      <x:c r="AH82" s="659" t="str"/>
      <x:c r="AI82" s="659" t="str"/>
    </x:row>
    <x:row r="83" ht="54" customHeight="1">
      <x:c r="A83" s="659" t="str">
        <x:v>指标</x:v>
      </x:c>
      <x:c r="B83" s="659" t="str">
        <x:v>境内</x:v>
      </x:c>
      <x:c r="C83" s="659" t="str">
        <x:v>股市</x:v>
      </x:c>
      <x:c r="D83" s="659" t="str">
        <x:v>估值面</x:v>
      </x:c>
      <x:c r="E83" s="659" t="str">
        <x:v>指数</x:v>
      </x:c>
      <x:c r="F83" s="659" t="n">
        <x:v>77</x:v>
      </x:c>
      <x:c r="G83" s="659" t="str">
        <x:v>沪深300：</x:v>
      </x:c>
      <x:c r="H83" s="659" t="str">
        <x:v>日度；日期2026-07-01T00:00:00</x:v>
      </x:c>
      <x:c r="I83" s="659" t="str">
        <x:v>硬数据/同步指标</x:v>
      </x:c>
      <x:c r="J83" s="659" t="str">
        <x:v>当前4958.9773；环比-0.00410799800331</x:v>
      </x:c>
      <x:c r="K83" s="659" t="str">
        <x:v>必检</x:v>
      </x:c>
      <x:c r="L83" s="659" t="n">
        <x:v>4958.9773</x:v>
      </x:c>
      <x:c r="M83" s="659" t="str">
        <x:v>2026-07-01T00:00:00</x:v>
      </x:c>
      <x:c r="N83" s="659" t="n">
        <x:v>-0.00410799800331</x:v>
      </x:c>
      <x:c r="O83" s="659" t="str">
        <x:v>-</x:v>
      </x:c>
      <x:c r="P83" s="659" t="str">
        <x:v>-</x:v>
      </x:c>
      <x:c r="Q83" s="684" t="n">
        <x:v>0.04</x:v>
      </x:c>
      <x:c r="R83" s="659" t="str">
        <x:v>沪深300为4748.6点，低于5000乐观阈值但处较高区域，环比回落1.11%，价格降温但不能单独判断便宜。</x:v>
      </x:c>
      <x:c r="S83" s="659" t="str">
        <x:v>权重0.04；沪深300代表核心资产价格位置，可辅助判断估值压力是否已由价格上行体现，但估值判断应以PE/PB/ERP为主。</x:v>
      </x:c>
      <x:c r="T83" s="691" t="str">
        <x:v>关键候选</x:v>
      </x:c>
      <x:c r="U83" s="659" t="str">
        <x:v>估值偏高，性价比下降</x:v>
      </x:c>
      <x:c r="V83" s="659" t="str">
        <x:v>中</x:v>
      </x:c>
      <x:c r="W83" s="659" t="str">
        <x:v>重点看环比/同比方向和历史位置</x:v>
      </x:c>
      <x:c r="X83" s="674" t="str">
        <x:v>是</x:v>
      </x:c>
      <x:c r="Y83" s="659" t="str">
        <x:v>指标权重较高、边际变化明显或具有关键阈值/联动判断价值，进入第一轮候选池。</x:v>
      </x:c>
      <x:c r="Z83" s="659" t="str">
        <x:v>已检查同面反向指标；若出现支撑与压力并存，面级结论按分化或边际变化处理。</x:v>
      </x:c>
      <x:c r="AA83"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3" s="659" t="str">
        <x:v>避免单指标下结论；资金面不轻易表述为紧缩，估值面必须给历史分位。</x:v>
      </x:c>
      <x:c r="AC83" s="659" t="str">
        <x:v>否</x:v>
      </x:c>
      <x:c r="AD83" s="659" t="str">
        <x:v>P2</x:v>
      </x:c>
      <x:c r="AE83" s="659" t="str"/>
      <x:c r="AF83" s="659" t="str"/>
      <x:c r="AG83" s="659" t="str">
        <x:v>已经参与第一轮判断，但不是本期最终展示的最高解释力指标。</x:v>
      </x:c>
      <x:c r="AH83" s="659" t="str"/>
      <x:c r="AI83" s="659" t="str"/>
    </x:row>
    <x:row r="84" ht="54" customHeight="1">
      <x:c r="A84" s="659" t="str">
        <x:v>指标</x:v>
      </x:c>
      <x:c r="B84" s="659" t="str">
        <x:v>境内</x:v>
      </x:c>
      <x:c r="C84" s="659" t="str">
        <x:v>股市</x:v>
      </x:c>
      <x:c r="D84" s="659" t="str">
        <x:v>估值面</x:v>
      </x:c>
      <x:c r="E84" s="659" t="str">
        <x:v>指数</x:v>
      </x:c>
      <x:c r="F84" s="659" t="n">
        <x:v>78</x:v>
      </x:c>
      <x:c r="G84" s="659" t="str">
        <x:v>创业板指：</x:v>
      </x:c>
      <x:c r="H84" s="659" t="str">
        <x:v>日度；日期2026-07-01T00:00:00</x:v>
      </x:c>
      <x:c r="I84" s="659" t="str">
        <x:v>硬数据/同步指标</x:v>
      </x:c>
      <x:c r="J84" s="659" t="str">
        <x:v>当前4260.7208；环比-0.0188802514042</x:v>
      </x:c>
      <x:c r="K84" s="659" t="str">
        <x:v>背景</x:v>
      </x:c>
      <x:c r="L84" s="659" t="n">
        <x:v>4260.7208</x:v>
      </x:c>
      <x:c r="M84" s="659" t="str">
        <x:v>2026-07-01T00:00:00</x:v>
      </x:c>
      <x:c r="N84" s="659" t="n">
        <x:v>-0.0188802514042</x:v>
      </x:c>
      <x:c r="O84" s="659" t="str">
        <x:v>-</x:v>
      </x:c>
      <x:c r="P84" s="659" t="str">
        <x:v>-</x:v>
      </x:c>
      <x:c r="Q84" s="670" t="n">
        <x:v>0.03</x:v>
      </x:c>
      <x:c r="R84" s="659" t="str">
        <x:v>创业板指3854.8点仍高于3500风险偏好阈值，但环比回落2.70%，成长风格风险偏好边际降温。</x:v>
      </x:c>
      <x:c r="S84" s="659" t="str">
        <x:v>权重0.03；创业板指反映成长风格价格弹性和风险偏好，波动较大，只作为估值面辅助观察。</x:v>
      </x:c>
      <x:c r="T84" s="659" t="str">
        <x:v>背景验证</x:v>
      </x:c>
      <x:c r="U84" s="659" t="str">
        <x:v>估值偏高，性价比下降</x:v>
      </x:c>
      <x:c r="V84" s="659" t="str">
        <x:v>中</x:v>
      </x:c>
      <x:c r="W84" s="659" t="str">
        <x:v>重点看环比/同比方向和历史位置</x:v>
      </x:c>
      <x:c r="X84" s="659" t="str">
        <x:v>否</x:v>
      </x:c>
      <x:c r="Y84" s="659" t="str">
        <x:v>权重或边际变化不足以改变面级判断，本期作为背景验证。</x:v>
      </x:c>
      <x:c r="Z84" s="659" t="str">
        <x:v>已检查同面反向指标；若出现支撑与压力并存，面级结论按分化或边际变化处理。</x:v>
      </x:c>
      <x:c r="AA84"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4" s="659" t="str">
        <x:v>避免单指标下结论；资金面不轻易表述为紧缩，估值面必须给历史分位。</x:v>
      </x:c>
      <x:c r="AC84" s="659" t="str">
        <x:v>否</x:v>
      </x:c>
      <x:c r="AD84" s="659" t="str">
        <x:v>P3</x:v>
      </x:c>
      <x:c r="AE84" s="659" t="str"/>
      <x:c r="AF84" s="659" t="str"/>
      <x:c r="AG84" s="659" t="str">
        <x:v>作为背景验证，不进入最终PPT。</x:v>
      </x:c>
      <x:c r="AH84" s="659" t="str"/>
      <x:c r="AI84" s="659" t="str"/>
    </x:row>
    <x:row r="85" ht="54" customHeight="1">
      <x:c r="A85" s="659" t="str">
        <x:v>指标</x:v>
      </x:c>
      <x:c r="B85" s="659" t="str">
        <x:v>境内</x:v>
      </x:c>
      <x:c r="C85" s="659" t="str">
        <x:v>股市</x:v>
      </x:c>
      <x:c r="D85" s="659" t="str">
        <x:v>估值面</x:v>
      </x:c>
      <x:c r="E85" s="659" t="str">
        <x:v>指数</x:v>
      </x:c>
      <x:c r="F85" s="659" t="n">
        <x:v>79</x:v>
      </x:c>
      <x:c r="G85" s="659" t="str">
        <x:v>恒生指数：</x:v>
      </x:c>
      <x:c r="H85" s="659" t="str">
        <x:v>日度；日期2026-06-30T00:00:00</x:v>
      </x:c>
      <x:c r="I85" s="659" t="str">
        <x:v>硬数据/同步指标</x:v>
      </x:c>
      <x:c r="J85" s="659" t="str">
        <x:v>当前22881.02；环比-0.0063257056597</x:v>
      </x:c>
      <x:c r="K85" s="659" t="str">
        <x:v>背景</x:v>
      </x:c>
      <x:c r="L85" s="659" t="n">
        <x:v>22881.02</x:v>
      </x:c>
      <x:c r="M85" s="659" t="str">
        <x:v>2026-06-30T00:00:00</x:v>
      </x:c>
      <x:c r="N85" s="659" t="n">
        <x:v>-0.0063257056597</x:v>
      </x:c>
      <x:c r="O85" s="659" t="str">
        <x:v>-</x:v>
      </x:c>
      <x:c r="P85" s="659" t="str">
        <x:v>-</x:v>
      </x:c>
      <x:c r="Q85" s="684" t="n">
        <x:v>0.035</x:v>
      </x:c>
      <x:c r="R85" s="659" t="str">
        <x:v>恒生指数24408点处于23000-27500区间，价格位置中性且环比回落，需结合PE和南向资金判断估值修复空间。</x:v>
      </x:c>
      <x:c r="S85" s="659" t="str">
        <x:v>权重0.035；恒生指数用于观察港股价格位置和风险偏好，不直接代表估值，需与PE和南向资金共同判断。</x:v>
      </x:c>
      <x:c r="T85" s="659" t="str">
        <x:v>背景验证</x:v>
      </x:c>
      <x:c r="U85" s="659" t="str">
        <x:v>估值偏高，性价比下降</x:v>
      </x:c>
      <x:c r="V85" s="659" t="str">
        <x:v>中</x:v>
      </x:c>
      <x:c r="W85" s="659" t="str">
        <x:v>重点看环比/同比方向和历史位置</x:v>
      </x:c>
      <x:c r="X85" s="659" t="str">
        <x:v>否</x:v>
      </x:c>
      <x:c r="Y85" s="659" t="str">
        <x:v>权重或边际变化不足以改变面级判断，本期作为背景验证。</x:v>
      </x:c>
      <x:c r="Z85" s="659" t="str">
        <x:v>已检查同面反向指标；若出现支撑与压力并存，面级结论按分化或边际变化处理。</x:v>
      </x:c>
      <x:c r="AA85"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5" s="659" t="str">
        <x:v>避免单指标下结论；资金面不轻易表述为紧缩，估值面必须给历史分位。</x:v>
      </x:c>
      <x:c r="AC85" s="659" t="str">
        <x:v>否</x:v>
      </x:c>
      <x:c r="AD85" s="659" t="str">
        <x:v>P3</x:v>
      </x:c>
      <x:c r="AE85" s="659" t="str"/>
      <x:c r="AF85" s="659" t="str"/>
      <x:c r="AG85" s="659" t="str">
        <x:v>作为背景验证，不进入最终PPT。</x:v>
      </x:c>
      <x:c r="AH85" s="659" t="str"/>
      <x:c r="AI85" s="659" t="str"/>
    </x:row>
    <x:row r="86" ht="54" customHeight="1">
      <x:c r="A86" s="659" t="str">
        <x:v>指标</x:v>
      </x:c>
      <x:c r="B86" s="659" t="str">
        <x:v>境内</x:v>
      </x:c>
      <x:c r="C86" s="659" t="str">
        <x:v>股市</x:v>
      </x:c>
      <x:c r="D86" s="659" t="str">
        <x:v>估值面</x:v>
      </x:c>
      <x:c r="E86" s="659" t="str">
        <x:v>指数</x:v>
      </x:c>
      <x:c r="F86" s="659" t="n">
        <x:v>80</x:v>
      </x:c>
      <x:c r="G86" s="659" t="str">
        <x:v>恒生科技指数：</x:v>
      </x:c>
      <x:c r="H86" s="659" t="str">
        <x:v>日度；日期2026-06-30T00:00:00</x:v>
      </x:c>
      <x:c r="I86" s="659" t="str">
        <x:v>硬数据/同步指标</x:v>
      </x:c>
      <x:c r="J86" s="659" t="str">
        <x:v>当前4472.23；环比0.0180331936417</x:v>
      </x:c>
      <x:c r="K86" s="659" t="str">
        <x:v>背景</x:v>
      </x:c>
      <x:c r="L86" s="659" t="n">
        <x:v>4472.23</x:v>
      </x:c>
      <x:c r="M86" s="659" t="str">
        <x:v>2026-06-30T00:00:00</x:v>
      </x:c>
      <x:c r="N86" s="659" t="n">
        <x:v>0.0180331936417</x:v>
      </x:c>
      <x:c r="O86" s="659" t="str">
        <x:v>-</x:v>
      </x:c>
      <x:c r="P86" s="659" t="str">
        <x:v>-</x:v>
      </x:c>
      <x:c r="Q86" s="684" t="n">
        <x:v>0.035</x:v>
      </x:c>
      <x:c r="R86" s="659" t="str">
        <x:v>恒生科技4724.8点低于5000且环比回落，成长情绪未明显转强，估值判断仍需PE和盈利预期支持。</x:v>
      </x:c>
      <x:c r="S86" s="659" t="str">
        <x:v>权重0.035；恒生科技指数价格波动较大，更多反映成长风险偏好，估值结论应结合PE和盈利预期。</x:v>
      </x:c>
      <x:c r="T86" s="659" t="str">
        <x:v>背景验证</x:v>
      </x:c>
      <x:c r="U86" s="659" t="str">
        <x:v>估值偏高，性价比下降</x:v>
      </x:c>
      <x:c r="V86" s="659" t="str">
        <x:v>中</x:v>
      </x:c>
      <x:c r="W86" s="659" t="str">
        <x:v>重点看环比/同比方向和历史位置</x:v>
      </x:c>
      <x:c r="X86" s="659" t="str">
        <x:v>否</x:v>
      </x:c>
      <x:c r="Y86" s="659" t="str">
        <x:v>权重或边际变化不足以改变面级判断，本期作为背景验证。</x:v>
      </x:c>
      <x:c r="Z86" s="659" t="str">
        <x:v>已检查同面反向指标；若出现支撑与压力并存，面级结论按分化或边际变化处理。</x:v>
      </x:c>
      <x:c r="AA86"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6" s="659" t="str">
        <x:v>避免单指标下结论；资金面不轻易表述为紧缩，估值面必须给历史分位。</x:v>
      </x:c>
      <x:c r="AC86" s="659" t="str">
        <x:v>否</x:v>
      </x:c>
      <x:c r="AD86" s="659" t="str">
        <x:v>P3</x:v>
      </x:c>
      <x:c r="AE86" s="659" t="str"/>
      <x:c r="AF86" s="659" t="str"/>
      <x:c r="AG86" s="659" t="str">
        <x:v>作为背景验证，不进入最终PPT。</x:v>
      </x:c>
      <x:c r="AH86" s="659" t="str"/>
      <x:c r="AI86" s="659" t="str"/>
    </x:row>
    <x:row r="87" ht="54" customHeight="1">
      <x:c r="A87" s="659" t="str">
        <x:v>指标</x:v>
      </x:c>
      <x:c r="B87" s="659" t="str">
        <x:v>境内</x:v>
      </x:c>
      <x:c r="C87" s="659" t="str">
        <x:v>股市</x:v>
      </x:c>
      <x:c r="D87" s="659" t="str">
        <x:v>估值面</x:v>
      </x:c>
      <x:c r="E87" s="659" t="str">
        <x:v>指数估值</x:v>
      </x:c>
      <x:c r="F87" s="659" t="n">
        <x:v>81</x:v>
      </x:c>
      <x:c r="G87" s="659" t="str">
        <x:v>上证指数：PE</x:v>
      </x:c>
      <x:c r="H87" s="659" t="str">
        <x:v>日度；日期2026-07-01T00:00:00</x:v>
      </x:c>
      <x:c r="I87" s="659" t="str">
        <x:v>市场交易/估值指标</x:v>
      </x:c>
      <x:c r="J87" s="659" t="str">
        <x:v>当前17.198299408；环比0.00389920105457</x:v>
      </x:c>
      <x:c r="K87" s="659" t="str">
        <x:v>必检</x:v>
      </x:c>
      <x:c r="L87" s="659" t="n">
        <x:v>17.198299408</x:v>
      </x:c>
      <x:c r="M87" s="659" t="str">
        <x:v>2026-07-01T00:00:00</x:v>
      </x:c>
      <x:c r="N87" s="659" t="n">
        <x:v>0.00389920105457</x:v>
      </x:c>
      <x:c r="O87" s="659" t="str">
        <x:v>-</x:v>
      </x:c>
      <x:c r="P87" s="659" t="str">
        <x:v>-</x:v>
      </x:c>
      <x:c r="Q87" s="694" t="n">
        <x:v>0.1</x:v>
      </x:c>
      <x:c r="R87" s="659" t="str">
        <x:v>上证指数：PE为17.18倍，近三年分位约94.4%，环比下行0.06倍，估值处于高位。</x:v>
      </x:c>
      <x:c r="S87" s="659" t="str">
        <x:v>权重0.1；上证指数PE覆盖面广，能观察A股整体估值水平，但成分行业结构较杂，权重低于沪深300PE。</x:v>
      </x:c>
      <x:c r="T87" s="691" t="str">
        <x:v>关键候选</x:v>
      </x:c>
      <x:c r="U87" s="659" t="str">
        <x:v>估值偏高，性价比下降</x:v>
      </x:c>
      <x:c r="V87" s="659" t="str">
        <x:v>高</x:v>
      </x:c>
      <x:c r="W87" s="659" t="str">
        <x:v>重点看环比/同比方向和历史位置</x:v>
      </x:c>
      <x:c r="X87" s="674" t="str">
        <x:v>是</x:v>
      </x:c>
      <x:c r="Y87" s="659" t="str">
        <x:v>指标权重较高、边际变化明显或具有关键阈值/联动判断价值，进入第一轮候选池。</x:v>
      </x:c>
      <x:c r="Z87" s="659" t="str">
        <x:v>已检查同面反向指标；若出现支撑与压力并存，面级结论按分化或边际变化处理。</x:v>
      </x:c>
      <x:c r="AA87"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7" s="659" t="str">
        <x:v>避免单指标下结论；资金面不轻易表述为紧缩，估值面必须给历史分位。</x:v>
      </x:c>
      <x:c r="AC87" s="659" t="str">
        <x:v>否</x:v>
      </x:c>
      <x:c r="AD87" s="659" t="str">
        <x:v>P2</x:v>
      </x:c>
      <x:c r="AE87" s="659" t="str"/>
      <x:c r="AF87" s="659" t="str"/>
      <x:c r="AG87" s="659" t="str">
        <x:v>已经参与第一轮判断，但不是本期最终展示的最高解释力指标。</x:v>
      </x:c>
      <x:c r="AH87" s="659" t="str"/>
      <x:c r="AI87" s="659" t="str"/>
    </x:row>
    <x:row r="88" ht="54" customHeight="1">
      <x:c r="A88" s="659" t="str">
        <x:v>指标</x:v>
      </x:c>
      <x:c r="B88" s="659" t="str">
        <x:v>境内</x:v>
      </x:c>
      <x:c r="C88" s="659" t="str">
        <x:v>股市</x:v>
      </x:c>
      <x:c r="D88" s="659" t="str">
        <x:v>估值面</x:v>
      </x:c>
      <x:c r="E88" s="659" t="str">
        <x:v>指数估值</x:v>
      </x:c>
      <x:c r="F88" s="659" t="n">
        <x:v>82</x:v>
      </x:c>
      <x:c r="G88" s="659" t="str">
        <x:v>深成指数：PE</x:v>
      </x:c>
      <x:c r="H88" s="659" t="str">
        <x:v>日度；日期2026-07-01T00:00:00</x:v>
      </x:c>
      <x:c r="I88" s="659" t="str">
        <x:v>市场交易/估值指标</x:v>
      </x:c>
      <x:c r="J88" s="659" t="str">
        <x:v>当前38.1615982056；环比-0.00100001517898</x:v>
      </x:c>
      <x:c r="K88" s="659" t="str">
        <x:v>必检</x:v>
      </x:c>
      <x:c r="L88" s="659" t="n">
        <x:v>38.1615982056</x:v>
      </x:c>
      <x:c r="M88" s="659" t="str">
        <x:v>2026-07-01T00:00:00</x:v>
      </x:c>
      <x:c r="N88" s="659" t="n">
        <x:v>-0.00100001517898</x:v>
      </x:c>
      <x:c r="O88" s="659" t="str">
        <x:v>-</x:v>
      </x:c>
      <x:c r="P88" s="659" t="str">
        <x:v>-</x:v>
      </x:c>
      <x:c r="Q88" s="694" t="n">
        <x:v>0.08</x:v>
      </x:c>
      <x:c r="R88" s="659" t="str">
        <x:v>深成指数：PE为37.36倍，近三年分位约99.7%，环比上行0.28倍，估值处于高位。</x:v>
      </x:c>
      <x:c r="S88" s="659" t="str">
        <x:v>权重0.08；深成指数PE补充深市和成长板块估值，但波动较大，主要作为结构性辅助。</x:v>
      </x:c>
      <x:c r="T88" s="691" t="str">
        <x:v>关键候选</x:v>
      </x:c>
      <x:c r="U88" s="659" t="str">
        <x:v>估值偏高，性价比下降</x:v>
      </x:c>
      <x:c r="V88" s="659" t="str">
        <x:v>中</x:v>
      </x:c>
      <x:c r="W88" s="659" t="str">
        <x:v>重点看环比/同比方向和历史位置</x:v>
      </x:c>
      <x:c r="X88" s="674" t="str">
        <x:v>是</x:v>
      </x:c>
      <x:c r="Y88" s="659" t="str">
        <x:v>指标权重较高、边际变化明显或具有关键阈值/联动判断价值，进入第一轮候选池。</x:v>
      </x:c>
      <x:c r="Z88" s="659" t="str">
        <x:v>已检查同面反向指标；若出现支撑与压力并存，面级结论按分化或边际变化处理。</x:v>
      </x:c>
      <x:c r="AA88"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8" s="659" t="str">
        <x:v>避免单指标下结论；资金面不轻易表述为紧缩，估值面必须给历史分位。</x:v>
      </x:c>
      <x:c r="AC88" s="659" t="str">
        <x:v>否</x:v>
      </x:c>
      <x:c r="AD88" s="659" t="str">
        <x:v>P2</x:v>
      </x:c>
      <x:c r="AE88" s="659" t="str"/>
      <x:c r="AF88" s="659" t="str"/>
      <x:c r="AG88" s="659" t="str">
        <x:v>已经参与第一轮判断，但不是本期最终展示的最高解释力指标。</x:v>
      </x:c>
      <x:c r="AH88" s="659" t="str"/>
      <x:c r="AI88" s="659" t="str"/>
    </x:row>
    <x:row r="89" ht="54" customHeight="1">
      <x:c r="A89" s="659" t="str">
        <x:v>指标</x:v>
      </x:c>
      <x:c r="B89" s="659" t="str">
        <x:v>境内</x:v>
      </x:c>
      <x:c r="C89" s="659" t="str">
        <x:v>股市</x:v>
      </x:c>
      <x:c r="D89" s="659" t="str">
        <x:v>估值面</x:v>
      </x:c>
      <x:c r="E89" s="659" t="str">
        <x:v>指数估值</x:v>
      </x:c>
      <x:c r="F89" s="659" t="n">
        <x:v>83</x:v>
      </x:c>
      <x:c r="G89" s="659" t="str">
        <x:v>沪深300：PE</x:v>
      </x:c>
      <x:c r="H89" s="659" t="str">
        <x:v>日度；日期2026-07-01T00:00:00</x:v>
      </x:c>
      <x:c r="I89" s="659" t="str">
        <x:v>市场交易/估值指标</x:v>
      </x:c>
      <x:c r="J89" s="659" t="str">
        <x:v>当前14.5138998032；环比0.000503179451189</x:v>
      </x:c>
      <x:c r="K89" s="659" t="str">
        <x:v>必检</x:v>
      </x:c>
      <x:c r="L89" s="659" t="n">
        <x:v>14.5138998032</x:v>
      </x:c>
      <x:c r="M89" s="659" t="str">
        <x:v>2026-07-01T00:00:00</x:v>
      </x:c>
      <x:c r="N89" s="659" t="n">
        <x:v>0.000503179451189</x:v>
      </x:c>
      <x:c r="O89" s="659" t="str">
        <x:v>-</x:v>
      </x:c>
      <x:c r="P89" s="659" t="str">
        <x:v>-</x:v>
      </x:c>
      <x:c r="Q89" s="694" t="n">
        <x:v>0.18</x:v>
      </x:c>
      <x:c r="R89" s="659" t="str">
        <x:v>沪深300：PE为14.69倍，近三年分位约98.4%，环比下行0.10倍，估值处于高位。</x:v>
      </x:c>
      <x:c r="S89" s="659" t="str">
        <x:v>权重0.18；沪深300PE代表核心资产和机构定价中枢，是A股估值面最核心指标之一，在本项中权重最高。</x:v>
      </x:c>
      <x:c r="T89" s="681" t="str">
        <x:v>最终展示候选</x:v>
      </x:c>
      <x:c r="U89" s="659" t="str">
        <x:v>估值偏高，性价比下降</x:v>
      </x:c>
      <x:c r="V89" s="659" t="str">
        <x:v>高</x:v>
      </x:c>
      <x:c r="W89" s="659" t="str">
        <x:v>估值历史分位约94.2%</x:v>
      </x:c>
      <x:c r="X89" s="674" t="str">
        <x:v>是</x:v>
      </x:c>
      <x:c r="Y89" s="659" t="str">
        <x:v>权重较高或边际变化/阈值信号明确，且解释力足以支撑面级结论，进入第一轮候选池。</x:v>
      </x:c>
      <x:c r="Z89" s="659" t="str">
        <x:v>已检查同面反向指标；若出现支撑与压力并存，面级结论按分化或边际变化处理。</x:v>
      </x:c>
      <x:c r="AA89"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89" s="659" t="str">
        <x:v>避免单指标下结论；资金面不轻易表述为紧缩，估值面必须给历史分位。</x:v>
      </x:c>
      <x:c r="AC89" s="677" t="str">
        <x:v>是</x:v>
      </x:c>
      <x:c r="AD89" s="659" t="str">
        <x:v>P1</x:v>
      </x:c>
      <x:c r="AE89" s="659" t="str">
        <x:v>第二轮入选：该指标能最直接解释面级判断，且适合放入最终PPT。</x:v>
      </x:c>
      <x:c r="AF89" s="659" t="str">
        <x:v>沪深300PE为14.51倍、近三年约94.2%分位</x:v>
      </x:c>
      <x:c r="AG89" s="659" t="str"/>
      <x:c r="AH89"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I89" s="659" t="str">
        <x:v>需人工复核口径与最终PPT篇幅。</x:v>
      </x:c>
    </x:row>
    <x:row r="90" ht="54" customHeight="1">
      <x:c r="A90" s="659" t="str">
        <x:v>指标</x:v>
      </x:c>
      <x:c r="B90" s="659" t="str">
        <x:v>境内</x:v>
      </x:c>
      <x:c r="C90" s="659" t="str">
        <x:v>股市</x:v>
      </x:c>
      <x:c r="D90" s="659" t="str">
        <x:v>估值面</x:v>
      </x:c>
      <x:c r="E90" s="659" t="str">
        <x:v>指数估值</x:v>
      </x:c>
      <x:c r="F90" s="659" t="n">
        <x:v>84</x:v>
      </x:c>
      <x:c r="G90" s="659" t="str">
        <x:v>创业板指：PE</x:v>
      </x:c>
      <x:c r="H90" s="659" t="str">
        <x:v>日度；日期2026-07-01T00:00:00</x:v>
      </x:c>
      <x:c r="I90" s="659" t="str">
        <x:v>市场交易/估值指标</x:v>
      </x:c>
      <x:c r="J90" s="659" t="str">
        <x:v>当前53.9062995911；环比-0.0132852219083</x:v>
      </x:c>
      <x:c r="K90" s="659" t="str">
        <x:v>必检</x:v>
      </x:c>
      <x:c r="L90" s="659" t="n">
        <x:v>53.9062995911</x:v>
      </x:c>
      <x:c r="M90" s="659" t="str">
        <x:v>2026-07-01T00:00:00</x:v>
      </x:c>
      <x:c r="N90" s="659" t="n">
        <x:v>-0.0132852219083</x:v>
      </x:c>
      <x:c r="O90" s="659" t="str">
        <x:v>-</x:v>
      </x:c>
      <x:c r="P90" s="659" t="str">
        <x:v>-</x:v>
      </x:c>
      <x:c r="Q90" s="694" t="n">
        <x:v>0.1</x:v>
      </x:c>
      <x:c r="R90" s="659" t="str">
        <x:v>创业板指：PE为51.81倍，近三年分位约99.9%，环比上行0.90倍，估值处于高位。</x:v>
      </x:c>
      <x:c r="S90" s="659" t="str">
        <x:v>权重0.1；创业板PE体现成长股估值弹性和风险偏好，但受盈利波动影响大，需要结合盈利增速和利率环境。</x:v>
      </x:c>
      <x:c r="T90" s="681" t="str">
        <x:v>最终展示候选</x:v>
      </x:c>
      <x:c r="U90" s="659" t="str">
        <x:v>估值偏高，性价比下降</x:v>
      </x:c>
      <x:c r="V90" s="659" t="str">
        <x:v>高</x:v>
      </x:c>
      <x:c r="W90" s="659" t="str">
        <x:v>估值历史分位约99.6%</x:v>
      </x:c>
      <x:c r="X90" s="674" t="str">
        <x:v>是</x:v>
      </x:c>
      <x:c r="Y90" s="659" t="str">
        <x:v>权重较高或边际变化/阈值信号明确，且解释力足以支撑面级结论，进入第一轮候选池。</x:v>
      </x:c>
      <x:c r="Z90" s="659" t="str">
        <x:v>已检查同面反向指标；若出现支撑与压力并存，面级结论按分化或边际变化处理。</x:v>
      </x:c>
      <x:c r="AA90"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90" s="659" t="str">
        <x:v>避免单指标下结论；资金面不轻易表述为紧缩，估值面必须给历史分位。</x:v>
      </x:c>
      <x:c r="AC90" s="677" t="str">
        <x:v>是</x:v>
      </x:c>
      <x:c r="AD90" s="659" t="str">
        <x:v>P1</x:v>
      </x:c>
      <x:c r="AE90" s="659" t="str">
        <x:v>第二轮入选：该指标能最直接解释面级判断，且适合放入最终PPT。</x:v>
      </x:c>
      <x:c r="AF90" s="659" t="str">
        <x:v>创业板指PE为53.91倍、近三年约99.6%分位</x:v>
      </x:c>
      <x:c r="AG90" s="659" t="str"/>
      <x:c r="AH90"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I90" s="659" t="str">
        <x:v>需人工复核口径与最终PPT篇幅。</x:v>
      </x:c>
    </x:row>
    <x:row r="91" ht="54" customHeight="1">
      <x:c r="A91" s="659" t="str">
        <x:v>指标</x:v>
      </x:c>
      <x:c r="B91" s="659" t="str">
        <x:v>境内</x:v>
      </x:c>
      <x:c r="C91" s="659" t="str">
        <x:v>股市</x:v>
      </x:c>
      <x:c r="D91" s="659" t="str">
        <x:v>估值面</x:v>
      </x:c>
      <x:c r="E91" s="659" t="str">
        <x:v>指数估值</x:v>
      </x:c>
      <x:c r="F91" s="659" t="n">
        <x:v>85</x:v>
      </x:c>
      <x:c r="G91" s="659" t="str">
        <x:v>恒生指数：PE</x:v>
      </x:c>
      <x:c r="H91" s="659" t="str">
        <x:v>日度；日期2026-06-30T00:00:00</x:v>
      </x:c>
      <x:c r="I91" s="659" t="str">
        <x:v>市场交易/估值指标</x:v>
      </x:c>
      <x:c r="J91" s="659" t="str">
        <x:v>当前11.1275997162；环比-0.00910966621612</x:v>
      </x:c>
      <x:c r="K91" s="659" t="str">
        <x:v>必检</x:v>
      </x:c>
      <x:c r="L91" s="659" t="n">
        <x:v>11.1275997162</x:v>
      </x:c>
      <x:c r="M91" s="659" t="str">
        <x:v>2026-06-30T00:00:00</x:v>
      </x:c>
      <x:c r="N91" s="659" t="n">
        <x:v>-0.00910966621612</x:v>
      </x:c>
      <x:c r="O91" s="659" t="str">
        <x:v>-</x:v>
      </x:c>
      <x:c r="P91" s="659" t="str">
        <x:v>-</x:v>
      </x:c>
      <x:c r="Q91" s="694" t="n">
        <x:v>0.16</x:v>
      </x:c>
      <x:c r="R91" s="659" t="str">
        <x:v>恒生指数：PE为11.99倍，近三年分位约83.9%，环比下行0.14倍，估值处于偏高位置。</x:v>
      </x:c>
      <x:c r="S91" s="659" t="str">
        <x:v>权重0.16；恒生指数PE代表港股传统权重资产估值，是判断港股是否具备修复空间的重要指标。</x:v>
      </x:c>
      <x:c r="T91" s="681" t="str">
        <x:v>最终展示候选</x:v>
      </x:c>
      <x:c r="U91" s="659" t="str">
        <x:v>估值偏高，性价比下降</x:v>
      </x:c>
      <x:c r="V91" s="659" t="str">
        <x:v>高</x:v>
      </x:c>
      <x:c r="W91" s="659" t="str">
        <x:v>估值历史分位约69.2%</x:v>
      </x:c>
      <x:c r="X91" s="674" t="str">
        <x:v>是</x:v>
      </x:c>
      <x:c r="Y91" s="659" t="str">
        <x:v>权重较高或边际变化/阈值信号明确，且解释力足以支撑面级结论，进入第一轮候选池。</x:v>
      </x:c>
      <x:c r="Z91" s="659" t="str">
        <x:v>已检查同面反向指标；若出现支撑与压力并存，面级结论按分化或边际变化处理。</x:v>
      </x:c>
      <x:c r="AA91"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91" s="659" t="str">
        <x:v>避免单指标下结论；资金面不轻易表述为紧缩，估值面必须给历史分位。</x:v>
      </x:c>
      <x:c r="AC91" s="677" t="str">
        <x:v>是</x:v>
      </x:c>
      <x:c r="AD91" s="659" t="str">
        <x:v>P1</x:v>
      </x:c>
      <x:c r="AE91" s="659" t="str">
        <x:v>第二轮入选：该指标能最直接解释面级判断，且适合放入最终PPT。</x:v>
      </x:c>
      <x:c r="AF91" s="659" t="str">
        <x:v>恒生指数PE为11.13倍、近三年约69.2%分位</x:v>
      </x:c>
      <x:c r="AG91" s="659" t="str"/>
      <x:c r="AH91"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I91" s="659" t="str">
        <x:v>需人工复核口径与最终PPT篇幅。</x:v>
      </x:c>
    </x:row>
    <x:row r="92" ht="54" customHeight="1">
      <x:c r="A92" s="659" t="str">
        <x:v>指标</x:v>
      </x:c>
      <x:c r="B92" s="659" t="str">
        <x:v>境内</x:v>
      </x:c>
      <x:c r="C92" s="659" t="str">
        <x:v>股市</x:v>
      </x:c>
      <x:c r="D92" s="659" t="str">
        <x:v>估值面</x:v>
      </x:c>
      <x:c r="E92" s="659" t="str">
        <x:v>指数估值</x:v>
      </x:c>
      <x:c r="F92" s="659" t="n">
        <x:v>86</x:v>
      </x:c>
      <x:c r="G92" s="659" t="str">
        <x:v>恒生科技：PE</x:v>
      </x:c>
      <x:c r="H92" s="659" t="str">
        <x:v>日度；日期2026-06-30T00:00:00</x:v>
      </x:c>
      <x:c r="I92" s="659" t="str">
        <x:v>市场交易/估值指标</x:v>
      </x:c>
      <x:c r="J92" s="659" t="str">
        <x:v>当前21.8992996216；环比0.36549949646</x:v>
      </x:c>
      <x:c r="K92" s="659" t="str">
        <x:v>必检</x:v>
      </x:c>
      <x:c r="L92" s="659" t="n">
        <x:v>21.8992996216</x:v>
      </x:c>
      <x:c r="M92" s="659" t="str">
        <x:v>2026-06-30T00:00:00</x:v>
      </x:c>
      <x:c r="N92" s="659" t="n">
        <x:v>0.36549949646</x:v>
      </x:c>
      <x:c r="O92" s="659" t="str">
        <x:v>-</x:v>
      </x:c>
      <x:c r="P92" s="659" t="str">
        <x:v>-</x:v>
      </x:c>
      <x:c r="Q92" s="694" t="n">
        <x:v>0.1</x:v>
      </x:c>
      <x:c r="R92" s="659" t="str">
        <x:v>恒生科技：PE为22.50倍，近三年分位约57.1%，环比下行0.49倍，估值处于中性略偏高位置。</x:v>
      </x:c>
      <x:c r="S92" s="659" t="str">
        <x:v>权重0.1；恒生科技PE代表港股成长板块估值，弹性高但盈利波动大，需结合盈利预期和美元利率环境。</x:v>
      </x:c>
      <x:c r="T92" s="681" t="str">
        <x:v>最终展示候选</x:v>
      </x:c>
      <x:c r="U92" s="659" t="str">
        <x:v>估值偏高，性价比下降</x:v>
      </x:c>
      <x:c r="V92" s="659" t="str">
        <x:v>高</x:v>
      </x:c>
      <x:c r="W92" s="659" t="str">
        <x:v>估值历史分位约48.1%</x:v>
      </x:c>
      <x:c r="X92" s="674" t="str">
        <x:v>是</x:v>
      </x:c>
      <x:c r="Y92" s="659" t="str">
        <x:v>权重较高或边际变化/阈值信号明确，且解释力足以支撑面级结论，进入第一轮候选池。</x:v>
      </x:c>
      <x:c r="Z92" s="659" t="str">
        <x:v>已检查同面反向指标；若出现支撑与压力并存，面级结论按分化或边际变化处理。</x:v>
      </x:c>
      <x:c r="AA92"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B92" s="659" t="str">
        <x:v>避免单指标下结论；资金面不轻易表述为紧缩，估值面必须给历史分位。</x:v>
      </x:c>
      <x:c r="AC92" s="677" t="str">
        <x:v>是</x:v>
      </x:c>
      <x:c r="AD92" s="659" t="str">
        <x:v>P1</x:v>
      </x:c>
      <x:c r="AE92" s="659" t="str">
        <x:v>第二轮入选：该指标能最直接解释面级判断，且适合放入最终PPT。</x:v>
      </x:c>
      <x:c r="AF92" s="659" t="str">
        <x:v>恒生科技PE为21.90倍、近三年约48.1%分位</x:v>
      </x:c>
      <x:c r="AG92" s="659" t="str"/>
      <x:c r="AH92" s="659" t="str">
        <x:v>股市估值面：中性偏高：A股核心和成长估值仍处近三年高位，港股估值相对中性：A股估值偏高（沪深300PE为14.51倍、近三年约94.2%分位；创业板指PE为53.91倍、近三年约99.6%分位）；港股估值相对中性（恒生指数PE为11.13倍、近三年约69.2%分位；恒生科技PE为21.90倍、近三年约48.1%分位）。</x:v>
      </x:c>
      <x:c r="AI92" s="659" t="str">
        <x:v>需人工复核口径与最终PPT篇幅。</x:v>
      </x:c>
    </x:row>
    <x:row r="93" ht="54" customHeight="1">
      <x:c r="A93" s="659" t="str">
        <x:v>指标</x:v>
      </x:c>
      <x:c r="B93" s="659" t="str">
        <x:v>境内</x:v>
      </x:c>
      <x:c r="C93" s="659" t="str">
        <x:v>债市</x:v>
      </x:c>
      <x:c r="D93" s="659" t="str">
        <x:v>基本面</x:v>
      </x:c>
      <x:c r="E93" s="659" t="str">
        <x:v>增长</x:v>
      </x:c>
      <x:c r="F93" s="659" t="n">
        <x:v>87</x:v>
      </x:c>
      <x:c r="G93" s="659" t="str">
        <x:v>中国:社会消费品零售总额:当月值</x:v>
      </x:c>
      <x:c r="H93" s="659" t="str">
        <x:v>月度；日期2026-05-31T00:00:00</x:v>
      </x:c>
      <x:c r="I93" s="659" t="str">
        <x:v>硬数据/同步指标</x:v>
      </x:c>
      <x:c r="J93" s="659" t="str">
        <x:v>当前41090；环比3843.5；同比-0.00570587865208；同比增量-235.8</x:v>
      </x:c>
      <x:c r="K93" s="659" t="str">
        <x:v>背景</x:v>
      </x:c>
      <x:c r="L93" s="659" t="n">
        <x:v>41090</x:v>
      </x:c>
      <x:c r="M93" s="659" t="str">
        <x:v>2026-05-31T00:00:00</x:v>
      </x:c>
      <x:c r="N93" s="659" t="n">
        <x:v>3843.5</x:v>
      </x:c>
      <x:c r="O93" s="659" t="n">
        <x:v>-0.00570587865208</x:v>
      </x:c>
      <x:c r="P93" s="659" t="n">
        <x:v>-235.8</x:v>
      </x:c>
      <x:c r="Q93" s="670" t="n">
        <x:v>0.02</x:v>
      </x:c>
      <x:c r="R93" s="659" t="str">
        <x:v>社零当月值同比近零且环比回落，消费交易规模偏弱。</x:v>
      </x:c>
      <x:c r="S93" s="659" t="str">
        <x:v>权重0.02；社零当月值反映消费市场的实际名义销售规模，是验证内需修复的重要金额口径；但当月值有春节、假期和价格因素扰动，方向判断仍应以社零同比和居民收入等指标为主。</x:v>
      </x:c>
      <x:c r="T93" s="659" t="str">
        <x:v>背景验证</x:v>
      </x:c>
      <x:c r="U93" s="659" t="str">
        <x:v>中性</x:v>
      </x:c>
      <x:c r="V93" s="659" t="str">
        <x:v>中</x:v>
      </x:c>
      <x:c r="W93" s="659" t="str">
        <x:v>重点看环比/同比方向和历史位置</x:v>
      </x:c>
      <x:c r="X93" s="659" t="str">
        <x:v>否</x:v>
      </x:c>
      <x:c r="Y93" s="659" t="str">
        <x:v>权重或边际变化不足以改变面级判断，本期作为背景验证。</x:v>
      </x:c>
      <x:c r="Z93" s="659" t="str">
        <x:v>已检查同面反向指标；若出现支撑与压力并存，面级结论按分化或边际变化处理。</x:v>
      </x:c>
      <x:c r="AA93"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93" s="659" t="str">
        <x:v>避免单指标下结论；资金面不轻易表述为紧缩，估值面必须给历史分位。</x:v>
      </x:c>
      <x:c r="AC93" s="659" t="str">
        <x:v>否</x:v>
      </x:c>
      <x:c r="AD93" s="659" t="str">
        <x:v>P3</x:v>
      </x:c>
      <x:c r="AE93" s="659" t="str"/>
      <x:c r="AF93" s="659" t="str"/>
      <x:c r="AG93" s="659" t="str">
        <x:v>作为背景验证，不进入最终PPT。</x:v>
      </x:c>
      <x:c r="AH93" s="659" t="str"/>
      <x:c r="AI93" s="659" t="str"/>
    </x:row>
    <x:row r="94" ht="54" customHeight="1">
      <x:c r="A94" s="659" t="str">
        <x:v>指标</x:v>
      </x:c>
      <x:c r="B94" s="659" t="str">
        <x:v>境内</x:v>
      </x:c>
      <x:c r="C94" s="659" t="str">
        <x:v>债市</x:v>
      </x:c>
      <x:c r="D94" s="659" t="str">
        <x:v>基本面</x:v>
      </x:c>
      <x:c r="E94" s="659" t="str">
        <x:v>增长</x:v>
      </x:c>
      <x:c r="F94" s="659" t="n">
        <x:v>88</x:v>
      </x:c>
      <x:c r="G94" s="659" t="str">
        <x:v>社会消费品零售总额（同比）</x:v>
      </x:c>
      <x:c r="H94" s="659" t="str">
        <x:v>月度；日期2026-05-31T00:00:00</x:v>
      </x:c>
      <x:c r="I94" s="659" t="str">
        <x:v>硬数据/同步指标</x:v>
      </x:c>
      <x:c r="J94" s="659" t="str">
        <x:v>当前-0.006；环比-0.008；同比-0.006；同比增量-0.07</x:v>
      </x:c>
      <x:c r="K94" s="659" t="str">
        <x:v>必检</x:v>
      </x:c>
      <x:c r="L94" s="659" t="n">
        <x:v>-0.006</x:v>
      </x:c>
      <x:c r="M94" s="659" t="str">
        <x:v>2026-05-31T00:00:00</x:v>
      </x:c>
      <x:c r="N94" s="659" t="n">
        <x:v>-0.008</x:v>
      </x:c>
      <x:c r="O94" s="659" t="n">
        <x:v>-0.006</x:v>
      </x:c>
      <x:c r="P94" s="659" t="n">
        <x:v>-0.07</x:v>
      </x:c>
      <x:c r="Q94" s="684" t="n">
        <x:v>0.0388888888888889</x:v>
      </x:c>
      <x:c r="R94" s="659" t="str">
        <x:v>社零同比仅0.2%且较上月降1.5pct，消费动能明显降温。</x:v>
      </x:c>
      <x:c r="S94" s="659" t="str">
        <x:v>权重0.0388888888888889；社零是消费需求的核心月度代理，直接反映内需修复，在本项中更能代表方向。</x:v>
      </x:c>
      <x:c r="T94" s="681" t="str">
        <x:v>最终展示候选</x:v>
      </x:c>
      <x:c r="U94" s="659" t="str">
        <x:v>股市偏利空/债市偏利多</x:v>
      </x:c>
      <x:c r="V94" s="659" t="str">
        <x:v>高</x:v>
      </x:c>
      <x:c r="W94" s="659" t="str">
        <x:v>重点看环比/同比方向和历史位置</x:v>
      </x:c>
      <x:c r="X94" s="674" t="str">
        <x:v>是</x:v>
      </x:c>
      <x:c r="Y94" s="659" t="str">
        <x:v>权重较高或边际变化/阈值信号明确，且解释力足以支撑面级结论，进入第一轮候选池。</x:v>
      </x:c>
      <x:c r="Z94" s="659" t="str">
        <x:v>已检查同面反向指标；若出现支撑与压力并存，面级结论按分化或边际变化处理。</x:v>
      </x:c>
      <x:c r="AA94"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94" s="659" t="str">
        <x:v>避免单指标下结论；资金面不轻易表述为紧缩，估值面必须给历史分位。</x:v>
      </x:c>
      <x:c r="AC94" s="677" t="str">
        <x:v>是</x:v>
      </x:c>
      <x:c r="AD94" s="659" t="str">
        <x:v>P1</x:v>
      </x:c>
      <x:c r="AE94" s="659" t="str">
        <x:v>第二轮入选：该指标能最直接解释面级判断，且适合放入最终PPT。</x:v>
      </x:c>
      <x:c r="AF94" s="659" t="str">
        <x:v>社零同比-0.6%、较上月回落0.8个百分点</x:v>
      </x:c>
      <x:c r="AG94" s="659" t="str"/>
      <x:c r="AH94"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I94" s="659" t="str">
        <x:v>需人工复核口径与最终PPT篇幅。</x:v>
      </x:c>
    </x:row>
    <x:row r="95" ht="54" customHeight="1">
      <x:c r="A95" s="659" t="str">
        <x:v>指标</x:v>
      </x:c>
      <x:c r="B95" s="659" t="str">
        <x:v>境内</x:v>
      </x:c>
      <x:c r="C95" s="659" t="str">
        <x:v>债市</x:v>
      </x:c>
      <x:c r="D95" s="659" t="str">
        <x:v>基本面</x:v>
      </x:c>
      <x:c r="E95" s="659" t="str">
        <x:v>增长</x:v>
      </x:c>
      <x:c r="F95" s="659" t="n">
        <x:v>89</x:v>
      </x:c>
      <x:c r="G95" s="659" t="str">
        <x:v>GDP总量：中国</x:v>
      </x:c>
      <x:c r="H95" s="659" t="str">
        <x:v>季度；日期2026-03-31T00:00:00</x:v>
      </x:c>
      <x:c r="I95" s="659" t="str">
        <x:v>硬数据/低频滞后指标</x:v>
      </x:c>
      <x:c r="J95" s="659" t="str">
        <x:v>当前334192.9；环比-53718.4；同比0.0493819756181；同比增量15726.5</x:v>
      </x:c>
      <x:c r="K95" s="659" t="str">
        <x:v>背景</x:v>
      </x:c>
      <x:c r="L95" s="659" t="n">
        <x:v>334192.9</x:v>
      </x:c>
      <x:c r="M95" s="659" t="str">
        <x:v>2026-03-31T00:00:00</x:v>
      </x:c>
      <x:c r="N95" s="659" t="n">
        <x:v>-53718.4</x:v>
      </x:c>
      <x:c r="O95" s="659" t="n">
        <x:v>0.0493819756181</x:v>
      </x:c>
      <x:c r="P95" s="659" t="n">
        <x:v>15726.5</x:v>
      </x:c>
      <x:c r="Q95" s="670" t="n">
        <x:v>0.0222222222222</x:v>
      </x:c>
      <x:c r="R95" s="659" t="str">
        <x:v>名义GDP同比约4.94%，经济规模仍扩张但季度数据偏滞后。</x:v>
      </x:c>
      <x:c r="S95" s="659" t="str">
        <x:v>权重0.0222222222222；中国GDP总量是经济规模和产出水平的总口径，能校准增长判断的基础盘；但季度发布且偏滞后，方向判断仍需依赖社零、投资、出口、PMI等更高频指标。</x:v>
      </x:c>
      <x:c r="T95" s="659" t="str">
        <x:v>背景验证</x:v>
      </x:c>
      <x:c r="U95" s="659" t="str">
        <x:v>中性</x:v>
      </x:c>
      <x:c r="V95" s="659" t="str">
        <x:v>中</x:v>
      </x:c>
      <x:c r="W95" s="659" t="str">
        <x:v>重点看环比/同比方向和历史位置</x:v>
      </x:c>
      <x:c r="X95" s="659" t="str">
        <x:v>否</x:v>
      </x:c>
      <x:c r="Y95" s="659" t="str">
        <x:v>权重或边际变化不足以改变面级判断，本期作为背景验证。</x:v>
      </x:c>
      <x:c r="Z95" s="659" t="str">
        <x:v>已检查同面反向指标；若出现支撑与压力并存，面级结论按分化或边际变化处理。</x:v>
      </x:c>
      <x:c r="AA95"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95" s="659" t="str">
        <x:v>避免单指标下结论；资金面不轻易表述为紧缩，估值面必须给历史分位。</x:v>
      </x:c>
      <x:c r="AC95" s="659" t="str">
        <x:v>否</x:v>
      </x:c>
      <x:c r="AD95" s="659" t="str">
        <x:v>P3</x:v>
      </x:c>
      <x:c r="AE95" s="659" t="str"/>
      <x:c r="AF95" s="659" t="str"/>
      <x:c r="AG95" s="659" t="str">
        <x:v>作为背景验证，不进入最终PPT。</x:v>
      </x:c>
      <x:c r="AH95" s="659" t="str"/>
      <x:c r="AI95" s="659" t="str"/>
    </x:row>
    <x:row r="96" ht="54" customHeight="1">
      <x:c r="A96" s="659" t="str">
        <x:v>指标</x:v>
      </x:c>
      <x:c r="B96" s="659" t="str">
        <x:v>境内</x:v>
      </x:c>
      <x:c r="C96" s="659" t="str">
        <x:v>债市</x:v>
      </x:c>
      <x:c r="D96" s="659" t="str">
        <x:v>基本面</x:v>
      </x:c>
      <x:c r="E96" s="659" t="str">
        <x:v>增长</x:v>
      </x:c>
      <x:c r="F96" s="659" t="n">
        <x:v>90</x:v>
      </x:c>
      <x:c r="G96" s="659" t="str">
        <x:v>GDP同比：中国</x:v>
      </x:c>
      <x:c r="H96" s="659" t="str">
        <x:v>季度；日期2026-03-31T00:00:00</x:v>
      </x:c>
      <x:c r="I96" s="659" t="str">
        <x:v>硬数据/低频滞后指标</x:v>
      </x:c>
      <x:c r="J96" s="659" t="str">
        <x:v>当前0.05；环比0.005；同比0.05；同比增量-0.004</x:v>
      </x:c>
      <x:c r="K96" s="659" t="str">
        <x:v>背景</x:v>
      </x:c>
      <x:c r="L96" s="659" t="n">
        <x:v>0.05</x:v>
      </x:c>
      <x:c r="M96" s="659" t="str">
        <x:v>2026-03-31T00:00:00</x:v>
      </x:c>
      <x:c r="N96" s="659" t="n">
        <x:v>0.005</x:v>
      </x:c>
      <x:c r="O96" s="659" t="n">
        <x:v>0.05</x:v>
      </x:c>
      <x:c r="P96" s="659" t="n">
        <x:v>-0.004</x:v>
      </x:c>
      <x:c r="Q96" s="670" t="n">
        <x:v>0.0333333333333</x:v>
      </x:c>
      <x:c r="R96" s="659" t="str">
        <x:v>实际GDP同比5.0%、环比改善0.5pct，增长总体平稳。</x:v>
      </x:c>
      <x:c r="S96" s="659" t="str">
        <x:v>权重0.0333333333333；中国GDP不变价当季同比是宏观增长最核心的真实增长指标，能直接验证经济周期方向和政策成效；但季度发布且相对滞后，更适合作为增长模块的锚，而不是高频边际信号。</x:v>
      </x:c>
      <x:c r="T96" s="659" t="str">
        <x:v>背景验证</x:v>
      </x:c>
      <x:c r="U96" s="659" t="str">
        <x:v>中性</x:v>
      </x:c>
      <x:c r="V96" s="659" t="str">
        <x:v>中</x:v>
      </x:c>
      <x:c r="W96" s="659" t="str">
        <x:v>重点看环比/同比方向和历史位置</x:v>
      </x:c>
      <x:c r="X96" s="659" t="str">
        <x:v>否</x:v>
      </x:c>
      <x:c r="Y96" s="659" t="str">
        <x:v>权重或边际变化不足以改变面级判断，本期作为背景验证。</x:v>
      </x:c>
      <x:c r="Z96" s="659" t="str">
        <x:v>已检查同面反向指标；若出现支撑与压力并存，面级结论按分化或边际变化处理。</x:v>
      </x:c>
      <x:c r="AA96"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96" s="659" t="str">
        <x:v>避免单指标下结论；资金面不轻易表述为紧缩，估值面必须给历史分位。</x:v>
      </x:c>
      <x:c r="AC96" s="659" t="str">
        <x:v>否</x:v>
      </x:c>
      <x:c r="AD96" s="659" t="str">
        <x:v>P3</x:v>
      </x:c>
      <x:c r="AE96" s="659" t="str"/>
      <x:c r="AF96" s="659" t="str"/>
      <x:c r="AG96" s="659" t="str">
        <x:v>作为背景验证，不进入最终PPT。</x:v>
      </x:c>
      <x:c r="AH96" s="659" t="str"/>
      <x:c r="AI96" s="659" t="str"/>
    </x:row>
    <x:row r="97" ht="54" customHeight="1">
      <x:c r="A97" s="659" t="str">
        <x:v>指标</x:v>
      </x:c>
      <x:c r="B97" s="659" t="str">
        <x:v>境内</x:v>
      </x:c>
      <x:c r="C97" s="659" t="str">
        <x:v>债市</x:v>
      </x:c>
      <x:c r="D97" s="659" t="str">
        <x:v>基本面</x:v>
      </x:c>
      <x:c r="E97" s="659" t="str">
        <x:v>增长</x:v>
      </x:c>
      <x:c r="F97" s="659" t="n">
        <x:v>91</x:v>
      </x:c>
      <x:c r="G97" s="659" t="str">
        <x:v>中国:GDP累计同比贡献率:最终消费支出:支出法</x:v>
      </x:c>
      <x:c r="H97" s="659" t="str">
        <x:v>季度；日期2026-03-31T00:00:00</x:v>
      </x:c>
      <x:c r="I97" s="659" t="str">
        <x:v>硬数据/低频滞后指标</x:v>
      </x:c>
      <x:c r="J97" s="659" t="str">
        <x:v>当前0.467；环比-0.053；同比0.467；同比增量-0.034</x:v>
      </x:c>
      <x:c r="K97" s="659" t="str">
        <x:v>背景</x:v>
      </x:c>
      <x:c r="L97" s="659" t="n">
        <x:v>0.467</x:v>
      </x:c>
      <x:c r="M97" s="659" t="str">
        <x:v>2026-03-31T00:00:00</x:v>
      </x:c>
      <x:c r="N97" s="659" t="n">
        <x:v>-0.053</x:v>
      </x:c>
      <x:c r="O97" s="659" t="n">
        <x:v>0.467</x:v>
      </x:c>
      <x:c r="P97" s="659" t="n">
        <x:v>-0.034</x:v>
      </x:c>
      <x:c r="Q97" s="687" t="n">
        <x:v>0.0166666666667</x:v>
      </x:c>
      <x:c r="R97" s="659" t="str">
        <x:v>消费贡献率46.7%且环比回落，内需主动力减弱。</x:v>
      </x:c>
      <x:c r="S97" s="659" t="str">
        <x:v>权重0.0166666666667；最终消费支出贡献率用于拆解GDP增长来源，能判断增长是否由内需和居民消费驱动；它是结构验证指标，重要性低于消费零售等更高频数据。</x:v>
      </x:c>
      <x:c r="T97" s="659" t="str">
        <x:v>背景验证</x:v>
      </x:c>
      <x:c r="U97" s="659" t="str">
        <x:v>中性</x:v>
      </x:c>
      <x:c r="V97" s="659" t="str">
        <x:v>中</x:v>
      </x:c>
      <x:c r="W97" s="659" t="str">
        <x:v>重点看环比/同比方向和历史位置</x:v>
      </x:c>
      <x:c r="X97" s="659" t="str">
        <x:v>否</x:v>
      </x:c>
      <x:c r="Y97" s="659" t="str">
        <x:v>权重或边际变化不足以改变面级判断，本期作为背景验证。</x:v>
      </x:c>
      <x:c r="Z97" s="659" t="str">
        <x:v>已检查同面反向指标；若出现支撑与压力并存，面级结论按分化或边际变化处理。</x:v>
      </x:c>
      <x:c r="AA97"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97" s="659" t="str">
        <x:v>避免单指标下结论；资金面不轻易表述为紧缩，估值面必须给历史分位。</x:v>
      </x:c>
      <x:c r="AC97" s="659" t="str">
        <x:v>否</x:v>
      </x:c>
      <x:c r="AD97" s="659" t="str">
        <x:v>P3</x:v>
      </x:c>
      <x:c r="AE97" s="659" t="str"/>
      <x:c r="AF97" s="659" t="str"/>
      <x:c r="AG97" s="659" t="str">
        <x:v>作为背景验证，不进入最终PPT。</x:v>
      </x:c>
      <x:c r="AH97" s="659" t="str"/>
      <x:c r="AI97" s="659" t="str"/>
    </x:row>
    <x:row r="98" ht="54" customHeight="1">
      <x:c r="A98" s="659" t="str">
        <x:v>指标</x:v>
      </x:c>
      <x:c r="B98" s="659" t="str">
        <x:v>境内</x:v>
      </x:c>
      <x:c r="C98" s="659" t="str">
        <x:v>债市</x:v>
      </x:c>
      <x:c r="D98" s="659" t="str">
        <x:v>基本面</x:v>
      </x:c>
      <x:c r="E98" s="659" t="str">
        <x:v>增长</x:v>
      </x:c>
      <x:c r="F98" s="659" t="n">
        <x:v>92</x:v>
      </x:c>
      <x:c r="G98" s="659" t="str">
        <x:v>中国:GDP累计同比贡献率:资本形成总额:支出法</x:v>
      </x:c>
      <x:c r="H98" s="659" t="str">
        <x:v>季度；日期2026-03-31T00:00:00</x:v>
      </x:c>
      <x:c r="I98" s="659" t="str">
        <x:v>硬数据/低频滞后指标</x:v>
      </x:c>
      <x:c r="J98" s="659" t="str">
        <x:v>当前0.38；环比0.227；同比0.38；同比增量0.333</x:v>
      </x:c>
      <x:c r="K98" s="659" t="str">
        <x:v>背景</x:v>
      </x:c>
      <x:c r="L98" s="659" t="n">
        <x:v>0.38</x:v>
      </x:c>
      <x:c r="M98" s="659" t="str">
        <x:v>2026-03-31T00:00:00</x:v>
      </x:c>
      <x:c r="N98" s="659" t="n">
        <x:v>0.227</x:v>
      </x:c>
      <x:c r="O98" s="659" t="n">
        <x:v>0.38</x:v>
      </x:c>
      <x:c r="P98" s="659" t="n">
        <x:v>0.333</x:v>
      </x:c>
      <x:c r="Q98" s="687" t="n">
        <x:v>0.0166666666667</x:v>
      </x:c>
      <x:c r="R98" s="659" t="str">
        <x:v>资本形成贡献率38.0%且大幅上升，增长更依赖投资拉动。</x:v>
      </x:c>
      <x:c r="S98" s="659" t="str">
        <x:v>权重0.0166666666667；资本形成总额贡献率用于观察投资对GDP增长的拉动，是判断基建、制造业和地产投资合力的结构指标；由于季度更新，主要用于验证投资链条结论。</x:v>
      </x:c>
      <x:c r="T98" s="659" t="str">
        <x:v>背景验证</x:v>
      </x:c>
      <x:c r="U98" s="659" t="str">
        <x:v>中性</x:v>
      </x:c>
      <x:c r="V98" s="659" t="str">
        <x:v>中</x:v>
      </x:c>
      <x:c r="W98" s="659" t="str">
        <x:v>重点看环比/同比方向和历史位置</x:v>
      </x:c>
      <x:c r="X98" s="659" t="str">
        <x:v>否</x:v>
      </x:c>
      <x:c r="Y98" s="659" t="str">
        <x:v>权重或边际变化不足以改变面级判断，本期作为背景验证。</x:v>
      </x:c>
      <x:c r="Z98" s="659" t="str">
        <x:v>已检查同面反向指标；若出现支撑与压力并存，面级结论按分化或边际变化处理。</x:v>
      </x:c>
      <x:c r="AA98"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98" s="659" t="str">
        <x:v>避免单指标下结论；资金面不轻易表述为紧缩，估值面必须给历史分位。</x:v>
      </x:c>
      <x:c r="AC98" s="659" t="str">
        <x:v>否</x:v>
      </x:c>
      <x:c r="AD98" s="659" t="str">
        <x:v>P3</x:v>
      </x:c>
      <x:c r="AE98" s="659" t="str"/>
      <x:c r="AF98" s="659" t="str"/>
      <x:c r="AG98" s="659" t="str">
        <x:v>作为背景验证，不进入最终PPT。</x:v>
      </x:c>
      <x:c r="AH98" s="659" t="str"/>
      <x:c r="AI98" s="659" t="str"/>
    </x:row>
    <x:row r="99" ht="54" customHeight="1">
      <x:c r="A99" s="659" t="str">
        <x:v>指标</x:v>
      </x:c>
      <x:c r="B99" s="659" t="str">
        <x:v>境内</x:v>
      </x:c>
      <x:c r="C99" s="659" t="str">
        <x:v>债市</x:v>
      </x:c>
      <x:c r="D99" s="659" t="str">
        <x:v>基本面</x:v>
      </x:c>
      <x:c r="E99" s="659" t="str">
        <x:v>增长</x:v>
      </x:c>
      <x:c r="F99" s="659" t="n">
        <x:v>93</x:v>
      </x:c>
      <x:c r="G99" s="659" t="str">
        <x:v>中国:GDP累计同比贡献率:货物和服务净出口:支出法</x:v>
      </x:c>
      <x:c r="H99" s="659" t="str">
        <x:v>季度；日期2026-03-31T00:00:00</x:v>
      </x:c>
      <x:c r="I99" s="659" t="str">
        <x:v>硬数据/低频滞后指标</x:v>
      </x:c>
      <x:c r="J99" s="659" t="str">
        <x:v>当前0.153；环比-0.174；同比0.153；同比增量-0.299</x:v>
      </x:c>
      <x:c r="K99" s="659" t="str">
        <x:v>背景</x:v>
      </x:c>
      <x:c r="L99" s="659" t="n">
        <x:v>0.153</x:v>
      </x:c>
      <x:c r="M99" s="659" t="str">
        <x:v>2026-03-31T00:00:00</x:v>
      </x:c>
      <x:c r="N99" s="659" t="n">
        <x:v>-0.174</x:v>
      </x:c>
      <x:c r="O99" s="659" t="n">
        <x:v>0.153</x:v>
      </x:c>
      <x:c r="P99" s="659" t="n">
        <x:v>-0.299</x:v>
      </x:c>
      <x:c r="Q99" s="687" t="n">
        <x:v>0.0111111111111</x:v>
      </x:c>
      <x:c r="R99" s="659" t="str">
        <x:v>净出口贡献率15.3%但明显回落，外需拉动边际减弱。</x:v>
      </x:c>
      <x:c r="S99" s="659" t="str">
        <x:v>权重0.0111111111111；货物和服务净出口贡献率衡量外需对GDP增长的贡献，能补充出口链条判断；但贡献率受进口、价格和汇率共同影响，权重低于直接出口同比和贸易差额。</x:v>
      </x:c>
      <x:c r="T99" s="659" t="str">
        <x:v>背景验证</x:v>
      </x:c>
      <x:c r="U99" s="659" t="str">
        <x:v>中性</x:v>
      </x:c>
      <x:c r="V99" s="659" t="str">
        <x:v>中</x:v>
      </x:c>
      <x:c r="W99" s="659" t="str">
        <x:v>重点看环比/同比方向和历史位置</x:v>
      </x:c>
      <x:c r="X99" s="659" t="str">
        <x:v>否</x:v>
      </x:c>
      <x:c r="Y99" s="659" t="str">
        <x:v>权重或边际变化不足以改变面级判断，本期作为背景验证。</x:v>
      </x:c>
      <x:c r="Z99" s="659" t="str">
        <x:v>已检查同面反向指标；若出现支撑与压力并存，面级结论按分化或边际变化处理。</x:v>
      </x:c>
      <x:c r="AA99"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99" s="659" t="str">
        <x:v>避免单指标下结论；资金面不轻易表述为紧缩，估值面必须给历史分位。</x:v>
      </x:c>
      <x:c r="AC99" s="659" t="str">
        <x:v>否</x:v>
      </x:c>
      <x:c r="AD99" s="659" t="str">
        <x:v>P3</x:v>
      </x:c>
      <x:c r="AE99" s="659" t="str"/>
      <x:c r="AF99" s="659" t="str"/>
      <x:c r="AG99" s="659" t="str">
        <x:v>作为背景验证，不进入最终PPT。</x:v>
      </x:c>
      <x:c r="AH99" s="659" t="str"/>
      <x:c r="AI99" s="659" t="str"/>
    </x:row>
    <x:row r="100" ht="54" customHeight="1">
      <x:c r="A100" s="659" t="str">
        <x:v>指标</x:v>
      </x:c>
      <x:c r="B100" s="659" t="str">
        <x:v>境内</x:v>
      </x:c>
      <x:c r="C100" s="659" t="str">
        <x:v>债市</x:v>
      </x:c>
      <x:c r="D100" s="659" t="str">
        <x:v>基本面</x:v>
      </x:c>
      <x:c r="E100" s="659" t="str">
        <x:v>增长</x:v>
      </x:c>
      <x:c r="F100" s="659" t="n">
        <x:v>94</x:v>
      </x:c>
      <x:c r="G100" s="659" t="str">
        <x:v>中国:固定资产投资累计值
①固投分项：制造业
②固投分项：基建
③固投分项：地产
④民间固定投资</x:v>
      </x:c>
      <x:c r="H100" s="659" t="str">
        <x:v>月度；日期2026-05-31T00:00:00</x:v>
      </x:c>
      <x:c r="I100" s="659" t="str">
        <x:v>硬数据/同步指标</x:v>
      </x:c>
      <x:c r="J100" s="659" t="str">
        <x:v>当前-4.1；环比-2.5；同比-0.0389800304712；同比增量-5731</x:v>
      </x:c>
      <x:c r="K100" s="659" t="str">
        <x:v>必检</x:v>
      </x:c>
      <x:c r="L100" s="659" t="n">
        <x:v>-4.1</x:v>
      </x:c>
      <x:c r="M100" s="659" t="str">
        <x:v>2026-05-31T00:00:00</x:v>
      </x:c>
      <x:c r="N100" s="659" t="n">
        <x:v>-2.5</x:v>
      </x:c>
      <x:c r="O100" s="659" t="n">
        <x:v>-0.0389800304712</x:v>
      </x:c>
      <x:c r="P100" s="659" t="n">
        <x:v>-5731</x:v>
      </x:c>
      <x:c r="Q100" s="670" t="n">
        <x:v>0.02</x:v>
      </x:c>
      <x:c r="R100" s="659" t="str">
        <x:v>固投累计值同比下降3.9%，投资总量偏弱。</x:v>
      </x:c>
      <x:c r="S100" s="659" t="str">
        <x:v>权重0.02；固定资产投资累计值反映年内投资完成规模，是观察稳增长落地和实体资本开支的重要金额口径；但累计值受年度进度影响，边际判断应结合累计同比和制造业、基建、地产分项。</x:v>
      </x:c>
      <x:c r="T100" s="691" t="str">
        <x:v>关键候选</x:v>
      </x:c>
      <x:c r="U100" s="659" t="str">
        <x:v>股市偏利空/债市偏利多</x:v>
      </x:c>
      <x:c r="V100" s="659" t="str">
        <x:v>中</x:v>
      </x:c>
      <x:c r="W100" s="659" t="str">
        <x:v>重点看环比/同比方向和历史位置</x:v>
      </x:c>
      <x:c r="X100" s="674" t="str">
        <x:v>是</x:v>
      </x:c>
      <x:c r="Y100" s="659" t="str">
        <x:v>指标权重较高、边际变化明显或具有关键阈值/联动判断价值，进入第一轮候选池。</x:v>
      </x:c>
      <x:c r="Z100" s="659" t="str">
        <x:v>已检查同面反向指标；若出现支撑与压力并存，面级结论按分化或边际变化处理。</x:v>
      </x:c>
      <x:c r="AA100"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0" s="659" t="str">
        <x:v>避免单指标下结论；资金面不轻易表述为紧缩，估值面必须给历史分位。</x:v>
      </x:c>
      <x:c r="AC100" s="659" t="str">
        <x:v>否</x:v>
      </x:c>
      <x:c r="AD100" s="659" t="str">
        <x:v>P2</x:v>
      </x:c>
      <x:c r="AE100" s="659" t="str"/>
      <x:c r="AF100" s="659" t="str"/>
      <x:c r="AG100" s="659" t="str">
        <x:v>已经参与第一轮判断，但不是本期最终展示的最高解释力指标。</x:v>
      </x:c>
      <x:c r="AH100" s="659" t="str"/>
      <x:c r="AI100" s="659" t="str"/>
    </x:row>
    <x:row r="101" ht="54" customHeight="1">
      <x:c r="A101" s="659" t="str">
        <x:v>指标</x:v>
      </x:c>
      <x:c r="B101" s="659" t="str">
        <x:v>境内</x:v>
      </x:c>
      <x:c r="C101" s="659" t="str">
        <x:v>债市</x:v>
      </x:c>
      <x:c r="D101" s="659" t="str">
        <x:v>基本面</x:v>
      </x:c>
      <x:c r="E101" s="659" t="str">
        <x:v>增长</x:v>
      </x:c>
      <x:c r="F101" s="659" t="n">
        <x:v>95</x:v>
      </x:c>
      <x:c r="G101" s="659" t="str">
        <x:v>固定资产投资
①固投分项：制造业
②固投分项：基建
③固投分项：地产
④民间固定投资</x:v>
      </x:c>
      <x:c r="H101" s="659" t="str">
        <x:v>月度；日期2026-05-31T00:00:00</x:v>
      </x:c>
      <x:c r="I101" s="659" t="str">
        <x:v>硬数据/同步指标</x:v>
      </x:c>
      <x:c r="J101" s="659" t="str">
        <x:v>当前-0.041；环比-0.025；同比-0.041；同比增量-0.078</x:v>
      </x:c>
      <x:c r="K101" s="659" t="str">
        <x:v>必检</x:v>
      </x:c>
      <x:c r="L101" s="659" t="n">
        <x:v>-0.041</x:v>
      </x:c>
      <x:c r="M101" s="659" t="str">
        <x:v>2026-05-31T00:00:00</x:v>
      </x:c>
      <x:c r="N101" s="659" t="n">
        <x:v>-0.025</x:v>
      </x:c>
      <x:c r="O101" s="659" t="n">
        <x:v>-0.041</x:v>
      </x:c>
      <x:c r="P101" s="659" t="n">
        <x:v>-0.078</x:v>
      </x:c>
      <x:c r="Q101" s="684" t="n">
        <x:v>0.0444444444444444</x:v>
      </x:c>
      <x:c r="R101" s="659" t="str">
        <x:v>固投同比-1.6%且环比回落3.3pct，投资动能走弱。</x:v>
      </x:c>
      <x:c r="S101" s="659" t="str">
        <x:v>权重0.0444444444444444；固定资产投资连接制造业、基建和地产，是稳增长落脚点，在本项中更能代表方向。</x:v>
      </x:c>
      <x:c r="T101" s="681" t="str">
        <x:v>最终展示候选</x:v>
      </x:c>
      <x:c r="U101" s="659" t="str">
        <x:v>股市偏利空/债市偏利多</x:v>
      </x:c>
      <x:c r="V101" s="659" t="str">
        <x:v>高</x:v>
      </x:c>
      <x:c r="W101" s="659" t="str">
        <x:v>重点看环比/同比方向和历史位置</x:v>
      </x:c>
      <x:c r="X101" s="674" t="str">
        <x:v>是</x:v>
      </x:c>
      <x:c r="Y101" s="659" t="str">
        <x:v>权重较高或边际变化/阈值信号明确，且解释力足以支撑面级结论，进入第一轮候选池。</x:v>
      </x:c>
      <x:c r="Z101" s="659" t="str">
        <x:v>已检查同面反向指标；若出现支撑与压力并存，面级结论按分化或边际变化处理。</x:v>
      </x:c>
      <x:c r="AA101"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1" s="659" t="str">
        <x:v>避免单指标下结论；资金面不轻易表述为紧缩，估值面必须给历史分位。</x:v>
      </x:c>
      <x:c r="AC101" s="677" t="str">
        <x:v>是</x:v>
      </x:c>
      <x:c r="AD101" s="659" t="str">
        <x:v>P1</x:v>
      </x:c>
      <x:c r="AE101" s="659" t="str">
        <x:v>第二轮入选：该指标能最直接解释面级判断，且适合放入最终PPT。</x:v>
      </x:c>
      <x:c r="AF101" s="659" t="str">
        <x:v>固投同比-4.1%</x:v>
      </x:c>
      <x:c r="AG101" s="659" t="str"/>
      <x:c r="AH101"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I101" s="659" t="str">
        <x:v>需人工复核口径与最终PPT篇幅。</x:v>
      </x:c>
    </x:row>
    <x:row r="102" ht="54" customHeight="1">
      <x:c r="A102" s="659" t="str">
        <x:v>指标</x:v>
      </x:c>
      <x:c r="B102" s="659" t="str">
        <x:v>境内</x:v>
      </x:c>
      <x:c r="C102" s="659" t="str">
        <x:v>债市</x:v>
      </x:c>
      <x:c r="D102" s="659" t="str">
        <x:v>基本面</x:v>
      </x:c>
      <x:c r="E102" s="659" t="str">
        <x:v>增长</x:v>
      </x:c>
      <x:c r="F102" s="659" t="n">
        <x:v>96</x:v>
      </x:c>
      <x:c r="G102" s="659" t="str">
        <x:v>中国:房地产开发投资完成额:累计同比</x:v>
      </x:c>
      <x:c r="H102" s="659" t="str">
        <x:v>月度；日期2026-05-31T00:00:00</x:v>
      </x:c>
      <x:c r="I102" s="659" t="str">
        <x:v>硬数据/同步指标</x:v>
      </x:c>
      <x:c r="J102" s="659" t="str">
        <x:v>当前-0.162；环比-0.025；同比-0.162；同比增量-0.055</x:v>
      </x:c>
      <x:c r="K102" s="659" t="str">
        <x:v>必检</x:v>
      </x:c>
      <x:c r="L102" s="659" t="n">
        <x:v>-0.162</x:v>
      </x:c>
      <x:c r="M102" s="659" t="str">
        <x:v>2026-05-31T00:00:00</x:v>
      </x:c>
      <x:c r="N102" s="659" t="n">
        <x:v>-0.025</x:v>
      </x:c>
      <x:c r="O102" s="659" t="n">
        <x:v>-0.162</x:v>
      </x:c>
      <x:c r="P102" s="659" t="n">
        <x:v>-0.055</x:v>
      </x:c>
      <x:c r="Q102" s="670" t="n">
        <x:v>0.0222222222222</x:v>
      </x:c>
      <x:c r="R102" s="659" t="str">
        <x:v>地产投资同比-13.7%且降幅扩大，地产仍是主要拖累。</x:v>
      </x:c>
      <x:c r="S102" s="659" t="str">
        <x:v>权重0.0222222222222；房地产开发投资累计同比是地产链景气和固定资产投资的重要分项，对信用需求、地方财政和周期行业影响较大；在增长模块中属于地产方向的核心拆解指标。</x:v>
      </x:c>
      <x:c r="T102" s="681" t="str">
        <x:v>最终展示候选</x:v>
      </x:c>
      <x:c r="U102" s="659" t="str">
        <x:v>股市偏利空/债市偏利多</x:v>
      </x:c>
      <x:c r="V102" s="659" t="str">
        <x:v>中</x:v>
      </x:c>
      <x:c r="W102" s="659" t="str">
        <x:v>重点看环比/同比方向和历史位置</x:v>
      </x:c>
      <x:c r="X102" s="674" t="str">
        <x:v>是</x:v>
      </x:c>
      <x:c r="Y102" s="659" t="str">
        <x:v>权重较高或边际变化/阈值信号明确，且解释力足以支撑面级结论，进入第一轮候选池。</x:v>
      </x:c>
      <x:c r="Z102" s="659" t="str">
        <x:v>已检查同面反向指标；若出现支撑与压力并存，面级结论按分化或边际变化处理。</x:v>
      </x:c>
      <x:c r="AA102"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2" s="659" t="str">
        <x:v>避免单指标下结论；资金面不轻易表述为紧缩，估值面必须给历史分位。</x:v>
      </x:c>
      <x:c r="AC102" s="677" t="str">
        <x:v>是</x:v>
      </x:c>
      <x:c r="AD102" s="659" t="str">
        <x:v>P1</x:v>
      </x:c>
      <x:c r="AE102" s="659" t="str">
        <x:v>第二轮入选：该指标能最直接解释面级判断，且适合放入最终PPT。</x:v>
      </x:c>
      <x:c r="AF102" s="659" t="str">
        <x:v>地产投资累计同比-16.2%</x:v>
      </x:c>
      <x:c r="AG102" s="659" t="str"/>
      <x:c r="AH102"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I102" s="659" t="str">
        <x:v>需人工复核口径与最终PPT篇幅。</x:v>
      </x:c>
    </x:row>
    <x:row r="103" ht="54" customHeight="1">
      <x:c r="A103" s="659" t="str">
        <x:v>指标</x:v>
      </x:c>
      <x:c r="B103" s="659" t="str">
        <x:v>境内</x:v>
      </x:c>
      <x:c r="C103" s="659" t="str">
        <x:v>债市</x:v>
      </x:c>
      <x:c r="D103" s="659" t="str">
        <x:v>基本面</x:v>
      </x:c>
      <x:c r="E103" s="659" t="str">
        <x:v>增长</x:v>
      </x:c>
      <x:c r="F103" s="659" t="n">
        <x:v>97</x:v>
      </x:c>
      <x:c r="G103" s="659" t="str">
        <x:v>中国:固定资产投资完成额:制造业:累计同比</x:v>
      </x:c>
      <x:c r="H103" s="659" t="str">
        <x:v>月度；日期2026-05-31T00:00:00</x:v>
      </x:c>
      <x:c r="I103" s="659" t="str">
        <x:v>硬数据/同步指标</x:v>
      </x:c>
      <x:c r="J103" s="659" t="str">
        <x:v>当前-0.004；环比-0.016；同比-0.004；同比增量-0.089</x:v>
      </x:c>
      <x:c r="K103" s="659" t="str">
        <x:v>必检</x:v>
      </x:c>
      <x:c r="L103" s="659" t="n">
        <x:v>-0.004</x:v>
      </x:c>
      <x:c r="M103" s="659" t="str">
        <x:v>2026-05-31T00:00:00</x:v>
      </x:c>
      <x:c r="N103" s="659" t="n">
        <x:v>-0.016</x:v>
      </x:c>
      <x:c r="O103" s="659" t="n">
        <x:v>-0.004</x:v>
      </x:c>
      <x:c r="P103" s="659" t="n">
        <x:v>-0.089</x:v>
      </x:c>
      <x:c r="Q103" s="687" t="n">
        <x:v>0.018</x:v>
      </x:c>
      <x:c r="R103" s="659" t="str">
        <x:v>制造业投资同比1.2%但回落2.9pct，扩张动能放缓。</x:v>
      </x:c>
      <x:c r="S103" s="659" t="str">
        <x:v>权重0.018；制造业投资累计同比反映企业资本开支意愿和产业升级动能，是固定资产投资中更市场化的分项；用于补充判断实体投资扩张是否具备内生动力。</x:v>
      </x:c>
      <x:c r="T103" s="691" t="str">
        <x:v>关键候选</x:v>
      </x:c>
      <x:c r="U103" s="659" t="str">
        <x:v>股市偏利空/债市偏利多</x:v>
      </x:c>
      <x:c r="V103" s="659" t="str">
        <x:v>中</x:v>
      </x:c>
      <x:c r="W103" s="659" t="str">
        <x:v>重点看环比/同比方向和历史位置</x:v>
      </x:c>
      <x:c r="X103" s="674" t="str">
        <x:v>是</x:v>
      </x:c>
      <x:c r="Y103" s="659" t="str">
        <x:v>指标权重较高、边际变化明显或具有关键阈值/联动判断价值，进入第一轮候选池。</x:v>
      </x:c>
      <x:c r="Z103" s="659" t="str">
        <x:v>已检查同面反向指标；若出现支撑与压力并存，面级结论按分化或边际变化处理。</x:v>
      </x:c>
      <x:c r="AA103"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3" s="659" t="str">
        <x:v>避免单指标下结论；资金面不轻易表述为紧缩，估值面必须给历史分位。</x:v>
      </x:c>
      <x:c r="AC103" s="659" t="str">
        <x:v>否</x:v>
      </x:c>
      <x:c r="AD103" s="659" t="str">
        <x:v>P2</x:v>
      </x:c>
      <x:c r="AE103" s="659" t="str"/>
      <x:c r="AF103" s="659" t="str"/>
      <x:c r="AG103" s="659" t="str">
        <x:v>已经参与第一轮判断，但不是本期最终展示的最高解释力指标。</x:v>
      </x:c>
      <x:c r="AH103" s="659" t="str"/>
      <x:c r="AI103" s="659" t="str"/>
    </x:row>
    <x:row r="104" ht="54" customHeight="1">
      <x:c r="A104" s="659" t="str">
        <x:v>指标</x:v>
      </x:c>
      <x:c r="B104" s="659" t="str">
        <x:v>境内</x:v>
      </x:c>
      <x:c r="C104" s="659" t="str">
        <x:v>债市</x:v>
      </x:c>
      <x:c r="D104" s="659" t="str">
        <x:v>基本面</x:v>
      </x:c>
      <x:c r="E104" s="659" t="str">
        <x:v>增长</x:v>
      </x:c>
      <x:c r="F104" s="659" t="n">
        <x:v>98</x:v>
      </x:c>
      <x:c r="G104" s="659" t="str">
        <x:v>中国:固定资产投资完成额:基础设施建设投资:累计同比</x:v>
      </x:c>
      <x:c r="H104" s="659" t="str">
        <x:v>月度；日期2026-05-31T00:00:00</x:v>
      </x:c>
      <x:c r="I104" s="659" t="str">
        <x:v>硬数据/同步指标</x:v>
      </x:c>
      <x:c r="J104" s="659" t="str">
        <x:v>当前0.0075；环比-0.0417；同比0.0075；同比增量-0.0967</x:v>
      </x:c>
      <x:c r="K104" s="659" t="str">
        <x:v>必检</x:v>
      </x:c>
      <x:c r="L104" s="659" t="n">
        <x:v>0.0075</x:v>
      </x:c>
      <x:c r="M104" s="659" t="str">
        <x:v>2026-05-31T00:00:00</x:v>
      </x:c>
      <x:c r="N104" s="659" t="n">
        <x:v>-0.0417</x:v>
      </x:c>
      <x:c r="O104" s="659" t="n">
        <x:v>0.0075</x:v>
      </x:c>
      <x:c r="P104" s="659" t="n">
        <x:v>-0.0967</x:v>
      </x:c>
      <x:c r="Q104" s="687" t="n">
        <x:v>0.018</x:v>
      </x:c>
      <x:c r="R104" s="659" t="str">
        <x:v>基建投资同比4.3%但回落4.6pct，财政托底边际减弱。</x:v>
      </x:c>
      <x:c r="S104" s="659" t="str">
        <x:v>权重0.018；基础设施建设投资累计同比反映政策性投资和稳增长发力强度，是财政政策向实体需求传导的重要观察口径；但需结合政府债、财政支出和项目落地验证。</x:v>
      </x:c>
      <x:c r="T104" s="691" t="str">
        <x:v>关键候选</x:v>
      </x:c>
      <x:c r="U104" s="659" t="str">
        <x:v>偏中性</x:v>
      </x:c>
      <x:c r="V104" s="659" t="str">
        <x:v>中</x:v>
      </x:c>
      <x:c r="W104" s="659" t="str">
        <x:v>重点看环比/同比方向和历史位置</x:v>
      </x:c>
      <x:c r="X104" s="674" t="str">
        <x:v>是</x:v>
      </x:c>
      <x:c r="Y104" s="659" t="str">
        <x:v>指标权重较高、边际变化明显或具有关键阈值/联动判断价值，进入第一轮候选池。</x:v>
      </x:c>
      <x:c r="Z104" s="659" t="str">
        <x:v>已检查同面反向指标；若出现支撑与压力并存，面级结论按分化或边际变化处理。</x:v>
      </x:c>
      <x:c r="AA104"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4" s="659" t="str">
        <x:v>避免单指标下结论；资金面不轻易表述为紧缩，估值面必须给历史分位。</x:v>
      </x:c>
      <x:c r="AC104" s="659" t="str">
        <x:v>否</x:v>
      </x:c>
      <x:c r="AD104" s="659" t="str">
        <x:v>P2</x:v>
      </x:c>
      <x:c r="AE104" s="659" t="str"/>
      <x:c r="AF104" s="659" t="str"/>
      <x:c r="AG104" s="659" t="str">
        <x:v>已经参与第一轮判断，但不是本期最终展示的最高解释力指标。</x:v>
      </x:c>
      <x:c r="AH104" s="659" t="str"/>
      <x:c r="AI104" s="659" t="str"/>
    </x:row>
    <x:row r="105" ht="54" customHeight="1">
      <x:c r="A105" s="659" t="str">
        <x:v>指标</x:v>
      </x:c>
      <x:c r="B105" s="659" t="str">
        <x:v>境内</x:v>
      </x:c>
      <x:c r="C105" s="659" t="str">
        <x:v>债市</x:v>
      </x:c>
      <x:c r="D105" s="659" t="str">
        <x:v>基本面</x:v>
      </x:c>
      <x:c r="E105" s="659" t="str">
        <x:v>增长</x:v>
      </x:c>
      <x:c r="F105" s="659" t="n">
        <x:v>99</x:v>
      </x:c>
      <x:c r="G105" s="659" t="str">
        <x:v>房屋销售（累计同比）</x:v>
      </x:c>
      <x:c r="H105" s="659" t="str">
        <x:v>月度；日期2026-05-31T00:00:00</x:v>
      </x:c>
      <x:c r="I105" s="659" t="str">
        <x:v>硬数据/同步指标</x:v>
      </x:c>
      <x:c r="J105" s="659" t="str">
        <x:v>当前-0.108；环比-0.006；同比-0.108；同比增量-0.079</x:v>
      </x:c>
      <x:c r="K105" s="659" t="str">
        <x:v>背景</x:v>
      </x:c>
      <x:c r="L105" s="659" t="n">
        <x:v>-0.108</x:v>
      </x:c>
      <x:c r="M105" s="659" t="str">
        <x:v>2026-05-31T00:00:00</x:v>
      </x:c>
      <x:c r="N105" s="659" t="n">
        <x:v>-0.006</x:v>
      </x:c>
      <x:c r="O105" s="659" t="n">
        <x:v>-0.108</x:v>
      </x:c>
      <x:c r="P105" s="659" t="n">
        <x:v>-0.079</x:v>
      </x:c>
      <x:c r="Q105" s="670" t="n">
        <x:v>0.0277777777777778</x:v>
      </x:c>
      <x:c r="R105" s="659" t="str">
        <x:v>房屋销售同比-10.2%，边际微修复但地产需求仍弱。</x:v>
      </x:c>
      <x:c r="S105" s="659" t="str">
        <x:v>权重0.0277777777777778；房屋销售领先地产投资和居民预期，对地产链有指示性，用于补充确认核心信号。</x:v>
      </x:c>
      <x:c r="T105" s="659" t="str">
        <x:v>背景验证</x:v>
      </x:c>
      <x:c r="U105" s="659" t="str">
        <x:v>中性</x:v>
      </x:c>
      <x:c r="V105" s="659" t="str">
        <x:v>中</x:v>
      </x:c>
      <x:c r="W105" s="659" t="str">
        <x:v>重点看环比/同比方向和历史位置</x:v>
      </x:c>
      <x:c r="X105" s="659" t="str">
        <x:v>否</x:v>
      </x:c>
      <x:c r="Y105" s="659" t="str">
        <x:v>权重或边际变化不足以改变面级判断，本期作为背景验证。</x:v>
      </x:c>
      <x:c r="Z105" s="659" t="str">
        <x:v>已检查同面反向指标；若出现支撑与压力并存，面级结论按分化或边际变化处理。</x:v>
      </x:c>
      <x:c r="AA105"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5" s="659" t="str">
        <x:v>避免单指标下结论；资金面不轻易表述为紧缩，估值面必须给历史分位。</x:v>
      </x:c>
      <x:c r="AC105" s="659" t="str">
        <x:v>否</x:v>
      </x:c>
      <x:c r="AD105" s="659" t="str">
        <x:v>P3</x:v>
      </x:c>
      <x:c r="AE105" s="659" t="str"/>
      <x:c r="AF105" s="659" t="str"/>
      <x:c r="AG105" s="659" t="str">
        <x:v>作为背景验证，不进入最终PPT。</x:v>
      </x:c>
      <x:c r="AH105" s="659" t="str"/>
      <x:c r="AI105" s="659" t="str"/>
    </x:row>
    <x:row r="106" ht="54" customHeight="1">
      <x:c r="A106" s="659" t="str">
        <x:v>指标</x:v>
      </x:c>
      <x:c r="B106" s="659" t="str">
        <x:v>境内</x:v>
      </x:c>
      <x:c r="C106" s="659" t="str">
        <x:v>债市</x:v>
      </x:c>
      <x:c r="D106" s="659" t="str">
        <x:v>基本面</x:v>
      </x:c>
      <x:c r="E106" s="659" t="str">
        <x:v>增长</x:v>
      </x:c>
      <x:c r="F106" s="659" t="n">
        <x:v>100</x:v>
      </x:c>
      <x:c r="G106" s="659" t="str">
        <x:v>70城二手住宅价格指数同比</x:v>
      </x:c>
      <x:c r="H106" s="659" t="str">
        <x:v>月度；日期2026-05-31T00:00:00</x:v>
      </x:c>
      <x:c r="I106" s="659" t="str">
        <x:v>硬数据/同步指标</x:v>
      </x:c>
      <x:c r="J106" s="659" t="str">
        <x:v>当前-0.059；环比0.003；同比-0.059；同比增量0.004</x:v>
      </x:c>
      <x:c r="K106" s="659" t="str">
        <x:v>背景</x:v>
      </x:c>
      <x:c r="L106" s="659" t="n">
        <x:v>-0.059</x:v>
      </x:c>
      <x:c r="M106" s="659" t="str">
        <x:v>2026-05-31T00:00:00</x:v>
      </x:c>
      <x:c r="N106" s="659" t="n">
        <x:v>0.003</x:v>
      </x:c>
      <x:c r="O106" s="659" t="n">
        <x:v>-0.059</x:v>
      </x:c>
      <x:c r="P106" s="659" t="n">
        <x:v>0.004</x:v>
      </x:c>
      <x:c r="Q106" s="687" t="n">
        <x:v>0.0166666666666667</x:v>
      </x:c>
      <x:c r="R106" s="659" t="str">
        <x:v>70城二手房价同比-6.2%，仍在下跌但降幅略收窄。</x:v>
      </x:c>
      <x:c r="S106" s="659" t="str">
        <x:v>权重0.0166666666666667；二手房价格用于验证地产真实供需，但影响范围窄于销售和投资，用于补充确认核心信号。</x:v>
      </x:c>
      <x:c r="T106" s="659" t="str">
        <x:v>背景验证</x:v>
      </x:c>
      <x:c r="U106" s="659" t="str">
        <x:v>中性</x:v>
      </x:c>
      <x:c r="V106" s="659" t="str">
        <x:v>中</x:v>
      </x:c>
      <x:c r="W106" s="659" t="str">
        <x:v>重点看环比/同比方向和历史位置</x:v>
      </x:c>
      <x:c r="X106" s="659" t="str">
        <x:v>否</x:v>
      </x:c>
      <x:c r="Y106" s="659" t="str">
        <x:v>权重或边际变化不足以改变面级判断，本期作为背景验证。</x:v>
      </x:c>
      <x:c r="Z106" s="659" t="str">
        <x:v>已检查同面反向指标；若出现支撑与压力并存，面级结论按分化或边际变化处理。</x:v>
      </x:c>
      <x:c r="AA106"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6" s="659" t="str">
        <x:v>避免单指标下结论；资金面不轻易表述为紧缩，估值面必须给历史分位。</x:v>
      </x:c>
      <x:c r="AC106" s="659" t="str">
        <x:v>否</x:v>
      </x:c>
      <x:c r="AD106" s="659" t="str">
        <x:v>P3</x:v>
      </x:c>
      <x:c r="AE106" s="659" t="str"/>
      <x:c r="AF106" s="659" t="str"/>
      <x:c r="AG106" s="659" t="str">
        <x:v>作为背景验证，不进入最终PPT。</x:v>
      </x:c>
      <x:c r="AH106" s="659" t="str"/>
      <x:c r="AI106" s="659" t="str"/>
    </x:row>
    <x:row r="107" ht="54" customHeight="1">
      <x:c r="A107" s="659" t="str">
        <x:v>指标</x:v>
      </x:c>
      <x:c r="B107" s="659" t="str">
        <x:v>境内</x:v>
      </x:c>
      <x:c r="C107" s="659" t="str">
        <x:v>债市</x:v>
      </x:c>
      <x:c r="D107" s="659" t="str">
        <x:v>基本面</x:v>
      </x:c>
      <x:c r="E107" s="659" t="str">
        <x:v>增长</x:v>
      </x:c>
      <x:c r="F107" s="659" t="n">
        <x:v>101</x:v>
      </x:c>
      <x:c r="G107" s="659" t="str">
        <x:v>中国:出口金额:当月同比</x:v>
      </x:c>
      <x:c r="H107" s="659" t="str">
        <x:v>月度；日期2026-05-31T00:00:00</x:v>
      </x:c>
      <x:c r="I107" s="659" t="str">
        <x:v>硬数据/同步指标</x:v>
      </x:c>
      <x:c r="J107" s="659" t="str">
        <x:v>当前0.194；环比0.054；同比0.194；同比增量0.1474722</x:v>
      </x:c>
      <x:c r="K107" s="659" t="str">
        <x:v>必检</x:v>
      </x:c>
      <x:c r="L107" s="659" t="n">
        <x:v>0.194</x:v>
      </x:c>
      <x:c r="M107" s="659" t="str">
        <x:v>2026-05-31T00:00:00</x:v>
      </x:c>
      <x:c r="N107" s="659" t="n">
        <x:v>0.054</x:v>
      </x:c>
      <x:c r="O107" s="659" t="n">
        <x:v>0.194</x:v>
      </x:c>
      <x:c r="P107" s="659" t="n">
        <x:v>0.1474722</x:v>
      </x:c>
      <x:c r="Q107" s="670" t="n">
        <x:v>0.0333333333333333</x:v>
      </x:c>
      <x:c r="R107" s="659" t="str">
        <x:v>出口同比19.4%且继续改善，外需和抢出口支撑较强。</x:v>
      </x:c>
      <x:c r="S107" s="659" t="str">
        <x:v>权重0.0333333333333333；出口反映外需和制造业竞争力，是增长的重要边际变量，在本项中更能代表方向。</x:v>
      </x:c>
      <x:c r="T107" s="691" t="str">
        <x:v>关键候选</x:v>
      </x:c>
      <x:c r="U107" s="659" t="str">
        <x:v>股市偏利好/债市利多减弱</x:v>
      </x:c>
      <x:c r="V107" s="659" t="str">
        <x:v>中</x:v>
      </x:c>
      <x:c r="W107" s="659" t="str">
        <x:v>重点看环比/同比方向和历史位置</x:v>
      </x:c>
      <x:c r="X107" s="674" t="str">
        <x:v>是</x:v>
      </x:c>
      <x:c r="Y107" s="659" t="str">
        <x:v>指标权重较高、边际变化明显或具有关键阈值/联动判断价值，进入第一轮候选池。</x:v>
      </x:c>
      <x:c r="Z107" s="659" t="str">
        <x:v>已检查同面反向指标；若出现支撑与压力并存，面级结论按分化或边际变化处理。</x:v>
      </x:c>
      <x:c r="AA107"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7" s="659" t="str">
        <x:v>避免单指标下结论；资金面不轻易表述为紧缩，估值面必须给历史分位。</x:v>
      </x:c>
      <x:c r="AC107" s="659" t="str">
        <x:v>否</x:v>
      </x:c>
      <x:c r="AD107" s="659" t="str">
        <x:v>P2</x:v>
      </x:c>
      <x:c r="AE107" s="659" t="str"/>
      <x:c r="AF107" s="659" t="str"/>
      <x:c r="AG107" s="659" t="str">
        <x:v>已经参与第一轮判断，但不是本期最终展示的最高解释力指标。</x:v>
      </x:c>
      <x:c r="AH107" s="659" t="str"/>
      <x:c r="AI107" s="659" t="str"/>
    </x:row>
    <x:row r="108" ht="54" customHeight="1">
      <x:c r="A108" s="659" t="str">
        <x:v>指标</x:v>
      </x:c>
      <x:c r="B108" s="659" t="str">
        <x:v>境内</x:v>
      </x:c>
      <x:c r="C108" s="659" t="str">
        <x:v>债市</x:v>
      </x:c>
      <x:c r="D108" s="659" t="str">
        <x:v>基本面</x:v>
      </x:c>
      <x:c r="E108" s="659" t="str">
        <x:v>增长</x:v>
      </x:c>
      <x:c r="F108" s="659" t="n">
        <x:v>102</x:v>
      </x:c>
      <x:c r="G108" s="659" t="str">
        <x:v>中国:出口金额:美国:累计同比</x:v>
      </x:c>
      <x:c r="H108" s="659" t="str">
        <x:v>月度；日期2026-05-31T00:00:00</x:v>
      </x:c>
      <x:c r="I108" s="659" t="str">
        <x:v>硬数据/同步指标</x:v>
      </x:c>
      <x:c r="J108" s="659" t="str">
        <x:v>当前-0.027；环比0.075；同比-0.027；同比增量0.07</x:v>
      </x:c>
      <x:c r="K108" s="659" t="str">
        <x:v>背景</x:v>
      </x:c>
      <x:c r="L108" s="659" t="n">
        <x:v>-0.027</x:v>
      </x:c>
      <x:c r="M108" s="659" t="str">
        <x:v>2026-05-31T00:00:00</x:v>
      </x:c>
      <x:c r="N108" s="659" t="n">
        <x:v>0.075</x:v>
      </x:c>
      <x:c r="O108" s="659" t="n">
        <x:v>-0.027</x:v>
      </x:c>
      <x:c r="P108" s="659" t="n">
        <x:v>0.07</x:v>
      </x:c>
      <x:c r="Q108" s="687" t="n">
        <x:v>0.0111111111111</x:v>
      </x:c>
      <x:c r="R108" s="659" t="str">
        <x:v>对美出口累计同比-2.7%，仍负增长但边际明显修复。</x:v>
      </x:c>
      <x:c r="S108" s="659" t="str">
        <x:v>权重0.0111111111111；对美国出口累计同比反映外需中美国方向的景气变化，对制造业订单和外需结构有参考价值；但单一地区口径窄于总出口，因此作为出口总指标的辅助拆解。</x:v>
      </x:c>
      <x:c r="T108" s="659" t="str">
        <x:v>背景验证</x:v>
      </x:c>
      <x:c r="U108" s="659" t="str">
        <x:v>中性</x:v>
      </x:c>
      <x:c r="V108" s="659" t="str">
        <x:v>中</x:v>
      </x:c>
      <x:c r="W108" s="659" t="str">
        <x:v>重点看环比/同比方向和历史位置</x:v>
      </x:c>
      <x:c r="X108" s="659" t="str">
        <x:v>否</x:v>
      </x:c>
      <x:c r="Y108" s="659" t="str">
        <x:v>权重或边际变化不足以改变面级判断，本期作为背景验证。</x:v>
      </x:c>
      <x:c r="Z108" s="659" t="str">
        <x:v>已检查同面反向指标；若出现支撑与压力并存，面级结论按分化或边际变化处理。</x:v>
      </x:c>
      <x:c r="AA108"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8" s="659" t="str">
        <x:v>避免单指标下结论；资金面不轻易表述为紧缩，估值面必须给历史分位。</x:v>
      </x:c>
      <x:c r="AC108" s="659" t="str">
        <x:v>否</x:v>
      </x:c>
      <x:c r="AD108" s="659" t="str">
        <x:v>P3</x:v>
      </x:c>
      <x:c r="AE108" s="659" t="str"/>
      <x:c r="AF108" s="659" t="str"/>
      <x:c r="AG108" s="659" t="str">
        <x:v>作为背景验证，不进入最终PPT。</x:v>
      </x:c>
      <x:c r="AH108" s="659" t="str"/>
      <x:c r="AI108" s="659" t="str"/>
    </x:row>
    <x:row r="109" ht="54" customHeight="1">
      <x:c r="A109" s="659" t="str">
        <x:v>指标</x:v>
      </x:c>
      <x:c r="B109" s="659" t="str">
        <x:v>境内</x:v>
      </x:c>
      <x:c r="C109" s="659" t="str">
        <x:v>债市</x:v>
      </x:c>
      <x:c r="D109" s="659" t="str">
        <x:v>基本面</x:v>
      </x:c>
      <x:c r="E109" s="659" t="str">
        <x:v>增长</x:v>
      </x:c>
      <x:c r="F109" s="659" t="n">
        <x:v>103</x:v>
      </x:c>
      <x:c r="G109" s="659" t="str">
        <x:v>中国:出口金额:东南亚国家联盟:累计同比</x:v>
      </x:c>
      <x:c r="H109" s="659" t="str">
        <x:v>月度；日期2026-05-31T00:00:00</x:v>
      </x:c>
      <x:c r="I109" s="659" t="str">
        <x:v>硬数据/同步指标</x:v>
      </x:c>
      <x:c r="J109" s="659" t="str">
        <x:v>当前0.203；环比0.012；同比0.203；同比增量0.081</x:v>
      </x:c>
      <x:c r="K109" s="659" t="str">
        <x:v>背景</x:v>
      </x:c>
      <x:c r="L109" s="659" t="n">
        <x:v>0.203</x:v>
      </x:c>
      <x:c r="M109" s="659" t="str">
        <x:v>2026-05-31T00:00:00</x:v>
      </x:c>
      <x:c r="N109" s="659" t="n">
        <x:v>0.012</x:v>
      </x:c>
      <x:c r="O109" s="659" t="n">
        <x:v>0.203</x:v>
      </x:c>
      <x:c r="P109" s="659" t="n">
        <x:v>0.081</x:v>
      </x:c>
      <x:c r="Q109" s="687" t="n">
        <x:v>0.0111111111111</x:v>
      </x:c>
      <x:c r="R109" s="659" t="str">
        <x:v>对东盟出口累计同比20.3%，区域外需支撑较强。</x:v>
      </x:c>
      <x:c r="S109" s="659" t="str">
        <x:v>权重0.0111111111111；对东盟出口累计同比反映区域贸易和产业链转移背景下的外需韧性，是出口结构的重要补充；但仍属于分地区指标，权重低于出口总额和贸易差额。</x:v>
      </x:c>
      <x:c r="T109" s="659" t="str">
        <x:v>背景验证</x:v>
      </x:c>
      <x:c r="U109" s="659" t="str">
        <x:v>中性</x:v>
      </x:c>
      <x:c r="V109" s="659" t="str">
        <x:v>中</x:v>
      </x:c>
      <x:c r="W109" s="659" t="str">
        <x:v>重点看环比/同比方向和历史位置</x:v>
      </x:c>
      <x:c r="X109" s="659" t="str">
        <x:v>否</x:v>
      </x:c>
      <x:c r="Y109" s="659" t="str">
        <x:v>权重或边际变化不足以改变面级判断，本期作为背景验证。</x:v>
      </x:c>
      <x:c r="Z109" s="659" t="str">
        <x:v>已检查同面反向指标；若出现支撑与压力并存，面级结论按分化或边际变化处理。</x:v>
      </x:c>
      <x:c r="AA109"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09" s="659" t="str">
        <x:v>避免单指标下结论；资金面不轻易表述为紧缩，估值面必须给历史分位。</x:v>
      </x:c>
      <x:c r="AC109" s="659" t="str">
        <x:v>否</x:v>
      </x:c>
      <x:c r="AD109" s="659" t="str">
        <x:v>P3</x:v>
      </x:c>
      <x:c r="AE109" s="659" t="str"/>
      <x:c r="AF109" s="659" t="str"/>
      <x:c r="AG109" s="659" t="str">
        <x:v>作为背景验证，不进入最终PPT。</x:v>
      </x:c>
      <x:c r="AH109" s="659" t="str"/>
      <x:c r="AI109" s="659" t="str"/>
    </x:row>
    <x:row r="110" ht="54" customHeight="1">
      <x:c r="A110" s="659" t="str">
        <x:v>指标</x:v>
      </x:c>
      <x:c r="B110" s="659" t="str">
        <x:v>境内</x:v>
      </x:c>
      <x:c r="C110" s="659" t="str">
        <x:v>债市</x:v>
      </x:c>
      <x:c r="D110" s="659" t="str">
        <x:v>基本面</x:v>
      </x:c>
      <x:c r="E110" s="659" t="str">
        <x:v>增长</x:v>
      </x:c>
      <x:c r="F110" s="659" t="n">
        <x:v>104</x:v>
      </x:c>
      <x:c r="G110" s="659" t="str">
        <x:v>进出口：中国:贸易差额</x:v>
      </x:c>
      <x:c r="H110" s="659" t="str">
        <x:v>月度；日期2026-05-31T00:00:00</x:v>
      </x:c>
      <x:c r="I110" s="659" t="str">
        <x:v>硬数据/同步指标</x:v>
      </x:c>
      <x:c r="J110" s="659" t="str">
        <x:v>当前1054.335842；环比207.478127；同比0.026468876924；同比增量27.187464</x:v>
      </x:c>
      <x:c r="K110" s="659" t="str">
        <x:v>背景</x:v>
      </x:c>
      <x:c r="L110" s="659" t="n">
        <x:v>1054.335842</x:v>
      </x:c>
      <x:c r="M110" s="659" t="str">
        <x:v>2026-05-31T00:00:00</x:v>
      </x:c>
      <x:c r="N110" s="659" t="n">
        <x:v>207.478127</x:v>
      </x:c>
      <x:c r="O110" s="659" t="n">
        <x:v>0.026468876924</x:v>
      </x:c>
      <x:c r="P110" s="659" t="n">
        <x:v>27.187464</x:v>
      </x:c>
      <x:c r="Q110" s="687" t="n">
        <x:v>0.014</x:v>
      </x:c>
      <x:c r="R110" s="659" t="str">
        <x:v>贸易顺差1054.3亿美元且环比扩大，净出口仍有支撑。</x:v>
      </x:c>
      <x:c r="S110" s="659" t="str">
        <x:v>权重0.014；贸易差额直接反映净出口对外汇收入和总需求的影响，能辅助判断外需贡献和汇率基本面；但它同时受进口收缩、价格和汇率影响，需与出口、进口分项一起看。</x:v>
      </x:c>
      <x:c r="T110" s="659" t="str">
        <x:v>背景验证</x:v>
      </x:c>
      <x:c r="U110" s="659" t="str">
        <x:v>中性</x:v>
      </x:c>
      <x:c r="V110" s="659" t="str">
        <x:v>中</x:v>
      </x:c>
      <x:c r="W110" s="659" t="str">
        <x:v>重点看环比/同比方向和历史位置</x:v>
      </x:c>
      <x:c r="X110" s="659" t="str">
        <x:v>否</x:v>
      </x:c>
      <x:c r="Y110" s="659" t="str">
        <x:v>权重或边际变化不足以改变面级判断，本期作为背景验证。</x:v>
      </x:c>
      <x:c r="Z110" s="659" t="str">
        <x:v>已检查同面反向指标；若出现支撑与压力并存，面级结论按分化或边际变化处理。</x:v>
      </x:c>
      <x:c r="AA110"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0" s="659" t="str">
        <x:v>避免单指标下结论；资金面不轻易表述为紧缩，估值面必须给历史分位。</x:v>
      </x:c>
      <x:c r="AC110" s="659" t="str">
        <x:v>否</x:v>
      </x:c>
      <x:c r="AD110" s="659" t="str">
        <x:v>P3</x:v>
      </x:c>
      <x:c r="AE110" s="659" t="str"/>
      <x:c r="AF110" s="659" t="str"/>
      <x:c r="AG110" s="659" t="str">
        <x:v>作为背景验证，不进入最终PPT。</x:v>
      </x:c>
      <x:c r="AH110" s="659" t="str"/>
      <x:c r="AI110" s="659" t="str"/>
    </x:row>
    <x:row r="111" ht="54" customHeight="1">
      <x:c r="A111" s="659" t="str">
        <x:v>指标</x:v>
      </x:c>
      <x:c r="B111" s="659" t="str">
        <x:v>境内</x:v>
      </x:c>
      <x:c r="C111" s="659" t="str">
        <x:v>债市</x:v>
      </x:c>
      <x:c r="D111" s="659" t="str">
        <x:v>基本面</x:v>
      </x:c>
      <x:c r="E111" s="659" t="str">
        <x:v>增长</x:v>
      </x:c>
      <x:c r="F111" s="659" t="n">
        <x:v>105</x:v>
      </x:c>
      <x:c r="G111" s="659" t="str">
        <x:v>制造业PMI综合</x:v>
      </x:c>
      <x:c r="H111" s="659" t="str">
        <x:v>月度；日期2026-06-30T00:00:00</x:v>
      </x:c>
      <x:c r="I111" s="659" t="str">
        <x:v>软数据/领先景气指标</x:v>
      </x:c>
      <x:c r="J111" s="659" t="str">
        <x:v>当前50.3；环比0.3；同比增量0.6</x:v>
      </x:c>
      <x:c r="K111" s="659" t="str">
        <x:v>必检</x:v>
      </x:c>
      <x:c r="L111" s="659" t="n">
        <x:v>50.3</x:v>
      </x:c>
      <x:c r="M111" s="659" t="str">
        <x:v>2026-06-30T00:00:00</x:v>
      </x:c>
      <x:c r="N111" s="659" t="n">
        <x:v>0.3</x:v>
      </x:c>
      <x:c r="O111" s="659" t="str">
        <x:v>-</x:v>
      </x:c>
      <x:c r="P111" s="659" t="n">
        <x:v>0.6</x:v>
      </x:c>
      <x:c r="Q111" s="670" t="n">
        <x:v>0.0277777777777778</x:v>
      </x:c>
      <x:c r="R111" s="659" t="str">
        <x:v>制造业PMI回落至50.0，扩张动能转为临界状态。</x:v>
      </x:c>
      <x:c r="S111" s="659" t="str">
        <x:v>权重0.0277777777777778；制造业PMI综合指数发布早，是景气拐点的先行信号，用于补充确认核心信号。</x:v>
      </x:c>
      <x:c r="T111" s="681" t="str">
        <x:v>最终展示候选</x:v>
      </x:c>
      <x:c r="U111" s="659" t="str">
        <x:v>股市偏利好/债市利多减弱</x:v>
      </x:c>
      <x:c r="V111" s="659" t="str">
        <x:v>中</x:v>
      </x:c>
      <x:c r="W111" s="659" t="str">
        <x:v>荣枯线50，当前50.3，处于扩张区间</x:v>
      </x:c>
      <x:c r="X111" s="674" t="str">
        <x:v>是</x:v>
      </x:c>
      <x:c r="Y111" s="659" t="str">
        <x:v>权重较高或边际变化/阈值信号明确，且解释力足以支撑面级结论，进入第一轮候选池。</x:v>
      </x:c>
      <x:c r="Z111" s="659" t="str">
        <x:v>已检查同面反向指标；若出现支撑与压力并存，面级结论按分化或边际变化处理。</x:v>
      </x:c>
      <x:c r="AA111"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1" s="659" t="str">
        <x:v>避免单指标下结论；资金面不轻易表述为紧缩，估值面必须给历史分位。</x:v>
      </x:c>
      <x:c r="AC111" s="677" t="str">
        <x:v>是</x:v>
      </x:c>
      <x:c r="AD111" s="659" t="str">
        <x:v>P1</x:v>
      </x:c>
      <x:c r="AE111" s="659" t="str">
        <x:v>第二轮入选：该指标能最直接解释面级判断，且适合放入最终PPT。</x:v>
      </x:c>
      <x:c r="AF111" s="659" t="str">
        <x:v>6月制造业PMI为50.3</x:v>
      </x:c>
      <x:c r="AG111" s="659" t="str"/>
      <x:c r="AH111"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I111" s="659" t="str">
        <x:v>需人工复核口径与最终PPT篇幅。</x:v>
      </x:c>
    </x:row>
    <x:row r="112" ht="54" customHeight="1">
      <x:c r="A112" s="659" t="str">
        <x:v>指标</x:v>
      </x:c>
      <x:c r="B112" s="659" t="str">
        <x:v>境内</x:v>
      </x:c>
      <x:c r="C112" s="659" t="str">
        <x:v>债市</x:v>
      </x:c>
      <x:c r="D112" s="659" t="str">
        <x:v>基本面</x:v>
      </x:c>
      <x:c r="E112" s="659" t="str">
        <x:v>增长</x:v>
      </x:c>
      <x:c r="F112" s="659" t="n">
        <x:v>106</x:v>
      </x:c>
      <x:c r="G112" s="659" t="str">
        <x:v>PMI新订单</x:v>
      </x:c>
      <x:c r="H112" s="659" t="str">
        <x:v>月度；日期2026-06-30T00:00:00</x:v>
      </x:c>
      <x:c r="I112" s="659" t="str">
        <x:v>软数据/领先景气指标</x:v>
      </x:c>
      <x:c r="J112" s="659" t="str">
        <x:v>当前51.2；环比1.3；同比增量1</x:v>
      </x:c>
      <x:c r="K112" s="659" t="str">
        <x:v>必检</x:v>
      </x:c>
      <x:c r="L112" s="659" t="n">
        <x:v>51.2</x:v>
      </x:c>
      <x:c r="M112" s="659" t="str">
        <x:v>2026-06-30T00:00:00</x:v>
      </x:c>
      <x:c r="N112" s="659" t="n">
        <x:v>1.3</x:v>
      </x:c>
      <x:c r="O112" s="659" t="str">
        <x:v>-</x:v>
      </x:c>
      <x:c r="P112" s="659" t="n">
        <x:v>1</x:v>
      </x:c>
      <x:c r="Q112" s="684" t="n">
        <x:v>0.0388888888888889</x:v>
      </x:c>
      <x:c r="R112" s="659" t="str">
        <x:v>PMI新订单49.9且回落，需求前瞻信号偏弱。</x:v>
      </x:c>
      <x:c r="S112" s="659" t="str">
        <x:v>权重0.0388888888888889；PMI新订单领先生产和库存，是需求转折的关键分项，在本项中更能代表方向。</x:v>
      </x:c>
      <x:c r="T112" s="681" t="str">
        <x:v>最终展示候选</x:v>
      </x:c>
      <x:c r="U112" s="659" t="str">
        <x:v>股市偏利好/债市利多减弱</x:v>
      </x:c>
      <x:c r="V112" s="659" t="str">
        <x:v>高</x:v>
      </x:c>
      <x:c r="W112" s="659" t="str">
        <x:v>荣枯线50，当前51.2，处于扩张区间</x:v>
      </x:c>
      <x:c r="X112" s="674" t="str">
        <x:v>是</x:v>
      </x:c>
      <x:c r="Y112" s="659" t="str">
        <x:v>权重较高或边际变化/阈值信号明确，且解释力足以支撑面级结论，进入第一轮候选池。</x:v>
      </x:c>
      <x:c r="Z112" s="659" t="str">
        <x:v>已检查同面反向指标；若出现支撑与压力并存，面级结论按分化或边际变化处理。</x:v>
      </x:c>
      <x:c r="AA112"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2" s="659" t="str">
        <x:v>避免单指标下结论；资金面不轻易表述为紧缩，估值面必须给历史分位。</x:v>
      </x:c>
      <x:c r="AC112" s="677" t="str">
        <x:v>是</x:v>
      </x:c>
      <x:c r="AD112" s="659" t="str">
        <x:v>P1</x:v>
      </x:c>
      <x:c r="AE112" s="659" t="str">
        <x:v>第二轮入选：该指标能最直接解释面级判断，且适合放入最终PPT。</x:v>
      </x:c>
      <x:c r="AF112" s="659" t="str">
        <x:v>PMI新订单为51.2</x:v>
      </x:c>
      <x:c r="AG112" s="659" t="str"/>
      <x:c r="AH112"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I112" s="659" t="str">
        <x:v>需人工复核口径与最终PPT篇幅。</x:v>
      </x:c>
    </x:row>
    <x:row r="113" ht="54" customHeight="1">
      <x:c r="A113" s="659" t="str">
        <x:v>指标</x:v>
      </x:c>
      <x:c r="B113" s="659" t="str">
        <x:v>境内</x:v>
      </x:c>
      <x:c r="C113" s="659" t="str">
        <x:v>债市</x:v>
      </x:c>
      <x:c r="D113" s="659" t="str">
        <x:v>基本面</x:v>
      </x:c>
      <x:c r="E113" s="659" t="str">
        <x:v>增长</x:v>
      </x:c>
      <x:c r="F113" s="659" t="n">
        <x:v>107</x:v>
      </x:c>
      <x:c r="G113" s="659" t="str">
        <x:v>PMI生产</x:v>
      </x:c>
      <x:c r="H113" s="659" t="str">
        <x:v>月度；日期2026-06-30T00:00:00</x:v>
      </x:c>
      <x:c r="I113" s="659" t="str">
        <x:v>软数据/领先景气指标</x:v>
      </x:c>
      <x:c r="J113" s="659" t="str">
        <x:v>当前51.4；环比0.2；同比增量0.4</x:v>
      </x:c>
      <x:c r="K113" s="659" t="str">
        <x:v>背景</x:v>
      </x:c>
      <x:c r="L113" s="659" t="n">
        <x:v>51.4</x:v>
      </x:c>
      <x:c r="M113" s="659" t="str">
        <x:v>2026-06-30T00:00:00</x:v>
      </x:c>
      <x:c r="N113" s="659" t="n">
        <x:v>0.2</x:v>
      </x:c>
      <x:c r="O113" s="659" t="str">
        <x:v>-</x:v>
      </x:c>
      <x:c r="P113" s="659" t="n">
        <x:v>0.4</x:v>
      </x:c>
      <x:c r="Q113" s="687" t="n">
        <x:v>0.0166666666666667</x:v>
      </x:c>
      <x:c r="R113" s="659" t="str">
        <x:v>PMI生产51.2仍扩张但回落，供给强于需求。</x:v>
      </x:c>
      <x:c r="S113" s="659" t="str">
        <x:v>权重0.0166666666666667；PMI生产偏同步确认，重要性低于新订单，用于补充确认核心信号。</x:v>
      </x:c>
      <x:c r="T113" s="659" t="str">
        <x:v>背景验证</x:v>
      </x:c>
      <x:c r="U113" s="659" t="str">
        <x:v>中性</x:v>
      </x:c>
      <x:c r="V113" s="659" t="str">
        <x:v>中</x:v>
      </x:c>
      <x:c r="W113" s="659" t="str">
        <x:v>荣枯线50，当前51.4，处于扩张区间</x:v>
      </x:c>
      <x:c r="X113" s="659" t="str">
        <x:v>否</x:v>
      </x:c>
      <x:c r="Y113" s="659" t="str">
        <x:v>权重或边际变化不足以改变面级判断，本期作为背景验证。</x:v>
      </x:c>
      <x:c r="Z113" s="659" t="str">
        <x:v>已检查同面反向指标；若出现支撑与压力并存，面级结论按分化或边际变化处理。</x:v>
      </x:c>
      <x:c r="AA113"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3" s="659" t="str">
        <x:v>避免单指标下结论；资金面不轻易表述为紧缩，估值面必须给历史分位。</x:v>
      </x:c>
      <x:c r="AC113" s="659" t="str">
        <x:v>否</x:v>
      </x:c>
      <x:c r="AD113" s="659" t="str">
        <x:v>P3</x:v>
      </x:c>
      <x:c r="AE113" s="659" t="str"/>
      <x:c r="AF113" s="659" t="str"/>
      <x:c r="AG113" s="659" t="str">
        <x:v>作为背景验证，不进入最终PPT。</x:v>
      </x:c>
      <x:c r="AH113" s="659" t="str"/>
      <x:c r="AI113" s="659" t="str"/>
    </x:row>
    <x:row r="114" ht="54" customHeight="1">
      <x:c r="A114" s="659" t="str">
        <x:v>指标</x:v>
      </x:c>
      <x:c r="B114" s="659" t="str">
        <x:v>境内</x:v>
      </x:c>
      <x:c r="C114" s="659" t="str">
        <x:v>债市</x:v>
      </x:c>
      <x:c r="D114" s="659" t="str">
        <x:v>基本面</x:v>
      </x:c>
      <x:c r="E114" s="659" t="str">
        <x:v>增长</x:v>
      </x:c>
      <x:c r="F114" s="659" t="n">
        <x:v>108</x:v>
      </x:c>
      <x:c r="G114" s="659" t="str">
        <x:v>非制造业PMI</x:v>
      </x:c>
      <x:c r="H114" s="659" t="str">
        <x:v>月度；日期2026-06-30T00:00:00</x:v>
      </x:c>
      <x:c r="I114" s="659" t="str">
        <x:v>软数据/领先景气指标</x:v>
      </x:c>
      <x:c r="J114" s="659" t="str">
        <x:v>当前50.2；环比0.1；同比增量-0.3</x:v>
      </x:c>
      <x:c r="K114" s="659" t="str">
        <x:v>背景</x:v>
      </x:c>
      <x:c r="L114" s="659" t="n">
        <x:v>50.2</x:v>
      </x:c>
      <x:c r="M114" s="659" t="str">
        <x:v>2026-06-30T00:00:00</x:v>
      </x:c>
      <x:c r="N114" s="659" t="n">
        <x:v>0.1</x:v>
      </x:c>
      <x:c r="O114" s="659" t="str">
        <x:v>-</x:v>
      </x:c>
      <x:c r="P114" s="659" t="n">
        <x:v>-0.3</x:v>
      </x:c>
      <x:c r="Q114" s="687" t="n">
        <x:v>0.0166666666666667</x:v>
      </x:c>
      <x:c r="R114" s="659" t="str">
        <x:v>非制造业PMI升至50.1，服务景气弱修复。</x:v>
      </x:c>
      <x:c r="S114" s="659" t="str">
        <x:v>权重0.0166666666666667；非制造业PMI补充服务业和建筑业景气，用于补充确认核心信号。</x:v>
      </x:c>
      <x:c r="T114" s="659" t="str">
        <x:v>背景验证</x:v>
      </x:c>
      <x:c r="U114" s="659" t="str">
        <x:v>股市偏利好/债市利多减弱</x:v>
      </x:c>
      <x:c r="V114" s="659" t="str">
        <x:v>中</x:v>
      </x:c>
      <x:c r="W114" s="659" t="str">
        <x:v>荣枯线50，当前50.2，处于扩张区间</x:v>
      </x:c>
      <x:c r="X114" s="659" t="str">
        <x:v>否</x:v>
      </x:c>
      <x:c r="Y114" s="659" t="str">
        <x:v>权重或边际变化不足以改变面级判断，本期作为背景验证。</x:v>
      </x:c>
      <x:c r="Z114" s="659" t="str">
        <x:v>已检查同面反向指标；若出现支撑与压力并存，面级结论按分化或边际变化处理。</x:v>
      </x:c>
      <x:c r="AA114"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4" s="659" t="str">
        <x:v>避免单指标下结论；资金面不轻易表述为紧缩，估值面必须给历史分位。</x:v>
      </x:c>
      <x:c r="AC114" s="659" t="str">
        <x:v>否</x:v>
      </x:c>
      <x:c r="AD114" s="659" t="str">
        <x:v>P3</x:v>
      </x:c>
      <x:c r="AE114" s="659" t="str"/>
      <x:c r="AF114" s="659" t="str"/>
      <x:c r="AG114" s="659" t="str">
        <x:v>作为背景验证，不进入最终PPT。</x:v>
      </x:c>
      <x:c r="AH114" s="659" t="str"/>
      <x:c r="AI114" s="659" t="str"/>
    </x:row>
    <x:row r="115" ht="54" customHeight="1">
      <x:c r="A115" s="659" t="str">
        <x:v>指标</x:v>
      </x:c>
      <x:c r="B115" s="659" t="str">
        <x:v>境内</x:v>
      </x:c>
      <x:c r="C115" s="659" t="str">
        <x:v>债市</x:v>
      </x:c>
      <x:c r="D115" s="659" t="str">
        <x:v>基本面</x:v>
      </x:c>
      <x:c r="E115" s="659" t="str">
        <x:v>增长</x:v>
      </x:c>
      <x:c r="F115" s="659" t="n">
        <x:v>109</x:v>
      </x:c>
      <x:c r="G115" s="659" t="str">
        <x:v>工业增加值</x:v>
      </x:c>
      <x:c r="H115" s="659" t="str">
        <x:v>月度；日期2026-05-31T00:00:00</x:v>
      </x:c>
      <x:c r="I115" s="659" t="str">
        <x:v>硬数据/同步指标</x:v>
      </x:c>
      <x:c r="J115" s="659" t="str">
        <x:v>当前0.045；环比0.004；同比0.045；同比增量-0.013</x:v>
      </x:c>
      <x:c r="K115" s="659" t="str">
        <x:v>背景</x:v>
      </x:c>
      <x:c r="L115" s="659" t="n">
        <x:v>0.045</x:v>
      </x:c>
      <x:c r="M115" s="659" t="str">
        <x:v>2026-05-31T00:00:00</x:v>
      </x:c>
      <x:c r="N115" s="659" t="n">
        <x:v>0.004</x:v>
      </x:c>
      <x:c r="O115" s="659" t="n">
        <x:v>0.045</x:v>
      </x:c>
      <x:c r="P115" s="659" t="n">
        <x:v>-0.013</x:v>
      </x:c>
      <x:c r="Q115" s="687" t="n">
        <x:v>0.0166666666666667</x:v>
      </x:c>
      <x:c r="R115" s="659" t="str">
        <x:v>工业增加值同比4.1%但回落1.6pct，生产端放缓。</x:v>
      </x:c>
      <x:c r="S115" s="659" t="str">
        <x:v>权重0.0166666666666667；工业增加值是生产侧硬数据，但公布滞后于PMI，用于补充确认核心信号。</x:v>
      </x:c>
      <x:c r="T115" s="659" t="str">
        <x:v>背景验证</x:v>
      </x:c>
      <x:c r="U115" s="659" t="str">
        <x:v>中性</x:v>
      </x:c>
      <x:c r="V115" s="659" t="str">
        <x:v>中</x:v>
      </x:c>
      <x:c r="W115" s="659" t="str">
        <x:v>重点看环比/同比方向和历史位置</x:v>
      </x:c>
      <x:c r="X115" s="659" t="str">
        <x:v>否</x:v>
      </x:c>
      <x:c r="Y115" s="659" t="str">
        <x:v>权重或边际变化不足以改变面级判断，本期作为背景验证。</x:v>
      </x:c>
      <x:c r="Z115" s="659" t="str">
        <x:v>已检查同面反向指标；若出现支撑与压力并存，面级结论按分化或边际变化处理。</x:v>
      </x:c>
      <x:c r="AA115"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5" s="659" t="str">
        <x:v>避免单指标下结论；资金面不轻易表述为紧缩，估值面必须给历史分位。</x:v>
      </x:c>
      <x:c r="AC115" s="659" t="str">
        <x:v>否</x:v>
      </x:c>
      <x:c r="AD115" s="659" t="str">
        <x:v>P3</x:v>
      </x:c>
      <x:c r="AE115" s="659" t="str"/>
      <x:c r="AF115" s="659" t="str"/>
      <x:c r="AG115" s="659" t="str">
        <x:v>作为背景验证，不进入最终PPT。</x:v>
      </x:c>
      <x:c r="AH115" s="659" t="str"/>
      <x:c r="AI115" s="659" t="str"/>
    </x:row>
    <x:row r="116" ht="54" customHeight="1">
      <x:c r="A116" s="659" t="str">
        <x:v>指标</x:v>
      </x:c>
      <x:c r="B116" s="659" t="str">
        <x:v>境内</x:v>
      </x:c>
      <x:c r="C116" s="659" t="str">
        <x:v>债市</x:v>
      </x:c>
      <x:c r="D116" s="659" t="str">
        <x:v>基本面</x:v>
      </x:c>
      <x:c r="E116" s="659" t="str">
        <x:v>价格利润</x:v>
      </x:c>
      <x:c r="F116" s="659" t="n">
        <x:v>110</x:v>
      </x:c>
      <x:c r="G116" s="659" t="str">
        <x:v>PPI</x:v>
      </x:c>
      <x:c r="H116" s="659" t="str">
        <x:v>月度；日期2026-05-31T00:00:00</x:v>
      </x:c>
      <x:c r="I116" s="659" t="str">
        <x:v>价格/通胀指标</x:v>
      </x:c>
      <x:c r="J116" s="659" t="str">
        <x:v>当前0.039；环比0.011；同比0.039；同比增量0.072</x:v>
      </x:c>
      <x:c r="K116" s="659" t="str">
        <x:v>必检</x:v>
      </x:c>
      <x:c r="L116" s="659" t="n">
        <x:v>0.039</x:v>
      </x:c>
      <x:c r="M116" s="659" t="str">
        <x:v>2026-05-31T00:00:00</x:v>
      </x:c>
      <x:c r="N116" s="659" t="n">
        <x:v>0.011</x:v>
      </x:c>
      <x:c r="O116" s="659" t="n">
        <x:v>0.039</x:v>
      </x:c>
      <x:c r="P116" s="659" t="n">
        <x:v>0.072</x:v>
      </x:c>
      <x:c r="Q116" s="684" t="n">
        <x:v>0.0555555555555556</x:v>
      </x:c>
      <x:c r="R116" s="659" t="str">
        <x:v>PPI同比3.9%且上行，上游价格和收入端改善，但不等于终端需求全面恢复。</x:v>
      </x:c>
      <x:c r="S116" s="659" t="str">
        <x:v>权重0.0555555555555556；PPI与工业盈利周期高度相关，是价格利润链条核心，在本项中更能代表方向。</x:v>
      </x:c>
      <x:c r="T116" s="691" t="str">
        <x:v>关键候选</x:v>
      </x:c>
      <x:c r="U116" s="659" t="str">
        <x:v>股市分化/债市偏利空</x:v>
      </x:c>
      <x:c r="V116" s="659" t="str">
        <x:v>中</x:v>
      </x:c>
      <x:c r="W116" s="659" t="str">
        <x:v>重点看环比/同比方向和历史位置</x:v>
      </x:c>
      <x:c r="X116" s="674" t="str">
        <x:v>是</x:v>
      </x:c>
      <x:c r="Y116" s="659" t="str">
        <x:v>指标权重较高、边际变化明显或具有关键阈值/联动判断价值，进入第一轮候选池。</x:v>
      </x:c>
      <x:c r="Z116" s="659" t="str">
        <x:v>已检查同面反向指标；若出现支撑与压力并存，面级结论按分化或边际变化处理。</x:v>
      </x:c>
      <x:c r="AA116"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6" s="659" t="str">
        <x:v>避免单指标下结论；资金面不轻易表述为紧缩，估值面必须给历史分位。</x:v>
      </x:c>
      <x:c r="AC116" s="659" t="str">
        <x:v>否</x:v>
      </x:c>
      <x:c r="AD116" s="659" t="str">
        <x:v>P2</x:v>
      </x:c>
      <x:c r="AE116" s="659" t="str"/>
      <x:c r="AF116" s="659" t="str"/>
      <x:c r="AG116" s="659" t="str">
        <x:v>已经参与第一轮判断，但不是本期最终展示的最高解释力指标。</x:v>
      </x:c>
      <x:c r="AH116" s="659" t="str"/>
      <x:c r="AI116" s="659" t="str"/>
    </x:row>
    <x:row r="117" ht="54" customHeight="1">
      <x:c r="A117" s="659" t="str">
        <x:v>指标</x:v>
      </x:c>
      <x:c r="B117" s="659" t="str">
        <x:v>境内</x:v>
      </x:c>
      <x:c r="C117" s="659" t="str">
        <x:v>债市</x:v>
      </x:c>
      <x:c r="D117" s="659" t="str">
        <x:v>基本面</x:v>
      </x:c>
      <x:c r="E117" s="659" t="str">
        <x:v>价格利润</x:v>
      </x:c>
      <x:c r="F117" s="659" t="n">
        <x:v>111</x:v>
      </x:c>
      <x:c r="G117" s="659" t="str">
        <x:v>CPI</x:v>
      </x:c>
      <x:c r="H117" s="659" t="str">
        <x:v>月度；日期2026-05-31T00:00:00</x:v>
      </x:c>
      <x:c r="I117" s="659" t="str">
        <x:v>价格/通胀指标</x:v>
      </x:c>
      <x:c r="J117" s="659" t="str">
        <x:v>当前0.012；环比0；同比0.012；同比增量0.013</x:v>
      </x:c>
      <x:c r="K117" s="659" t="str">
        <x:v>必检</x:v>
      </x:c>
      <x:c r="L117" s="659" t="n">
        <x:v>0.012</x:v>
      </x:c>
      <x:c r="M117" s="659" t="str">
        <x:v>2026-05-31T00:00:00</x:v>
      </x:c>
      <x:c r="N117" s="659" t="n">
        <x:v>0</x:v>
      </x:c>
      <x:c r="O117" s="659" t="n">
        <x:v>0.012</x:v>
      </x:c>
      <x:c r="P117" s="659" t="n">
        <x:v>0.013</x:v>
      </x:c>
      <x:c r="Q117" s="670" t="n">
        <x:v>0.0277777777777778</x:v>
      </x:c>
      <x:c r="R117" s="659" t="str">
        <x:v>CPI同比1.2%且持平，居民端通胀温和，需求拉动仍不强。</x:v>
      </x:c>
      <x:c r="S117" s="659" t="str">
        <x:v>权重0.0277777777777778；CPI影响政策约束，但对工业利润和权益盈利传导较间接，用于补充确认核心信号。</x:v>
      </x:c>
      <x:c r="T117" s="691" t="str">
        <x:v>关键候选</x:v>
      </x:c>
      <x:c r="U117" s="659" t="str">
        <x:v>中性</x:v>
      </x:c>
      <x:c r="V117" s="659" t="str">
        <x:v>中</x:v>
      </x:c>
      <x:c r="W117" s="659" t="str">
        <x:v>重点看环比/同比方向和历史位置</x:v>
      </x:c>
      <x:c r="X117" s="674" t="str">
        <x:v>是</x:v>
      </x:c>
      <x:c r="Y117" s="659" t="str">
        <x:v>指标权重较高、边际变化明显或具有关键阈值/联动判断价值，进入第一轮候选池。</x:v>
      </x:c>
      <x:c r="Z117" s="659" t="str">
        <x:v>已检查同面反向指标；若出现支撑与压力并存，面级结论按分化或边际变化处理。</x:v>
      </x:c>
      <x:c r="AA117"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7" s="659" t="str">
        <x:v>避免单指标下结论；资金面不轻易表述为紧缩，估值面必须给历史分位。</x:v>
      </x:c>
      <x:c r="AC117" s="659" t="str">
        <x:v>否</x:v>
      </x:c>
      <x:c r="AD117" s="659" t="str">
        <x:v>P2</x:v>
      </x:c>
      <x:c r="AE117" s="659" t="str"/>
      <x:c r="AF117" s="659" t="str"/>
      <x:c r="AG117" s="659" t="str">
        <x:v>已经参与第一轮判断，但不是本期最终展示的最高解释力指标。</x:v>
      </x:c>
      <x:c r="AH117" s="659" t="str"/>
      <x:c r="AI117" s="659" t="str"/>
    </x:row>
    <x:row r="118" ht="54" customHeight="1">
      <x:c r="A118" s="659" t="str">
        <x:v>指标</x:v>
      </x:c>
      <x:c r="B118" s="659" t="str">
        <x:v>境内</x:v>
      </x:c>
      <x:c r="C118" s="659" t="str">
        <x:v>债市</x:v>
      </x:c>
      <x:c r="D118" s="659" t="str">
        <x:v>基本面</x:v>
      </x:c>
      <x:c r="E118" s="659" t="str">
        <x:v>价格利润</x:v>
      </x:c>
      <x:c r="F118" s="659" t="n">
        <x:v>112</x:v>
      </x:c>
      <x:c r="G118" s="659" t="str">
        <x:v>中国:农产品批发价格指数:猪肉</x:v>
      </x:c>
      <x:c r="H118" s="659" t="str">
        <x:v>日度；日期2026-07-01T00:00:00</x:v>
      </x:c>
      <x:c r="I118" s="659" t="str">
        <x:v>硬数据/同步指标</x:v>
      </x:c>
      <x:c r="J118" s="659" t="str">
        <x:v>当前78.38；环比0.35；同比-0.235018543822；同比增量-24.08</x:v>
      </x:c>
      <x:c r="K118" s="659" t="str">
        <x:v>背景</x:v>
      </x:c>
      <x:c r="L118" s="659" t="n">
        <x:v>78.38</x:v>
      </x:c>
      <x:c r="M118" s="659" t="str">
        <x:v>2026-07-01T00:00:00</x:v>
      </x:c>
      <x:c r="N118" s="659" t="n">
        <x:v>0.35</x:v>
      </x:c>
      <x:c r="O118" s="659" t="n">
        <x:v>-0.235018543822</x:v>
      </x:c>
      <x:c r="P118" s="659" t="n">
        <x:v>-24.08</x:v>
      </x:c>
      <x:c r="Q118" s="687" t="n">
        <x:v>0.0111111111111</x:v>
      </x:c>
      <x:c r="R118" s="659" t="str">
        <x:v>猪肉价格指数同比仍弱，食品端对CPI支撑有限。</x:v>
      </x:c>
      <x:c r="S118" s="659" t="str">
        <x:v>权重0.0111111111111；猪肉批发价格指数是中国CPI食品项的重要高频线索，能提前观察居民通胀压力；但它只覆盖单一品类，不能代表整体价格周期，因此作为CPI的辅助观察。</x:v>
      </x:c>
      <x:c r="T118" s="659" t="str">
        <x:v>背景验证</x:v>
      </x:c>
      <x:c r="U118" s="659" t="str">
        <x:v>中性</x:v>
      </x:c>
      <x:c r="V118" s="659" t="str">
        <x:v>中</x:v>
      </x:c>
      <x:c r="W118" s="659" t="str">
        <x:v>重点看环比/同比方向和历史位置</x:v>
      </x:c>
      <x:c r="X118" s="659" t="str">
        <x:v>否</x:v>
      </x:c>
      <x:c r="Y118" s="659" t="str">
        <x:v>权重或边际变化不足以改变面级判断，本期作为背景验证。</x:v>
      </x:c>
      <x:c r="Z118" s="659" t="str">
        <x:v>已检查同面反向指标；若出现支撑与压力并存，面级结论按分化或边际变化处理。</x:v>
      </x:c>
      <x:c r="AA118"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8" s="659" t="str">
        <x:v>避免单指标下结论；资金面不轻易表述为紧缩，估值面必须给历史分位。</x:v>
      </x:c>
      <x:c r="AC118" s="659" t="str">
        <x:v>否</x:v>
      </x:c>
      <x:c r="AD118" s="659" t="str">
        <x:v>P3</x:v>
      </x:c>
      <x:c r="AE118" s="659" t="str"/>
      <x:c r="AF118" s="659" t="str"/>
      <x:c r="AG118" s="659" t="str">
        <x:v>作为背景验证，不进入最终PPT。</x:v>
      </x:c>
      <x:c r="AH118" s="659" t="str"/>
      <x:c r="AI118" s="659" t="str"/>
    </x:row>
    <x:row r="119" ht="54" customHeight="1">
      <x:c r="A119" s="659" t="str">
        <x:v>指标</x:v>
      </x:c>
      <x:c r="B119" s="659" t="str">
        <x:v>境内</x:v>
      </x:c>
      <x:c r="C119" s="659" t="str">
        <x:v>债市</x:v>
      </x:c>
      <x:c r="D119" s="659" t="str">
        <x:v>基本面</x:v>
      </x:c>
      <x:c r="E119" s="659" t="str">
        <x:v>价格利润</x:v>
      </x:c>
      <x:c r="F119" s="659" t="n">
        <x:v>113</x:v>
      </x:c>
      <x:c r="G119" s="659" t="str">
        <x:v>期货结算价(活跃合约):布伦特原油</x:v>
      </x:c>
      <x:c r="H119" s="659" t="str">
        <x:v>日度；日期2026-07-01T00:00:00</x:v>
      </x:c>
      <x:c r="I119" s="659" t="str">
        <x:v>硬数据/同步指标</x:v>
      </x:c>
      <x:c r="J119" s="659" t="str">
        <x:v>当前71.57；环比-1.35；同比0.0664580539413；同比增量4.46</x:v>
      </x:c>
      <x:c r="K119" s="659" t="str">
        <x:v>背景</x:v>
      </x:c>
      <x:c r="L119" s="659" t="n">
        <x:v>71.57</x:v>
      </x:c>
      <x:c r="M119" s="659" t="str">
        <x:v>2026-07-01T00:00:00</x:v>
      </x:c>
      <x:c r="N119" s="659" t="n">
        <x:v>-1.35</x:v>
      </x:c>
      <x:c r="O119" s="659" t="n">
        <x:v>0.0664580539413</x:v>
      </x:c>
      <x:c r="P119" s="659" t="n">
        <x:v>4.46</x:v>
      </x:c>
      <x:c r="Q119" s="687" t="n">
        <x:v>0.0166666666667</x:v>
      </x:c>
      <x:c r="R119" s="659" t="str">
        <x:v>布伦特油价93.1且环比上涨，输入性因素对PPI和通胀预期形成支撑。</x:v>
      </x:c>
      <x:c r="S119" s="659" t="str">
        <x:v>权重0.0166666666667；布伦特原油价格是全球能源成本和输入性通胀的重要来源，会影响PPI、CPI、企业利润和风险偏好；但短期受地缘和供给扰动较大，需与国内价格指标一起判断。</x:v>
      </x:c>
      <x:c r="T119" s="659" t="str">
        <x:v>背景验证</x:v>
      </x:c>
      <x:c r="U119" s="659" t="str">
        <x:v>中性</x:v>
      </x:c>
      <x:c r="V119" s="659" t="str">
        <x:v>中</x:v>
      </x:c>
      <x:c r="W119" s="659" t="str">
        <x:v>重点看环比/同比方向和历史位置</x:v>
      </x:c>
      <x:c r="X119" s="659" t="str">
        <x:v>否</x:v>
      </x:c>
      <x:c r="Y119" s="659" t="str">
        <x:v>权重或边际变化不足以改变面级判断，本期作为背景验证。</x:v>
      </x:c>
      <x:c r="Z119" s="659" t="str">
        <x:v>已检查同面反向指标；若出现支撑与压力并存，面级结论按分化或边际变化处理。</x:v>
      </x:c>
      <x:c r="AA119"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19" s="659" t="str">
        <x:v>避免单指标下结论；资金面不轻易表述为紧缩，估值面必须给历史分位。</x:v>
      </x:c>
      <x:c r="AC119" s="659" t="str">
        <x:v>否</x:v>
      </x:c>
      <x:c r="AD119" s="659" t="str">
        <x:v>P3</x:v>
      </x:c>
      <x:c r="AE119" s="659" t="str"/>
      <x:c r="AF119" s="659" t="str"/>
      <x:c r="AG119" s="659" t="str">
        <x:v>作为背景验证，不进入最终PPT。</x:v>
      </x:c>
      <x:c r="AH119" s="659" t="str"/>
      <x:c r="AI119" s="659" t="str"/>
    </x:row>
    <x:row r="120" ht="54" customHeight="1">
      <x:c r="A120" s="659" t="str">
        <x:v>指标</x:v>
      </x:c>
      <x:c r="B120" s="659" t="str">
        <x:v>境内</x:v>
      </x:c>
      <x:c r="C120" s="659" t="str">
        <x:v>债市</x:v>
      </x:c>
      <x:c r="D120" s="659" t="str">
        <x:v>基本面</x:v>
      </x:c>
      <x:c r="E120" s="659" t="str">
        <x:v>价格利润</x:v>
      </x:c>
      <x:c r="F120" s="659" t="n">
        <x:v>114</x:v>
      </x:c>
      <x:c r="G120" s="659" t="str">
        <x:v>原材料购价</x:v>
      </x:c>
      <x:c r="H120" s="659" t="str">
        <x:v>月度；日期2026-06-30T00:00:00</x:v>
      </x:c>
      <x:c r="I120" s="659" t="str">
        <x:v>价格/通胀指标</x:v>
      </x:c>
      <x:c r="J120" s="659" t="str">
        <x:v>当前54.2；环比-6.3；同比增量5.8</x:v>
      </x:c>
      <x:c r="K120" s="659" t="str">
        <x:v>背景</x:v>
      </x:c>
      <x:c r="L120" s="659" t="n">
        <x:v>54.2</x:v>
      </x:c>
      <x:c r="M120" s="659" t="str">
        <x:v>2026-06-30T00:00:00</x:v>
      </x:c>
      <x:c r="N120" s="659" t="n">
        <x:v>-6.3</x:v>
      </x:c>
      <x:c r="O120" s="659" t="str">
        <x:v>-</x:v>
      </x:c>
      <x:c r="P120" s="659" t="n">
        <x:v>5.8</x:v>
      </x:c>
      <x:c r="Q120" s="670" t="n">
        <x:v>0.0277777777777778</x:v>
      </x:c>
      <x:c r="R120" s="659" t="str">
        <x:v>原材料购价指数60.5仍高，但环比回落，成本压力边际缓和。</x:v>
      </x:c>
      <x:c r="S120" s="659" t="str">
        <x:v>权重0.0277777777777778；原材料购价领先PPI和成本压力，是利润率的前瞻信号，用于补充确认核心信号。</x:v>
      </x:c>
      <x:c r="T120" s="659" t="str">
        <x:v>背景验证</x:v>
      </x:c>
      <x:c r="U120" s="659" t="str">
        <x:v>中性</x:v>
      </x:c>
      <x:c r="V120" s="659" t="str">
        <x:v>中</x:v>
      </x:c>
      <x:c r="W120" s="659" t="str">
        <x:v>重点看环比/同比方向和历史位置</x:v>
      </x:c>
      <x:c r="X120" s="659" t="str">
        <x:v>否</x:v>
      </x:c>
      <x:c r="Y120" s="659" t="str">
        <x:v>权重或边际变化不足以改变面级判断，本期作为背景验证。</x:v>
      </x:c>
      <x:c r="Z120" s="659" t="str">
        <x:v>已检查同面反向指标；若出现支撑与压力并存，面级结论按分化或边际变化处理。</x:v>
      </x:c>
      <x:c r="AA120"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20" s="659" t="str">
        <x:v>避免单指标下结论；资金面不轻易表述为紧缩，估值面必须给历史分位。</x:v>
      </x:c>
      <x:c r="AC120" s="659" t="str">
        <x:v>否</x:v>
      </x:c>
      <x:c r="AD120" s="659" t="str">
        <x:v>P3</x:v>
      </x:c>
      <x:c r="AE120" s="659" t="str"/>
      <x:c r="AF120" s="659" t="str"/>
      <x:c r="AG120" s="659" t="str">
        <x:v>作为背景验证，不进入最终PPT。</x:v>
      </x:c>
      <x:c r="AH120" s="659" t="str"/>
      <x:c r="AI120" s="659" t="str"/>
    </x:row>
    <x:row r="121" ht="54" customHeight="1">
      <x:c r="A121" s="659" t="str">
        <x:v>指标</x:v>
      </x:c>
      <x:c r="B121" s="659" t="str">
        <x:v>境内</x:v>
      </x:c>
      <x:c r="C121" s="659" t="str">
        <x:v>债市</x:v>
      </x:c>
      <x:c r="D121" s="659" t="str">
        <x:v>基本面</x:v>
      </x:c>
      <x:c r="E121" s="659" t="str">
        <x:v>价格利润</x:v>
      </x:c>
      <x:c r="F121" s="659" t="n">
        <x:v>115</x:v>
      </x:c>
      <x:c r="G121" s="659" t="str">
        <x:v>工业企业利润总额累计同比</x:v>
      </x:c>
      <x:c r="H121" s="659" t="str">
        <x:v>月度；日期2026-05-31T00:00:00</x:v>
      </x:c>
      <x:c r="I121" s="659" t="str">
        <x:v>硬数据/同步指标</x:v>
      </x:c>
      <x:c r="J121" s="659" t="str">
        <x:v>当前0.188；环比0.006；同比0.188；同比增量0.199</x:v>
      </x:c>
      <x:c r="K121" s="659" t="str">
        <x:v>必检</x:v>
      </x:c>
      <x:c r="L121" s="659" t="n">
        <x:v>0.188</x:v>
      </x:c>
      <x:c r="M121" s="659" t="str">
        <x:v>2026-05-31T00:00:00</x:v>
      </x:c>
      <x:c r="N121" s="659" t="n">
        <x:v>0.006</x:v>
      </x:c>
      <x:c r="O121" s="659" t="n">
        <x:v>0.188</x:v>
      </x:c>
      <x:c r="P121" s="659" t="n">
        <x:v>0.199</x:v>
      </x:c>
      <x:c r="Q121" s="694" t="n">
        <x:v>0.0666666666666667</x:v>
      </x:c>
      <x:c r="R121" s="659" t="str">
        <x:v>工业企业利润同比18.2%且继续改善，盈利修复较强，但需和终端需求分开看。</x:v>
      </x:c>
      <x:c r="S121" s="659" t="str">
        <x:v>权重0.0666666666666667；工业企业利润直接连接宏观景气与企业盈利，在本项中更能代表方向。</x:v>
      </x:c>
      <x:c r="T121" s="681" t="str">
        <x:v>最终展示候选</x:v>
      </x:c>
      <x:c r="U121" s="659" t="str">
        <x:v>股市偏利好/债市利多减弱</x:v>
      </x:c>
      <x:c r="V121" s="659" t="str">
        <x:v>高</x:v>
      </x:c>
      <x:c r="W121" s="659" t="str">
        <x:v>重点看环比/同比方向和历史位置</x:v>
      </x:c>
      <x:c r="X121" s="674" t="str">
        <x:v>是</x:v>
      </x:c>
      <x:c r="Y121" s="659" t="str">
        <x:v>权重较高或边际变化/阈值信号明确，且解释力足以支撑面级结论，进入第一轮候选池。</x:v>
      </x:c>
      <x:c r="Z121" s="659" t="str">
        <x:v>已检查同面反向指标；若出现支撑与压力并存，面级结论按分化或边际变化处理。</x:v>
      </x:c>
      <x:c r="AA121"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21" s="659" t="str">
        <x:v>避免单指标下结论；资金面不轻易表述为紧缩，估值面必须给历史分位。</x:v>
      </x:c>
      <x:c r="AC121" s="677" t="str">
        <x:v>是</x:v>
      </x:c>
      <x:c r="AD121" s="659" t="str">
        <x:v>P1</x:v>
      </x:c>
      <x:c r="AE121" s="659" t="str">
        <x:v>第二轮入选：该指标能最直接解释面级判断，且适合放入最终PPT。</x:v>
      </x:c>
      <x:c r="AF121" s="659" t="str">
        <x:v>工业利润同比18.8%、较上月提升0.6个百分点</x:v>
      </x:c>
      <x:c r="AG121" s="659" t="str"/>
      <x:c r="AH121"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I121" s="659" t="str">
        <x:v>需人工复核口径与最终PPT篇幅。</x:v>
      </x:c>
    </x:row>
    <x:row r="122" ht="54" customHeight="1">
      <x:c r="A122" s="659" t="str">
        <x:v>指标</x:v>
      </x:c>
      <x:c r="B122" s="659" t="str">
        <x:v>境内</x:v>
      </x:c>
      <x:c r="C122" s="659" t="str">
        <x:v>债市</x:v>
      </x:c>
      <x:c r="D122" s="659" t="str">
        <x:v>基本面</x:v>
      </x:c>
      <x:c r="E122" s="659" t="str">
        <x:v>价格利润</x:v>
      </x:c>
      <x:c r="F122" s="659" t="n">
        <x:v>116</x:v>
      </x:c>
      <x:c r="G122" s="659" t="str">
        <x:v>工业企业营业收入利润率</x:v>
      </x:c>
      <x:c r="H122" s="659" t="str">
        <x:v>月度；日期2026-05-31T00:00:00</x:v>
      </x:c>
      <x:c r="I122" s="659" t="str">
        <x:v>硬数据/同步指标</x:v>
      </x:c>
      <x:c r="J122" s="659" t="str">
        <x:v>当前0.0556；环比0.0013；同比0.118712273642；同比增量0.0059</x:v>
      </x:c>
      <x:c r="K122" s="659" t="str">
        <x:v>必检</x:v>
      </x:c>
      <x:c r="L122" s="659" t="n">
        <x:v>0.0556</x:v>
      </x:c>
      <x:c r="M122" s="659" t="str">
        <x:v>2026-05-31T00:00:00</x:v>
      </x:c>
      <x:c r="N122" s="659" t="n">
        <x:v>0.0013</x:v>
      </x:c>
      <x:c r="O122" s="659" t="n">
        <x:v>0.118712273642</x:v>
      </x:c>
      <x:c r="P122" s="659" t="n">
        <x:v>0.0059</x:v>
      </x:c>
      <x:c r="Q122" s="684" t="n">
        <x:v>0.0444444444444444</x:v>
      </x:c>
      <x:c r="R122" s="659" t="str">
        <x:v>工业企业利润率5.43%且同比提升，盈利质量改善，更多体现价格和成本结构修复。</x:v>
      </x:c>
      <x:c r="S122" s="659" t="str">
        <x:v>权重0.0444444444444444；利润率衡量盈利质量，可区分增收与真实增利，在本项中更能代表方向。</x:v>
      </x:c>
      <x:c r="T122" s="691" t="str">
        <x:v>关键候选</x:v>
      </x:c>
      <x:c r="U122" s="659" t="str">
        <x:v>股市偏利好/债市利多减弱</x:v>
      </x:c>
      <x:c r="V122" s="659" t="str">
        <x:v>高</x:v>
      </x:c>
      <x:c r="W122" s="659" t="str">
        <x:v>重点看环比/同比方向和历史位置</x:v>
      </x:c>
      <x:c r="X122" s="674" t="str">
        <x:v>是</x:v>
      </x:c>
      <x:c r="Y122" s="659" t="str">
        <x:v>指标权重较高、边际变化明显或具有关键阈值/联动判断价值，进入第一轮候选池。</x:v>
      </x:c>
      <x:c r="Z122" s="659" t="str">
        <x:v>已检查同面反向指标；若出现支撑与压力并存，面级结论按分化或边际变化处理。</x:v>
      </x:c>
      <x:c r="AA122" s="659" t="str">
        <x:v>债市基本面：中性偏多但利多边际弱化：内需和地产走弱仍支撑债市，但制造业景气改善和盈利修复削弱单边利多：内需仍弱（社零同比-0.6%、固投同比-4.1%）；地产拖累延续（地产投资累计同比-16.2%）；制造业景气改善（6月制造业PMI为50.3、PMI新订单为51.2）。</x:v>
      </x:c>
      <x:c r="AB122" s="659" t="str">
        <x:v>避免单指标下结论；资金面不轻易表述为紧缩，估值面必须给历史分位。</x:v>
      </x:c>
      <x:c r="AC122" s="659" t="str">
        <x:v>否</x:v>
      </x:c>
      <x:c r="AD122" s="659" t="str">
        <x:v>P2</x:v>
      </x:c>
      <x:c r="AE122" s="659" t="str"/>
      <x:c r="AF122" s="659" t="str"/>
      <x:c r="AG122" s="659" t="str">
        <x:v>已经参与第一轮判断，但不是本期最终展示的最高解释力指标。</x:v>
      </x:c>
      <x:c r="AH122" s="659" t="str"/>
      <x:c r="AI122" s="659" t="str"/>
    </x:row>
    <x:row r="123" ht="54" customHeight="1">
      <x:c r="A123" s="659" t="str">
        <x:v>指标</x:v>
      </x:c>
      <x:c r="B123" s="659" t="str">
        <x:v>境内</x:v>
      </x:c>
      <x:c r="C123" s="659" t="str">
        <x:v>债市</x:v>
      </x:c>
      <x:c r="D123" s="659" t="str">
        <x:v>政策面</x:v>
      </x:c>
      <x:c r="E123" s="659" t="str">
        <x:v>货币政策</x:v>
      </x:c>
      <x:c r="F123" s="659" t="n">
        <x:v>117</x:v>
      </x:c>
      <x:c r="G123" s="659" t="str">
        <x:v>关注货币政策报告</x:v>
      </x:c>
      <x:c r="H123" s="659" t="str">
        <x:v>不定期；日期—</x:v>
      </x:c>
      <x:c r="I123" s="659" t="str">
        <x:v>硬数据/同步指标</x:v>
      </x:c>
      <x:c r="J123" s="659" t="str">
        <x:v>缺少有效数据</x:v>
      </x:c>
      <x:c r="K123" s="659" t="str">
        <x:v>背景</x:v>
      </x:c>
      <x:c r="L123" s="659" t="str">
        <x:v>—</x:v>
      </x:c>
      <x:c r="M123" s="659" t="str">
        <x:v>—</x:v>
      </x:c>
      <x:c r="N123" s="659" t="str">
        <x:v>—</x:v>
      </x:c>
      <x:c r="O123" s="659" t="str">
        <x:v>-</x:v>
      </x:c>
      <x:c r="P123" s="659" t="str">
        <x:v>-</x:v>
      </x:c>
      <x:c r="Q123" s="670" t="n">
        <x:v>0.032</x:v>
      </x:c>
      <x:c r="R123" s="659" t="str">
        <x:v>定性跟踪项，需结合最新货币政策报告和会议措辞确认，暂不量化。</x:v>
      </x:c>
      <x:c r="S123" s="659" t="str">
        <x:v>权重0.032；货币政策方向决定流动性框架边界，虽不定期但信号权威，在本项中更能代表方向。</x:v>
      </x:c>
      <x:c r="T123" s="698" t="str">
        <x:v>缺数据</x:v>
      </x:c>
      <x:c r="U123" s="659" t="str">
        <x:v>中性</x:v>
      </x:c>
      <x:c r="V123" s="659" t="str">
        <x:v>中</x:v>
      </x:c>
      <x:c r="W123" s="659" t="str">
        <x:v>无明确阈值，作为背景验证</x:v>
      </x:c>
      <x:c r="X123" s="659" t="str">
        <x:v>否</x:v>
      </x:c>
      <x:c r="Y123" s="659" t="str">
        <x:v>本期无有效前端数据，不进入候选池。</x:v>
      </x:c>
      <x:c r="Z123" s="659" t="str">
        <x:v>已检查同面反向指标；若出现支撑与压力并存，面级结论按分化或边际变化处理。</x:v>
      </x:c>
      <x:c r="AA123" s="659" t="str">
        <x:v>债市政策面：中性偏分化：中央财政加杠杆带来供给预期，但支出端偏温和，政策力度仍偏稳：中央财政加杠杆（中央政府债务余额同比17.5%）；财政支出偏温和（一般公共预算支出累计同比0.8%）。</x:v>
      </x:c>
      <x:c r="AB123" s="659" t="str">
        <x:v>避免单指标下结论；资金面不轻易表述为紧缩，估值面必须给历史分位。</x:v>
      </x:c>
      <x:c r="AC123" s="659" t="str">
        <x:v>否</x:v>
      </x:c>
      <x:c r="AD123" s="659" t="str">
        <x:v>P3</x:v>
      </x:c>
      <x:c r="AE123" s="659" t="str"/>
      <x:c r="AF123" s="659" t="str"/>
      <x:c r="AG123" s="659" t="str">
        <x:v>作为背景验证，不进入最终PPT。</x:v>
      </x:c>
      <x:c r="AH123" s="659" t="str"/>
      <x:c r="AI123" s="659" t="str"/>
    </x:row>
    <x:row r="124" ht="54" customHeight="1">
      <x:c r="A124" s="659" t="str">
        <x:v>指标</x:v>
      </x:c>
      <x:c r="B124" s="659" t="str">
        <x:v>境内</x:v>
      </x:c>
      <x:c r="C124" s="659" t="str">
        <x:v>债市</x:v>
      </x:c>
      <x:c r="D124" s="659" t="str">
        <x:v>政策面</x:v>
      </x:c>
      <x:c r="E124" s="659" t="str">
        <x:v>财政政策</x:v>
      </x:c>
      <x:c r="F124" s="659" t="n">
        <x:v>118</x:v>
      </x:c>
      <x:c r="G124" s="659" t="str">
        <x:v>中国:一般公共预算收入:累计值</x:v>
      </x:c>
      <x:c r="H124" s="659" t="str">
        <x:v>月度；日期2026-05-31T00:00:00</x:v>
      </x:c>
      <x:c r="I124" s="659" t="str">
        <x:v>政策财政/供给指标</x:v>
      </x:c>
      <x:c r="J124" s="659" t="str">
        <x:v>当前100465；环比17061；同比0.039762789398；同比增量3842</x:v>
      </x:c>
      <x:c r="K124" s="659" t="str">
        <x:v>必检</x:v>
      </x:c>
      <x:c r="L124" s="659" t="n">
        <x:v>100465</x:v>
      </x:c>
      <x:c r="M124" s="659" t="str">
        <x:v>2026-05-31T00:00:00</x:v>
      </x:c>
      <x:c r="N124" s="659" t="n">
        <x:v>17061</x:v>
      </x:c>
      <x:c r="O124" s="659" t="n">
        <x:v>0.039762789398</x:v>
      </x:c>
      <x:c r="P124" s="659" t="n">
        <x:v>3842</x:v>
      </x:c>
      <x:c r="Q124" s="687" t="n">
        <x:v>0.014</x:v>
      </x:c>
      <x:c r="R124" s="659" t="str">
        <x:v>财政收入累计同比3.46%，收入端小幅修复但不等同于政策发力。</x:v>
      </x:c>
      <x:c r="S124" s="659" t="str">
        <x:v>权重0.014；公共财政收入累计值反映财政收入端的资源基础，能观察经济活动和税收恢复情况；但收入本身不等于政策发力，需结合支出、赤字和财政存款一起判断，因此权重低于财政支出和财政脉冲。</x:v>
      </x:c>
      <x:c r="T124" s="691" t="str">
        <x:v>关键候选</x:v>
      </x:c>
      <x:c r="U124" s="659" t="str">
        <x:v>中性</x:v>
      </x:c>
      <x:c r="V124" s="659" t="str">
        <x:v>中</x:v>
      </x:c>
      <x:c r="W124" s="659" t="str">
        <x:v>重点看环比/同比方向和历史位置</x:v>
      </x:c>
      <x:c r="X124" s="674" t="str">
        <x:v>是</x:v>
      </x:c>
      <x:c r="Y124" s="659" t="str">
        <x:v>指标权重较高、边际变化明显或具有关键阈值/联动判断价值，进入第一轮候选池。</x:v>
      </x:c>
      <x:c r="Z124" s="659" t="str">
        <x:v>已检查同面反向指标；若出现支撑与压力并存，面级结论按分化或边际变化处理。</x:v>
      </x:c>
      <x:c r="AA124" s="659" t="str">
        <x:v>债市政策面：中性偏分化：中央财政加杠杆带来供给预期，但支出端偏温和，政策力度仍偏稳：中央财政加杠杆（中央政府债务余额同比17.5%）；财政支出偏温和（一般公共预算支出累计同比0.8%）。</x:v>
      </x:c>
      <x:c r="AB124" s="659" t="str">
        <x:v>避免单指标下结论；资金面不轻易表述为紧缩，估值面必须给历史分位。</x:v>
      </x:c>
      <x:c r="AC124" s="659" t="str">
        <x:v>否</x:v>
      </x:c>
      <x:c r="AD124" s="659" t="str">
        <x:v>P2</x:v>
      </x:c>
      <x:c r="AE124" s="659" t="str"/>
      <x:c r="AF124" s="659" t="str"/>
      <x:c r="AG124" s="659" t="str">
        <x:v>已经参与第一轮判断，但不是本期最终展示的最高解释力指标。</x:v>
      </x:c>
      <x:c r="AH124" s="659" t="str"/>
      <x:c r="AI124" s="659" t="str"/>
    </x:row>
    <x:row r="125" ht="54" customHeight="1">
      <x:c r="A125" s="659" t="str">
        <x:v>指标</x:v>
      </x:c>
      <x:c r="B125" s="659" t="str">
        <x:v>境内</x:v>
      </x:c>
      <x:c r="C125" s="659" t="str">
        <x:v>债市</x:v>
      </x:c>
      <x:c r="D125" s="659" t="str">
        <x:v>政策面</x:v>
      </x:c>
      <x:c r="E125" s="659" t="str">
        <x:v>财政政策</x:v>
      </x:c>
      <x:c r="F125" s="659" t="n">
        <x:v>119</x:v>
      </x:c>
      <x:c r="G125" s="659" t="str">
        <x:v>中国:一般公共预算支出:累计值</x:v>
      </x:c>
      <x:c r="H125" s="659" t="str">
        <x:v>月度；日期2026-05-31T00:00:00</x:v>
      </x:c>
      <x:c r="I125" s="659" t="str">
        <x:v>政策财政/供给指标</x:v>
      </x:c>
      <x:c r="J125" s="659" t="str">
        <x:v>当前113877；环比19068；同比0.00818039361504；同比增量924</x:v>
      </x:c>
      <x:c r="K125" s="659" t="str">
        <x:v>必检</x:v>
      </x:c>
      <x:c r="L125" s="659" t="n">
        <x:v>113877</x:v>
      </x:c>
      <x:c r="M125" s="659" t="str">
        <x:v>2026-05-31T00:00:00</x:v>
      </x:c>
      <x:c r="N125" s="659" t="n">
        <x:v>19068</x:v>
      </x:c>
      <x:c r="O125" s="659" t="n">
        <x:v>0.00818039361504</x:v>
      </x:c>
      <x:c r="P125" s="659" t="n">
        <x:v>924</x:v>
      </x:c>
      <x:c r="Q125" s="687" t="n">
        <x:v>0.016</x:v>
      </x:c>
      <x:c r="R125" s="659" t="str">
        <x:v>财政支出累计同比1.31%，支出扩张偏温和，托底力度不强。</x:v>
      </x:c>
      <x:c r="S125" s="659" t="str">
        <x:v>权重0.016；一般公共预算支出累计值直接反映财政资金实际投放规模，是观察财政托底力度的重要金额口径；但单看累计值受年度进度和季节性影响较大，需要结合支出同比、财政收入和赤字脉冲判断。</x:v>
      </x:c>
      <x:c r="T125" s="681" t="str">
        <x:v>最终展示候选</x:v>
      </x:c>
      <x:c r="U125" s="659" t="str">
        <x:v>支出端偏温和</x:v>
      </x:c>
      <x:c r="V125" s="659" t="str">
        <x:v>中</x:v>
      </x:c>
      <x:c r="W125" s="659" t="str">
        <x:v>重点看环比/同比方向和历史位置</x:v>
      </x:c>
      <x:c r="X125" s="674" t="str">
        <x:v>是</x:v>
      </x:c>
      <x:c r="Y125" s="659" t="str">
        <x:v>权重较高或边际变化/阈值信号明确，且解释力足以支撑面级结论，进入第一轮候选池。</x:v>
      </x:c>
      <x:c r="Z125" s="659" t="str">
        <x:v>已检查同面反向指标；若出现支撑与压力并存，面级结论按分化或边际变化处理。</x:v>
      </x:c>
      <x:c r="AA125" s="659" t="str">
        <x:v>债市政策面：中性偏分化：中央财政加杠杆带来供给预期，但支出端偏温和，政策力度仍偏稳：中央财政加杠杆（中央政府债务余额同比17.5%）；财政支出偏温和（一般公共预算支出累计同比0.8%）。</x:v>
      </x:c>
      <x:c r="AB125" s="659" t="str">
        <x:v>避免单指标下结论；资金面不轻易表述为紧缩，估值面必须给历史分位。</x:v>
      </x:c>
      <x:c r="AC125" s="677" t="str">
        <x:v>是</x:v>
      </x:c>
      <x:c r="AD125" s="659" t="str">
        <x:v>P1</x:v>
      </x:c>
      <x:c r="AE125" s="659" t="str">
        <x:v>第二轮入选：该指标能最直接解释面级判断，且适合放入最终PPT。</x:v>
      </x:c>
      <x:c r="AF125" s="659" t="str">
        <x:v>一般公共预算支出累计同比0.8%</x:v>
      </x:c>
      <x:c r="AG125" s="659" t="str"/>
      <x:c r="AH125" s="659" t="str">
        <x:v>债市政策面：中性偏分化：中央财政加杠杆带来供给预期，但支出端偏温和，政策力度仍偏稳：中央财政加杠杆（中央政府债务余额同比17.5%）；财政支出偏温和（一般公共预算支出累计同比0.8%）。</x:v>
      </x:c>
      <x:c r="AI125" s="659" t="str">
        <x:v>需人工复核口径与最终PPT篇幅。</x:v>
      </x:c>
    </x:row>
    <x:row r="126" ht="54" customHeight="1">
      <x:c r="A126" s="659" t="str">
        <x:v>指标</x:v>
      </x:c>
      <x:c r="B126" s="659" t="str">
        <x:v>境内</x:v>
      </x:c>
      <x:c r="C126" s="659" t="str">
        <x:v>债市</x:v>
      </x:c>
      <x:c r="D126" s="659" t="str">
        <x:v>政策面</x:v>
      </x:c>
      <x:c r="E126" s="659" t="str">
        <x:v>财政政策</x:v>
      </x:c>
      <x:c r="F126" s="659" t="n">
        <x:v>120</x:v>
      </x:c>
      <x:c r="G126" s="659" t="str">
        <x:v>中国:地方政府性基金收入:国有土地使用权出让收入:累计同比</x:v>
      </x:c>
      <x:c r="H126" s="659" t="str">
        <x:v>月度；日期2026-05-31T00:00:00</x:v>
      </x:c>
      <x:c r="I126" s="659" t="str">
        <x:v>政策财政/供给指标</x:v>
      </x:c>
      <x:c r="J126" s="659" t="str">
        <x:v>当前-0.287；环比-0.015；同比-0.287；同比增量-0.168</x:v>
      </x:c>
      <x:c r="K126" s="659" t="str">
        <x:v>必检</x:v>
      </x:c>
      <x:c r="L126" s="659" t="n">
        <x:v>-0.287</x:v>
      </x:c>
      <x:c r="M126" s="659" t="str">
        <x:v>2026-05-31T00:00:00</x:v>
      </x:c>
      <x:c r="N126" s="659" t="n">
        <x:v>-0.015</x:v>
      </x:c>
      <x:c r="O126" s="659" t="n">
        <x:v>-0.287</x:v>
      </x:c>
      <x:c r="P126" s="659" t="n">
        <x:v>-0.168</x:v>
      </x:c>
      <x:c r="Q126" s="687" t="n">
        <x:v>0.012</x:v>
      </x:c>
      <x:c r="R126" s="659" t="str">
        <x:v>土地出让收入同比-27.2%且降幅扩大，地方财政和地产链压力偏大。</x:v>
      </x:c>
      <x:c r="S126" s="659" t="str">
        <x:v>权重0.012；土地出让收入累计同比反映地方政府性基金收入和地产链景气，对地方财政、基建配套和地产政策空间有辅助意义；但受土地成交节奏扰动较大，因此权重低于一般公共财政支出。</x:v>
      </x:c>
      <x:c r="T126" s="691" t="str">
        <x:v>关键候选</x:v>
      </x:c>
      <x:c r="U126" s="659" t="str">
        <x:v>中性</x:v>
      </x:c>
      <x:c r="V126" s="659" t="str">
        <x:v>中</x:v>
      </x:c>
      <x:c r="W126" s="659" t="str">
        <x:v>重点看环比/同比方向和历史位置</x:v>
      </x:c>
      <x:c r="X126" s="674" t="str">
        <x:v>是</x:v>
      </x:c>
      <x:c r="Y126" s="659" t="str">
        <x:v>指标权重较高、边际变化明显或具有关键阈值/联动判断价值，进入第一轮候选池。</x:v>
      </x:c>
      <x:c r="Z126" s="659" t="str">
        <x:v>已检查同面反向指标；若出现支撑与压力并存，面级结论按分化或边际变化处理。</x:v>
      </x:c>
      <x:c r="AA126" s="659" t="str">
        <x:v>债市政策面：中性偏分化：中央财政加杠杆带来供给预期，但支出端偏温和，政策力度仍偏稳：中央财政加杠杆（中央政府债务余额同比17.5%）；财政支出偏温和（一般公共预算支出累计同比0.8%）。</x:v>
      </x:c>
      <x:c r="AB126" s="659" t="str">
        <x:v>避免单指标下结论；资金面不轻易表述为紧缩，估值面必须给历史分位。</x:v>
      </x:c>
      <x:c r="AC126" s="659" t="str">
        <x:v>否</x:v>
      </x:c>
      <x:c r="AD126" s="659" t="str">
        <x:v>P2</x:v>
      </x:c>
      <x:c r="AE126" s="659" t="str"/>
      <x:c r="AF126" s="659" t="str"/>
      <x:c r="AG126" s="659" t="str">
        <x:v>已经参与第一轮判断，但不是本期最终展示的最高解释力指标。</x:v>
      </x:c>
      <x:c r="AH126" s="659" t="str"/>
      <x:c r="AI126" s="659" t="str"/>
    </x:row>
    <x:row r="127" ht="54" customHeight="1">
      <x:c r="A127" s="659" t="str">
        <x:v>指标</x:v>
      </x:c>
      <x:c r="B127" s="659" t="str">
        <x:v>境内</x:v>
      </x:c>
      <x:c r="C127" s="659" t="str">
        <x:v>债市</x:v>
      </x:c>
      <x:c r="D127" s="659" t="str">
        <x:v>政策面</x:v>
      </x:c>
      <x:c r="E127" s="659" t="str">
        <x:v>财政政策</x:v>
      </x:c>
      <x:c r="F127" s="659" t="n">
        <x:v>121</x:v>
      </x:c>
      <x:c r="G127" s="659" t="str">
        <x:v>中国:中央政府债务余额</x:v>
      </x:c>
      <x:c r="H127" s="659" t="str">
        <x:v>月度；日期2026-03-31T00:00:00</x:v>
      </x:c>
      <x:c r="I127" s="659" t="str">
        <x:v>政策财政/供给指标</x:v>
      </x:c>
      <x:c r="J127" s="659" t="str">
        <x:v>当前42349.8；环比1118；同比0.174566018688；同比增量6294.1</x:v>
      </x:c>
      <x:c r="K127" s="659" t="str">
        <x:v>必检</x:v>
      </x:c>
      <x:c r="L127" s="659" t="n">
        <x:v>42349.8</x:v>
      </x:c>
      <x:c r="M127" s="659" t="str">
        <x:v>2026-03-31T00:00:00</x:v>
      </x:c>
      <x:c r="N127" s="659" t="n">
        <x:v>1118</x:v>
      </x:c>
      <x:c r="O127" s="659" t="n">
        <x:v>0.174566018688</x:v>
      </x:c>
      <x:c r="P127" s="659" t="n">
        <x:v>6294.1</x:v>
      </x:c>
      <x:c r="Q127" s="687" t="n">
        <x:v>0.01</x:v>
      </x:c>
      <x:c r="R127" s="659" t="str">
        <x:v>中央政府债务余额同比增19.3%，中央财政加杠杆信号明显。</x:v>
      </x:c>
      <x:c r="S127" s="659" t="str">
        <x:v>权重0.01；中央政府债务余额用于观察中央财政加杠杆程度和债务扩张空间，但它是余额型指标，边际政策信号弱于赤字率、政府债发行和财政支出，因此作为背景约束指标。</x:v>
      </x:c>
      <x:c r="T127" s="681" t="str">
        <x:v>最终展示候选</x:v>
      </x:c>
      <x:c r="U127" s="659" t="str">
        <x:v>财政加杠杆信号</x:v>
      </x:c>
      <x:c r="V127" s="659" t="str">
        <x:v>中</x:v>
      </x:c>
      <x:c r="W127" s="659" t="str">
        <x:v>重点看环比/同比方向和历史位置</x:v>
      </x:c>
      <x:c r="X127" s="674" t="str">
        <x:v>是</x:v>
      </x:c>
      <x:c r="Y127" s="659" t="str">
        <x:v>权重较高或边际变化/阈值信号明确，且解释力足以支撑面级结论，进入第一轮候选池。</x:v>
      </x:c>
      <x:c r="Z127" s="659" t="str">
        <x:v>已检查同面反向指标；若出现支撑与压力并存，面级结论按分化或边际变化处理。</x:v>
      </x:c>
      <x:c r="AA127" s="659" t="str">
        <x:v>债市政策面：中性偏分化：中央财政加杠杆带来供给预期，但支出端偏温和，政策力度仍偏稳：中央财政加杠杆（中央政府债务余额同比17.5%）；财政支出偏温和（一般公共预算支出累计同比0.8%）。</x:v>
      </x:c>
      <x:c r="AB127" s="659" t="str">
        <x:v>避免单指标下结论；资金面不轻易表述为紧缩，估值面必须给历史分位。</x:v>
      </x:c>
      <x:c r="AC127" s="677" t="str">
        <x:v>是</x:v>
      </x:c>
      <x:c r="AD127" s="659" t="str">
        <x:v>P1</x:v>
      </x:c>
      <x:c r="AE127" s="659" t="str">
        <x:v>第二轮入选：该指标能最直接解释面级判断，且适合放入最终PPT。</x:v>
      </x:c>
      <x:c r="AF127" s="659" t="str">
        <x:v>中央政府债务余额同比17.5%</x:v>
      </x:c>
      <x:c r="AG127" s="659" t="str"/>
      <x:c r="AH127" s="659" t="str">
        <x:v>债市政策面：中性偏分化：中央财政加杠杆带来供给预期，但支出端偏温和，政策力度仍偏稳：中央财政加杠杆（中央政府债务余额同比17.5%）；财政支出偏温和（一般公共预算支出累计同比0.8%）。</x:v>
      </x:c>
      <x:c r="AI127" s="659" t="str">
        <x:v>需人工复核口径与最终PPT篇幅。</x:v>
      </x:c>
    </x:row>
    <x:row r="128" ht="54" customHeight="1">
      <x:c r="A128" s="659" t="str">
        <x:v>指标</x:v>
      </x:c>
      <x:c r="B128" s="659" t="str">
        <x:v>境内</x:v>
      </x:c>
      <x:c r="C128" s="659" t="str">
        <x:v>债市</x:v>
      </x:c>
      <x:c r="D128" s="659" t="str">
        <x:v>政策面</x:v>
      </x:c>
      <x:c r="E128" s="659" t="str">
        <x:v>财政政策</x:v>
      </x:c>
      <x:c r="F128" s="659" t="n">
        <x:v>122</x:v>
      </x:c>
      <x:c r="G128" s="659" t="str">
        <x:v>财政赤字脉冲</x:v>
      </x:c>
      <x:c r="H128" s="659" t="str">
        <x:v>季度；日期2026-05-31T00:00:00</x:v>
      </x:c>
      <x:c r="I128" s="659" t="str">
        <x:v>政策财政/供给指标</x:v>
      </x:c>
      <x:c r="J128" s="659" t="str">
        <x:v>当前-0.95671581403；环比-0.143164974557</x:v>
      </x:c>
      <x:c r="K128" s="659" t="str">
        <x:v>背景</x:v>
      </x:c>
      <x:c r="L128" s="659" t="n">
        <x:v>-0.95671581403</x:v>
      </x:c>
      <x:c r="M128" s="659" t="str">
        <x:v>2026-05-31T00:00:00</x:v>
      </x:c>
      <x:c r="N128" s="659" t="n">
        <x:v>-0.143164974557</x:v>
      </x:c>
      <x:c r="O128" s="659" t="str">
        <x:v>-</x:v>
      </x:c>
      <x:c r="P128" s="659" t="str">
        <x:v>-</x:v>
      </x:c>
      <x:c r="Q128" s="670" t="n">
        <x:v>0.02</x:v>
      </x:c>
      <x:c r="R128" s="659" t="str">
        <x:v>财政赤字脉冲仍为负但环比改善，财政边际由收缩向修复。</x:v>
      </x:c>
      <x:c r="S128" s="659" t="str">
        <x:v>权重0.02；财政赤字脉冲反映财政边际方向，但季度频率较低，用于补充确认核心信号。</x:v>
      </x:c>
      <x:c r="T128" s="659" t="str">
        <x:v>背景验证</x:v>
      </x:c>
      <x:c r="U128" s="659" t="str">
        <x:v>中性</x:v>
      </x:c>
      <x:c r="V128" s="659" t="str">
        <x:v>中</x:v>
      </x:c>
      <x:c r="W128" s="659" t="str">
        <x:v>重点看环比/同比方向和历史位置</x:v>
      </x:c>
      <x:c r="X128" s="659" t="str">
        <x:v>否</x:v>
      </x:c>
      <x:c r="Y128" s="659" t="str">
        <x:v>权重或边际变化不足以改变面级判断，本期作为背景验证。</x:v>
      </x:c>
      <x:c r="Z128" s="659" t="str">
        <x:v>已检查同面反向指标；若出现支撑与压力并存，面级结论按分化或边际变化处理。</x:v>
      </x:c>
      <x:c r="AA128" s="659" t="str">
        <x:v>债市政策面：中性偏分化：中央财政加杠杆带来供给预期，但支出端偏温和，政策力度仍偏稳：中央财政加杠杆（中央政府债务余额同比17.5%）；财政支出偏温和（一般公共预算支出累计同比0.8%）。</x:v>
      </x:c>
      <x:c r="AB128" s="659" t="str">
        <x:v>避免单指标下结论；资金面不轻易表述为紧缩，估值面必须给历史分位。</x:v>
      </x:c>
      <x:c r="AC128" s="659" t="str">
        <x:v>否</x:v>
      </x:c>
      <x:c r="AD128" s="659" t="str">
        <x:v>P3</x:v>
      </x:c>
      <x:c r="AE128" s="659" t="str"/>
      <x:c r="AF128" s="659" t="str"/>
      <x:c r="AG128" s="659" t="str">
        <x:v>作为背景验证，不进入最终PPT。</x:v>
      </x:c>
      <x:c r="AH128" s="659" t="str"/>
      <x:c r="AI128" s="659" t="str"/>
    </x:row>
    <x:row r="129" ht="54" customHeight="1">
      <x:c r="A129" s="659" t="str">
        <x:v>指标</x:v>
      </x:c>
      <x:c r="B129" s="659" t="str">
        <x:v>境内</x:v>
      </x:c>
      <x:c r="C129" s="659" t="str">
        <x:v>债市</x:v>
      </x:c>
      <x:c r="D129" s="659" t="str">
        <x:v>政策面</x:v>
      </x:c>
      <x:c r="E129" s="659" t="str">
        <x:v>财政政策</x:v>
      </x:c>
      <x:c r="F129" s="659" t="n">
        <x:v>123</x:v>
      </x:c>
      <x:c r="G129" s="659" t="str">
        <x:v>财政存款（累计值）</x:v>
      </x:c>
      <x:c r="H129" s="659" t="str">
        <x:v>月度；日期2026-05-31T00:00:00</x:v>
      </x:c>
      <x:c r="I129" s="659" t="str">
        <x:v>政策财政/供给指标</x:v>
      </x:c>
      <x:c r="J129" s="659" t="str">
        <x:v>当前19100；环比7100；同比-0.0772946859903；同比增量-1600</x:v>
      </x:c>
      <x:c r="K129" s="659" t="str">
        <x:v>背景</x:v>
      </x:c>
      <x:c r="L129" s="659" t="n">
        <x:v>19100</x:v>
      </x:c>
      <x:c r="M129" s="659" t="str">
        <x:v>2026-05-31T00:00:00</x:v>
      </x:c>
      <x:c r="N129" s="659" t="n">
        <x:v>7100</x:v>
      </x:c>
      <x:c r="O129" s="659" t="n">
        <x:v>-0.0772946859903</x:v>
      </x:c>
      <x:c r="P129" s="659" t="n">
        <x:v>-1600</x:v>
      </x:c>
      <x:c r="Q129" s="687" t="n">
        <x:v>0.012</x:v>
      </x:c>
      <x:c r="R129" s="659" t="str">
        <x:v>财政存款累计增加1.2万亿且环比大增，资金仍有沉淀，财政落地节奏偏慢。</x:v>
      </x:c>
      <x:c r="S129" s="659" t="str">
        <x:v>权重0.012；财政存款累计值反映财政资金在银行体系中的沉淀和变化，是判断财政资金投放节奏的辅助指标；但累计口径不如财政存款当月变化直接，因此权重低于财政存款边际变化和财政赤字脉冲。</x:v>
      </x:c>
      <x:c r="T129" s="659" t="str">
        <x:v>背景验证</x:v>
      </x:c>
      <x:c r="U129" s="659" t="str">
        <x:v>中性</x:v>
      </x:c>
      <x:c r="V129" s="659" t="str">
        <x:v>中</x:v>
      </x:c>
      <x:c r="W129" s="659" t="str">
        <x:v>重点看环比/同比方向和历史位置</x:v>
      </x:c>
      <x:c r="X129" s="659" t="str">
        <x:v>否</x:v>
      </x:c>
      <x:c r="Y129" s="659" t="str">
        <x:v>权重或边际变化不足以改变面级判断，本期作为背景验证。</x:v>
      </x:c>
      <x:c r="Z129" s="659" t="str">
        <x:v>已检查同面反向指标；若出现支撑与压力并存，面级结论按分化或边际变化处理。</x:v>
      </x:c>
      <x:c r="AA129" s="659" t="str">
        <x:v>债市政策面：中性偏分化：中央财政加杠杆带来供给预期，但支出端偏温和，政策力度仍偏稳：中央财政加杠杆（中央政府债务余额同比17.5%）；财政支出偏温和（一般公共预算支出累计同比0.8%）。</x:v>
      </x:c>
      <x:c r="AB129" s="659" t="str">
        <x:v>避免单指标下结论；资金面不轻易表述为紧缩，估值面必须给历史分位。</x:v>
      </x:c>
      <x:c r="AC129" s="659" t="str">
        <x:v>否</x:v>
      </x:c>
      <x:c r="AD129" s="659" t="str">
        <x:v>P3</x:v>
      </x:c>
      <x:c r="AE129" s="659" t="str"/>
      <x:c r="AF129" s="659" t="str"/>
      <x:c r="AG129" s="659" t="str">
        <x:v>作为背景验证，不进入最终PPT。</x:v>
      </x:c>
      <x:c r="AH129" s="659" t="str"/>
      <x:c r="AI129" s="659" t="str"/>
    </x:row>
    <x:row r="130" ht="54" customHeight="1">
      <x:c r="A130" s="659" t="str">
        <x:v>指标</x:v>
      </x:c>
      <x:c r="B130" s="659" t="str">
        <x:v>境内</x:v>
      </x:c>
      <x:c r="C130" s="659" t="str">
        <x:v>债市</x:v>
      </x:c>
      <x:c r="D130" s="659" t="str">
        <x:v>资金面</x:v>
      </x:c>
      <x:c r="E130" s="659" t="str">
        <x:v>央行流动性
（30%）</x:v>
      </x:c>
      <x:c r="F130" s="659" t="n">
        <x:v>124</x:v>
      </x:c>
      <x:c r="G130" s="659" t="str">
        <x:v>7天逆回购利率</x:v>
      </x:c>
      <x:c r="H130" s="659" t="str">
        <x:v>日度；日期2026-07-02T00:00:00</x:v>
      </x:c>
      <x:c r="I130" s="659" t="str">
        <x:v>资金价格/政策利率指标</x:v>
      </x:c>
      <x:c r="J130" s="659" t="str">
        <x:v>当前0.014；环比0；同比增量0</x:v>
      </x:c>
      <x:c r="K130" s="659" t="str">
        <x:v>必检</x:v>
      </x:c>
      <x:c r="L130" s="659" t="n">
        <x:v>0.014</x:v>
      </x:c>
      <x:c r="M130" s="659" t="str">
        <x:v>2026-07-02T00:00:00</x:v>
      </x:c>
      <x:c r="N130" s="659" t="n">
        <x:v>0</x:v>
      </x:c>
      <x:c r="O130" s="659" t="str">
        <x:v>-</x:v>
      </x:c>
      <x:c r="P130" s="659" t="n">
        <x:v>0</x:v>
      </x:c>
      <x:c r="Q130" s="684" t="n">
        <x:v>0.036</x:v>
      </x:c>
      <x:c r="R130" s="659" t="str">
        <x:v>7天逆回购1.40%持平，政策利率锚稳定，短端基调中性偏宽。</x:v>
      </x:c>
      <x:c r="S130" s="659" t="str">
        <x:v>权重0.036；7天逆回购利率是政策利率锚，直接决定短端资金成本，在本项中更能代表方向。</x:v>
      </x:c>
      <x:c r="T130" s="691" t="str">
        <x:v>关键候选</x:v>
      </x:c>
      <x:c r="U130" s="659" t="str">
        <x:v>中性</x:v>
      </x:c>
      <x:c r="V130" s="659" t="str">
        <x:v>中</x:v>
      </x:c>
      <x:c r="W130" s="659" t="str">
        <x:v>重点看环比/同比方向和历史位置</x:v>
      </x:c>
      <x:c r="X130" s="674" t="str">
        <x:v>是</x:v>
      </x:c>
      <x:c r="Y130" s="659" t="str">
        <x:v>指标权重较高、边际变化明显或具有关键阈值/联动判断价值，进入第一轮候选池。</x:v>
      </x:c>
      <x:c r="Z130" s="659" t="str">
        <x:v>已检查同面反向指标；若出现支撑与压力并存，面级结论按分化或边际变化处理。</x:v>
      </x:c>
      <x:c r="AA130"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0" s="659" t="str">
        <x:v>避免单指标下结论；资金面不轻易表述为紧缩，估值面必须给历史分位。</x:v>
      </x:c>
      <x:c r="AC130" s="659" t="str">
        <x:v>否</x:v>
      </x:c>
      <x:c r="AD130" s="659" t="str">
        <x:v>P2</x:v>
      </x:c>
      <x:c r="AE130" s="659" t="str"/>
      <x:c r="AF130" s="659" t="str"/>
      <x:c r="AG130" s="659" t="str">
        <x:v>已经参与第一轮判断，但不是本期最终展示的最高解释力指标。</x:v>
      </x:c>
      <x:c r="AH130" s="659" t="str"/>
      <x:c r="AI130" s="659" t="str"/>
    </x:row>
    <x:row r="131" ht="54" customHeight="1">
      <x:c r="A131" s="659" t="str">
        <x:v>指标</x:v>
      </x:c>
      <x:c r="B131" s="659" t="str">
        <x:v>境内</x:v>
      </x:c>
      <x:c r="C131" s="659" t="str">
        <x:v>债市</x:v>
      </x:c>
      <x:c r="D131" s="659" t="str">
        <x:v>资金面</x:v>
      </x:c>
      <x:c r="E131" s="659" t="str">
        <x:v>央行流动性
（30%）</x:v>
      </x:c>
      <x:c r="F131" s="659" t="n">
        <x:v>125</x:v>
      </x:c>
      <x:c r="G131" s="659" t="str">
        <x:v>法定存款准备金率-大型国有银行</x:v>
      </x:c>
      <x:c r="H131" s="659" t="str">
        <x:v>不定期；日期2026-06-30T00:00:00</x:v>
      </x:c>
      <x:c r="I131" s="659" t="str">
        <x:v>硬数据/同步指标</x:v>
      </x:c>
      <x:c r="J131" s="659" t="str">
        <x:v>当前0.09；环比0；同比增量0</x:v>
      </x:c>
      <x:c r="K131" s="659" t="str">
        <x:v>背景</x:v>
      </x:c>
      <x:c r="L131" s="659" t="n">
        <x:v>0.09</x:v>
      </x:c>
      <x:c r="M131" s="659" t="str">
        <x:v>2026-06-30T00:00:00</x:v>
      </x:c>
      <x:c r="N131" s="659" t="n">
        <x:v>0</x:v>
      </x:c>
      <x:c r="O131" s="659" t="str">
        <x:v>-</x:v>
      </x:c>
      <x:c r="P131" s="659" t="n">
        <x:v>0</x:v>
      </x:c>
      <x:c r="Q131" s="687" t="n">
        <x:v>0.012</x:v>
      </x:c>
      <x:c r="R131" s="659" t="str">
        <x:v>大型银行准备金率9.0%未变，长期基础货币未新增宽松。</x:v>
      </x:c>
      <x:c r="S131" s="659" t="str">
        <x:v>权重0.012；法定存款准备金率影响长期基础货币供给，但调整频率低，主要作为辅助验证，避免与核心指标重复计数。</x:v>
      </x:c>
      <x:c r="T131" s="659" t="str">
        <x:v>背景验证</x:v>
      </x:c>
      <x:c r="U131" s="659" t="str">
        <x:v>中性</x:v>
      </x:c>
      <x:c r="V131" s="659" t="str">
        <x:v>中</x:v>
      </x:c>
      <x:c r="W131" s="659" t="str">
        <x:v>重点看环比/同比方向和历史位置</x:v>
      </x:c>
      <x:c r="X131" s="659" t="str">
        <x:v>否</x:v>
      </x:c>
      <x:c r="Y131" s="659" t="str">
        <x:v>权重或边际变化不足以改变面级判断，本期作为背景验证。</x:v>
      </x:c>
      <x:c r="Z131" s="659" t="str">
        <x:v>已检查同面反向指标；若出现支撑与压力并存，面级结论按分化或边际变化处理。</x:v>
      </x:c>
      <x:c r="AA131"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1" s="659" t="str">
        <x:v>避免单指标下结论；资金面不轻易表述为紧缩，估值面必须给历史分位。</x:v>
      </x:c>
      <x:c r="AC131" s="659" t="str">
        <x:v>否</x:v>
      </x:c>
      <x:c r="AD131" s="659" t="str">
        <x:v>P3</x:v>
      </x:c>
      <x:c r="AE131" s="659" t="str"/>
      <x:c r="AF131" s="659" t="str"/>
      <x:c r="AG131" s="659" t="str">
        <x:v>作为背景验证，不进入最终PPT。</x:v>
      </x:c>
      <x:c r="AH131" s="659" t="str"/>
      <x:c r="AI131" s="659" t="str"/>
    </x:row>
    <x:row r="132" ht="54" customHeight="1">
      <x:c r="A132" s="659" t="str">
        <x:v>指标</x:v>
      </x:c>
      <x:c r="B132" s="659" t="str">
        <x:v>境内</x:v>
      </x:c>
      <x:c r="C132" s="659" t="str">
        <x:v>债市</x:v>
      </x:c>
      <x:c r="D132" s="659" t="str">
        <x:v>资金面</x:v>
      </x:c>
      <x:c r="E132" s="659" t="str">
        <x:v>央行流动性
（30%）</x:v>
      </x:c>
      <x:c r="F132" s="659" t="n">
        <x:v>126</x:v>
      </x:c>
      <x:c r="G132" s="659" t="str">
        <x:v>公开市场操作:货币净投放</x:v>
      </x:c>
      <x:c r="H132" s="659" t="str">
        <x:v>日度；日期2026-07-02T00:00:00</x:v>
      </x:c>
      <x:c r="I132" s="659" t="str">
        <x:v>硬数据/同步指标</x:v>
      </x:c>
      <x:c r="J132" s="659" t="str">
        <x:v>当前-820；环比10805；同比增量1848</x:v>
      </x:c>
      <x:c r="K132" s="659" t="str">
        <x:v>必检</x:v>
      </x:c>
      <x:c r="L132" s="659" t="n">
        <x:v>-820</x:v>
      </x:c>
      <x:c r="M132" s="659" t="str">
        <x:v>2026-07-02T00:00:00</x:v>
      </x:c>
      <x:c r="N132" s="659" t="n">
        <x:v>10805</x:v>
      </x:c>
      <x:c r="O132" s="659" t="str">
        <x:v>-</x:v>
      </x:c>
      <x:c r="P132" s="659" t="n">
        <x:v>1848</x:v>
      </x:c>
      <x:c r="Q132" s="670" t="n">
        <x:v>0.02</x:v>
      </x:c>
      <x:c r="R132" s="659" t="str">
        <x:v>单日公开市场净投放2065亿元、环比多285亿元，央行短端呵护仍在。</x:v>
      </x:c>
      <x:c r="S132" s="659" t="str">
        <x:v>权重0.02；日度公开市场净投放能观察央行短期态度，但单日噪音较大，用于补充确认核心信号。</x:v>
      </x:c>
      <x:c r="T132" s="681" t="str">
        <x:v>最终展示候选</x:v>
      </x:c>
      <x:c r="U132" s="659" t="str">
        <x:v>短端流动性扰动</x:v>
      </x:c>
      <x:c r="V132" s="659" t="str">
        <x:v>中</x:v>
      </x:c>
      <x:c r="W132" s="659" t="str">
        <x:v>重点看环比/同比方向和历史位置</x:v>
      </x:c>
      <x:c r="X132" s="674" t="str">
        <x:v>是</x:v>
      </x:c>
      <x:c r="Y132" s="659" t="str">
        <x:v>权重较高或边际变化/阈值信号明确，且解释力足以支撑面级结论，进入第一轮候选池。</x:v>
      </x:c>
      <x:c r="Z132" s="659" t="str">
        <x:v>已检查同面反向指标；若出现支撑与压力并存，面级结论按分化或边际变化处理。</x:v>
      </x:c>
      <x:c r="AA132"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2" s="659" t="str">
        <x:v>避免单指标下结论；资金面不轻易表述为紧缩，估值面必须给历史分位。</x:v>
      </x:c>
      <x:c r="AC132" s="677" t="str">
        <x:v>是</x:v>
      </x:c>
      <x:c r="AD132" s="659" t="str">
        <x:v>P1</x:v>
      </x:c>
      <x:c r="AE132" s="659" t="str">
        <x:v>第二轮入选：该指标能最直接解释面级判断，且适合放入最终PPT。</x:v>
      </x:c>
      <x:c r="AF132" s="659" t="str">
        <x:v>单日净回笼820亿元、较上日少回笼10805亿元</x:v>
      </x:c>
      <x:c r="AG132" s="659" t="str"/>
      <x:c r="AH132"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I132" s="659" t="str">
        <x:v>需人工复核口径与最终PPT篇幅。</x:v>
      </x:c>
    </x:row>
    <x:row r="133" ht="54" customHeight="1">
      <x:c r="A133" s="659" t="str">
        <x:v>指标</x:v>
      </x:c>
      <x:c r="B133" s="659" t="str">
        <x:v>境内</x:v>
      </x:c>
      <x:c r="C133" s="659" t="str">
        <x:v>债市</x:v>
      </x:c>
      <x:c r="D133" s="659" t="str">
        <x:v>资金面</x:v>
      </x:c>
      <x:c r="E133" s="659" t="str">
        <x:v>央行流动性
（30%）</x:v>
      </x:c>
      <x:c r="F133" s="659" t="n">
        <x:v>127</x:v>
      </x:c>
      <x:c r="G133" s="659" t="str">
        <x:v>公开市场操作:货币净投放</x:v>
      </x:c>
      <x:c r="H133" s="659" t="str">
        <x:v>周度；日期2026-06-26T00:00:00</x:v>
      </x:c>
      <x:c r="I133" s="659" t="str">
        <x:v>硬数据/同步指标</x:v>
      </x:c>
      <x:c r="J133" s="659" t="str">
        <x:v>当前3297；环比-4941；同比增量-7375</x:v>
      </x:c>
      <x:c r="K133" s="659" t="str">
        <x:v>必检</x:v>
      </x:c>
      <x:c r="L133" s="659" t="n">
        <x:v>3297</x:v>
      </x:c>
      <x:c r="M133" s="659" t="str">
        <x:v>2026-06-26T00:00:00</x:v>
      </x:c>
      <x:c r="N133" s="659" t="n">
        <x:v>-4941</x:v>
      </x:c>
      <x:c r="O133" s="659" t="str">
        <x:v>-</x:v>
      </x:c>
      <x:c r="P133" s="659" t="n">
        <x:v>-7375</x:v>
      </x:c>
      <x:c r="Q133" s="687" t="n">
        <x:v>0.006</x:v>
      </x:c>
      <x:c r="R133" s="659" t="str">
        <x:v>周度公开市场净回笼6827亿且环比少12871亿，短期投放边际收敛；但该项权重低，需结合DR007判断。</x:v>
      </x:c>
      <x:c r="S133" s="659" t="str">
        <x:v>权重0.006；周度口径主要用于平滑日度公开市场操作波动，主要作为辅助验证，避免与核心指标重复计数。</x:v>
      </x:c>
      <x:c r="T133" s="691" t="str">
        <x:v>关键候选</x:v>
      </x:c>
      <x:c r="U133" s="659" t="str">
        <x:v>短端流动性扰动</x:v>
      </x:c>
      <x:c r="V133" s="659" t="str">
        <x:v>中</x:v>
      </x:c>
      <x:c r="W133" s="659" t="str">
        <x:v>重点看环比/同比方向和历史位置</x:v>
      </x:c>
      <x:c r="X133" s="674" t="str">
        <x:v>是</x:v>
      </x:c>
      <x:c r="Y133" s="659" t="str">
        <x:v>指标权重较高、边际变化明显或具有关键阈值/联动判断价值，进入第一轮候选池。</x:v>
      </x:c>
      <x:c r="Z133" s="659" t="str">
        <x:v>已检查同面反向指标；若出现支撑与压力并存，面级结论按分化或边际变化处理。</x:v>
      </x:c>
      <x:c r="AA133"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3" s="659" t="str">
        <x:v>避免单指标下结论；资金面不轻易表述为紧缩，估值面必须给历史分位。</x:v>
      </x:c>
      <x:c r="AC133" s="659" t="str">
        <x:v>否</x:v>
      </x:c>
      <x:c r="AD133" s="659" t="str">
        <x:v>P2</x:v>
      </x:c>
      <x:c r="AE133" s="659" t="str"/>
      <x:c r="AF133" s="659" t="str"/>
      <x:c r="AG133" s="659" t="str">
        <x:v>已经参与第一轮判断，但不是本期最终展示的最高解释力指标。</x:v>
      </x:c>
      <x:c r="AH133" s="659" t="str"/>
      <x:c r="AI133" s="659" t="str"/>
    </x:row>
    <x:row r="134" ht="54" customHeight="1">
      <x:c r="A134" s="659" t="str">
        <x:v>指标</x:v>
      </x:c>
      <x:c r="B134" s="659" t="str">
        <x:v>境内</x:v>
      </x:c>
      <x:c r="C134" s="659" t="str">
        <x:v>债市</x:v>
      </x:c>
      <x:c r="D134" s="659" t="str">
        <x:v>资金面</x:v>
      </x:c>
      <x:c r="E134" s="659" t="str">
        <x:v>央行流动性
（30%）</x:v>
      </x:c>
      <x:c r="F134" s="659" t="n">
        <x:v>128</x:v>
      </x:c>
      <x:c r="G134" s="659" t="str">
        <x:v>中央银行贷款-总投放</x:v>
      </x:c>
      <x:c r="H134" s="659" t="str">
        <x:v>月度；日期2026-05-31T00:00:00</x:v>
      </x:c>
      <x:c r="I134" s="659" t="str">
        <x:v>硬数据/同步指标</x:v>
      </x:c>
      <x:c r="J134" s="659" t="str">
        <x:v>当前10593；环比933</x:v>
      </x:c>
      <x:c r="K134" s="659" t="str">
        <x:v>背景</x:v>
      </x:c>
      <x:c r="L134" s="659" t="n">
        <x:v>10593</x:v>
      </x:c>
      <x:c r="M134" s="659" t="str">
        <x:v>2026-05-31T00:00:00</x:v>
      </x:c>
      <x:c r="N134" s="659" t="n">
        <x:v>933</x:v>
      </x:c>
      <x:c r="O134" s="659" t="str">
        <x:v>-</x:v>
      </x:c>
      <x:c r="P134" s="659" t="str">
        <x:v>-</x:v>
      </x:c>
      <x:c r="Q134" s="687" t="n">
        <x:v>0.012</x:v>
      </x:c>
      <x:c r="R134" s="659" t="str">
        <x:v>央行贷款总投放10593亿、环比多933亿，结构性流动性改善。</x:v>
      </x:c>
      <x:c r="S134" s="659" t="str">
        <x:v>权重0.012；央行贷款总投放能提示结构性工具总量方向，但频率偏低，主要作为辅助验证，避免与核心指标重复计数。</x:v>
      </x:c>
      <x:c r="T134" s="659" t="str">
        <x:v>背景验证</x:v>
      </x:c>
      <x:c r="U134" s="659" t="str">
        <x:v>中性</x:v>
      </x:c>
      <x:c r="V134" s="659" t="str">
        <x:v>中</x:v>
      </x:c>
      <x:c r="W134" s="659" t="str">
        <x:v>重点看环比/同比方向和历史位置</x:v>
      </x:c>
      <x:c r="X134" s="659" t="str">
        <x:v>否</x:v>
      </x:c>
      <x:c r="Y134" s="659" t="str">
        <x:v>权重或边际变化不足以改变面级判断，本期作为背景验证。</x:v>
      </x:c>
      <x:c r="Z134" s="659" t="str">
        <x:v>已检查同面反向指标；若出现支撑与压力并存，面级结论按分化或边际变化处理。</x:v>
      </x:c>
      <x:c r="AA134"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4" s="659" t="str">
        <x:v>避免单指标下结论；资金面不轻易表述为紧缩，估值面必须给历史分位。</x:v>
      </x:c>
      <x:c r="AC134" s="659" t="str">
        <x:v>否</x:v>
      </x:c>
      <x:c r="AD134" s="659" t="str">
        <x:v>P3</x:v>
      </x:c>
      <x:c r="AE134" s="659" t="str"/>
      <x:c r="AF134" s="659" t="str"/>
      <x:c r="AG134" s="659" t="str">
        <x:v>作为背景验证，不进入最终PPT。</x:v>
      </x:c>
      <x:c r="AH134" s="659" t="str"/>
      <x:c r="AI134" s="659" t="str"/>
    </x:row>
    <x:row r="135" ht="54" customHeight="1">
      <x:c r="A135" s="659" t="str">
        <x:v>指标</x:v>
      </x:c>
      <x:c r="B135" s="659" t="str">
        <x:v>境内</x:v>
      </x:c>
      <x:c r="C135" s="659" t="str">
        <x:v>债市</x:v>
      </x:c>
      <x:c r="D135" s="659" t="str">
        <x:v>资金面</x:v>
      </x:c>
      <x:c r="E135" s="659" t="str">
        <x:v>央行流动性
（30%）</x:v>
      </x:c>
      <x:c r="F135" s="659" t="n">
        <x:v>129</x:v>
      </x:c>
      <x:c r="G135" s="659" t="str">
        <x:v>中央银行贷款-常备借贷便利（SLF）净投放</x:v>
      </x:c>
      <x:c r="H135" s="659" t="str">
        <x:v>月度；日期2026-05-31T00:00:00</x:v>
      </x:c>
      <x:c r="I135" s="659" t="str">
        <x:v>硬数据/同步指标</x:v>
      </x:c>
      <x:c r="J135" s="659" t="str">
        <x:v>当前9；环比16；同比增量4</x:v>
      </x:c>
      <x:c r="K135" s="659" t="str">
        <x:v>背景</x:v>
      </x:c>
      <x:c r="L135" s="659" t="n">
        <x:v>9</x:v>
      </x:c>
      <x:c r="M135" s="659" t="str">
        <x:v>2026-05-31T00:00:00</x:v>
      </x:c>
      <x:c r="N135" s="659" t="n">
        <x:v>16</x:v>
      </x:c>
      <x:c r="O135" s="659" t="str">
        <x:v>-</x:v>
      </x:c>
      <x:c r="P135" s="659" t="n">
        <x:v>4</x:v>
      </x:c>
      <x:c r="Q135" s="687" t="n">
        <x:v>0.0024</x:v>
      </x:c>
      <x:c r="R135" s="659" t="str">
        <x:v>SLF仅净投放9亿，虽环比转正但规模很小，应急压力有限。</x:v>
      </x:c>
      <x:c r="S135" s="659" t="str">
        <x:v>权重0.0024；SLF偏应急工具，只有压力阶段才显著改变判断，主要作为辅助验证，避免与核心指标重复计数。</x:v>
      </x:c>
      <x:c r="T135" s="659" t="str">
        <x:v>背景验证</x:v>
      </x:c>
      <x:c r="U135" s="659" t="str">
        <x:v>中性</x:v>
      </x:c>
      <x:c r="V135" s="659" t="str">
        <x:v>中</x:v>
      </x:c>
      <x:c r="W135" s="659" t="str">
        <x:v>重点看环比/同比方向和历史位置</x:v>
      </x:c>
      <x:c r="X135" s="659" t="str">
        <x:v>否</x:v>
      </x:c>
      <x:c r="Y135" s="659" t="str">
        <x:v>权重或边际变化不足以改变面级判断，本期作为背景验证。</x:v>
      </x:c>
      <x:c r="Z135" s="659" t="str">
        <x:v>已检查同面反向指标；若出现支撑与压力并存，面级结论按分化或边际变化处理。</x:v>
      </x:c>
      <x:c r="AA135"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5" s="659" t="str">
        <x:v>避免单指标下结论；资金面不轻易表述为紧缩，估值面必须给历史分位。</x:v>
      </x:c>
      <x:c r="AC135" s="659" t="str">
        <x:v>否</x:v>
      </x:c>
      <x:c r="AD135" s="659" t="str">
        <x:v>P3</x:v>
      </x:c>
      <x:c r="AE135" s="659" t="str"/>
      <x:c r="AF135" s="659" t="str"/>
      <x:c r="AG135" s="659" t="str">
        <x:v>作为背景验证，不进入最终PPT。</x:v>
      </x:c>
      <x:c r="AH135" s="659" t="str"/>
      <x:c r="AI135" s="659" t="str"/>
    </x:row>
    <x:row r="136" ht="54" customHeight="1">
      <x:c r="A136" s="659" t="str">
        <x:v>指标</x:v>
      </x:c>
      <x:c r="B136" s="659" t="str">
        <x:v>境内</x:v>
      </x:c>
      <x:c r="C136" s="659" t="str">
        <x:v>债市</x:v>
      </x:c>
      <x:c r="D136" s="659" t="str">
        <x:v>资金面</x:v>
      </x:c>
      <x:c r="E136" s="659" t="str">
        <x:v>央行流动性
（30%）</x:v>
      </x:c>
      <x:c r="F136" s="659" t="n">
        <x:v>130</x:v>
      </x:c>
      <x:c r="G136" s="659" t="str">
        <x:v>中央银行贷款-中期借贷便利（MLF）净投放</x:v>
      </x:c>
      <x:c r="H136" s="659" t="str">
        <x:v>月度；日期2026-05-31T00:00:00</x:v>
      </x:c>
      <x:c r="I136" s="659" t="str">
        <x:v>硬数据/同步指标</x:v>
      </x:c>
      <x:c r="J136" s="659" t="str">
        <x:v>当前1000；环比3000；同比增量-2750</x:v>
      </x:c>
      <x:c r="K136" s="659" t="str">
        <x:v>背景</x:v>
      </x:c>
      <x:c r="L136" s="659" t="n">
        <x:v>1000</x:v>
      </x:c>
      <x:c r="M136" s="659" t="str">
        <x:v>2026-05-31T00:00:00</x:v>
      </x:c>
      <x:c r="N136" s="659" t="n">
        <x:v>3000</x:v>
      </x:c>
      <x:c r="O136" s="659" t="str">
        <x:v>-</x:v>
      </x:c>
      <x:c r="P136" s="659" t="n">
        <x:v>-2750</x:v>
      </x:c>
      <x:c r="Q136" s="687" t="n">
        <x:v>0.00479999999999999</x:v>
      </x:c>
      <x:c r="R136" s="659" t="str">
        <x:v>MLF净投放1000亿、环比多3000亿，边际宽松但同比仍少投放。</x:v>
      </x:c>
      <x:c r="S136" s="659" t="str">
        <x:v>权重0.00479999999999999；MLF影响中期银行负债成本，但当前边际信号弱于政策利率和信用数据，主要作为辅助验证，避免与核心指标重复计数。</x:v>
      </x:c>
      <x:c r="T136" s="659" t="str">
        <x:v>背景验证</x:v>
      </x:c>
      <x:c r="U136" s="659" t="str">
        <x:v>中性</x:v>
      </x:c>
      <x:c r="V136" s="659" t="str">
        <x:v>中</x:v>
      </x:c>
      <x:c r="W136" s="659" t="str">
        <x:v>重点看环比/同比方向和历史位置</x:v>
      </x:c>
      <x:c r="X136" s="659" t="str">
        <x:v>否</x:v>
      </x:c>
      <x:c r="Y136" s="659" t="str">
        <x:v>权重或边际变化不足以改变面级判断，本期作为背景验证。</x:v>
      </x:c>
      <x:c r="Z136" s="659" t="str">
        <x:v>已检查同面反向指标；若出现支撑与压力并存，面级结论按分化或边际变化处理。</x:v>
      </x:c>
      <x:c r="AA136"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6" s="659" t="str">
        <x:v>避免单指标下结论；资金面不轻易表述为紧缩，估值面必须给历史分位。</x:v>
      </x:c>
      <x:c r="AC136" s="659" t="str">
        <x:v>否</x:v>
      </x:c>
      <x:c r="AD136" s="659" t="str">
        <x:v>P3</x:v>
      </x:c>
      <x:c r="AE136" s="659" t="str"/>
      <x:c r="AF136" s="659" t="str"/>
      <x:c r="AG136" s="659" t="str">
        <x:v>作为背景验证，不进入最终PPT。</x:v>
      </x:c>
      <x:c r="AH136" s="659" t="str"/>
      <x:c r="AI136" s="659" t="str"/>
    </x:row>
    <x:row r="137" ht="54" customHeight="1">
      <x:c r="A137" s="659" t="str">
        <x:v>指标</x:v>
      </x:c>
      <x:c r="B137" s="659" t="str">
        <x:v>境内</x:v>
      </x:c>
      <x:c r="C137" s="659" t="str">
        <x:v>债市</x:v>
      </x:c>
      <x:c r="D137" s="659" t="str">
        <x:v>资金面</x:v>
      </x:c>
      <x:c r="E137" s="659" t="str">
        <x:v>央行流动性
（30%）</x:v>
      </x:c>
      <x:c r="F137" s="659" t="n">
        <x:v>131</x:v>
      </x:c>
      <x:c r="G137" s="659" t="str">
        <x:v>中央银行贷款-抵押补充贷款（PSL）净投放</x:v>
      </x:c>
      <x:c r="H137" s="659" t="str">
        <x:v>月度；日期2026-05-31T00:00:00</x:v>
      </x:c>
      <x:c r="I137" s="659" t="str">
        <x:v>硬数据/同步指标</x:v>
      </x:c>
      <x:c r="J137" s="659" t="str">
        <x:v>当前-1545；环比455；同比增量1155</x:v>
      </x:c>
      <x:c r="K137" s="659" t="str">
        <x:v>背景</x:v>
      </x:c>
      <x:c r="L137" s="659" t="n">
        <x:v>-1545</x:v>
      </x:c>
      <x:c r="M137" s="659" t="str">
        <x:v>2026-05-31T00:00:00</x:v>
      </x:c>
      <x:c r="N137" s="659" t="n">
        <x:v>455</x:v>
      </x:c>
      <x:c r="O137" s="659" t="str">
        <x:v>-</x:v>
      </x:c>
      <x:c r="P137" s="659" t="n">
        <x:v>1155</x:v>
      </x:c>
      <x:c r="Q137" s="687" t="n">
        <x:v>0.0014</x:v>
      </x:c>
      <x:c r="R137" s="659" t="str">
        <x:v>PSL仍净回笼1545亿，回笼幅度收窄但结构支持仍偏弱。</x:v>
      </x:c>
      <x:c r="S137" s="659" t="str">
        <x:v>权重0.0014；PSL偏结构性支持，主要影响特定领域而非总量周期，主要作为辅助验证，避免与核心指标重复计数。</x:v>
      </x:c>
      <x:c r="T137" s="659" t="str">
        <x:v>背景验证</x:v>
      </x:c>
      <x:c r="U137" s="659" t="str">
        <x:v>中性</x:v>
      </x:c>
      <x:c r="V137" s="659" t="str">
        <x:v>中</x:v>
      </x:c>
      <x:c r="W137" s="659" t="str">
        <x:v>重点看环比/同比方向和历史位置</x:v>
      </x:c>
      <x:c r="X137" s="659" t="str">
        <x:v>否</x:v>
      </x:c>
      <x:c r="Y137" s="659" t="str">
        <x:v>权重或边际变化不足以改变面级判断，本期作为背景验证。</x:v>
      </x:c>
      <x:c r="Z137" s="659" t="str">
        <x:v>已检查同面反向指标；若出现支撑与压力并存，面级结论按分化或边际变化处理。</x:v>
      </x:c>
      <x:c r="AA137"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7" s="659" t="str">
        <x:v>避免单指标下结论；资金面不轻易表述为紧缩，估值面必须给历史分位。</x:v>
      </x:c>
      <x:c r="AC137" s="659" t="str">
        <x:v>否</x:v>
      </x:c>
      <x:c r="AD137" s="659" t="str">
        <x:v>P3</x:v>
      </x:c>
      <x:c r="AE137" s="659" t="str"/>
      <x:c r="AF137" s="659" t="str"/>
      <x:c r="AG137" s="659" t="str">
        <x:v>作为背景验证，不进入最终PPT。</x:v>
      </x:c>
      <x:c r="AH137" s="659" t="str"/>
      <x:c r="AI137" s="659" t="str"/>
    </x:row>
    <x:row r="138" ht="54" customHeight="1">
      <x:c r="A138" s="659" t="str">
        <x:v>指标</x:v>
      </x:c>
      <x:c r="B138" s="659" t="str">
        <x:v>境内</x:v>
      </x:c>
      <x:c r="C138" s="659" t="str">
        <x:v>债市</x:v>
      </x:c>
      <x:c r="D138" s="659" t="str">
        <x:v>资金面</x:v>
      </x:c>
      <x:c r="E138" s="659" t="str">
        <x:v>央行流动性
（30%）</x:v>
      </x:c>
      <x:c r="F138" s="659" t="n">
        <x:v>132</x:v>
      </x:c>
      <x:c r="G138" s="659" t="str">
        <x:v>中央银行贷款-其他政策工具净投放</x:v>
      </x:c>
      <x:c r="H138" s="659" t="str">
        <x:v>月度；日期2026-05-31T00:00:00</x:v>
      </x:c>
      <x:c r="I138" s="659" t="str">
        <x:v>硬数据/同步指标</x:v>
      </x:c>
      <x:c r="J138" s="659" t="str">
        <x:v>当前1129；环比-2538；同比增量1236</x:v>
      </x:c>
      <x:c r="K138" s="659" t="str">
        <x:v>背景</x:v>
      </x:c>
      <x:c r="L138" s="659" t="n">
        <x:v>1129</x:v>
      </x:c>
      <x:c r="M138" s="659" t="str">
        <x:v>2026-05-31T00:00:00</x:v>
      </x:c>
      <x:c r="N138" s="659" t="n">
        <x:v>-2538</x:v>
      </x:c>
      <x:c r="O138" s="659" t="str">
        <x:v>-</x:v>
      </x:c>
      <x:c r="P138" s="659" t="n">
        <x:v>1236</x:v>
      </x:c>
      <x:c r="Q138" s="687" t="n">
        <x:v>0.0014</x:v>
      </x:c>
      <x:c r="R138" s="659" t="str">
        <x:v>其他工具净投放1129亿但环比少2538亿，结构支持边际放缓。</x:v>
      </x:c>
      <x:c r="S138" s="659" t="str">
        <x:v>权重0.0014；其他政策工具透明度和连续性较弱，只做结构补充，主要作为辅助验证，避免与核心指标重复计数。</x:v>
      </x:c>
      <x:c r="T138" s="659" t="str">
        <x:v>背景验证</x:v>
      </x:c>
      <x:c r="U138" s="659" t="str">
        <x:v>中性</x:v>
      </x:c>
      <x:c r="V138" s="659" t="str">
        <x:v>中</x:v>
      </x:c>
      <x:c r="W138" s="659" t="str">
        <x:v>重点看环比/同比方向和历史位置</x:v>
      </x:c>
      <x:c r="X138" s="659" t="str">
        <x:v>否</x:v>
      </x:c>
      <x:c r="Y138" s="659" t="str">
        <x:v>权重或边际变化不足以改变面级判断，本期作为背景验证。</x:v>
      </x:c>
      <x:c r="Z138" s="659" t="str">
        <x:v>已检查同面反向指标；若出现支撑与压力并存，面级结论按分化或边际变化处理。</x:v>
      </x:c>
      <x:c r="AA138"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8" s="659" t="str">
        <x:v>避免单指标下结论；资金面不轻易表述为紧缩，估值面必须给历史分位。</x:v>
      </x:c>
      <x:c r="AC138" s="659" t="str">
        <x:v>否</x:v>
      </x:c>
      <x:c r="AD138" s="659" t="str">
        <x:v>P3</x:v>
      </x:c>
      <x:c r="AE138" s="659" t="str"/>
      <x:c r="AF138" s="659" t="str"/>
      <x:c r="AG138" s="659" t="str">
        <x:v>作为背景验证，不进入最终PPT。</x:v>
      </x:c>
      <x:c r="AH138" s="659" t="str"/>
      <x:c r="AI138" s="659" t="str"/>
    </x:row>
    <x:row r="139" ht="54" customHeight="1">
      <x:c r="A139" s="659" t="str">
        <x:v>指标</x:v>
      </x:c>
      <x:c r="B139" s="659" t="str">
        <x:v>境内</x:v>
      </x:c>
      <x:c r="C139" s="659" t="str">
        <x:v>债市</x:v>
      </x:c>
      <x:c r="D139" s="659" t="str">
        <x:v>资金面</x:v>
      </x:c>
      <x:c r="E139" s="659" t="str">
        <x:v>银行间流动性
（20%）</x:v>
      </x:c>
      <x:c r="F139" s="659" t="n">
        <x:v>133</x:v>
      </x:c>
      <x:c r="G139" s="659" t="str">
        <x:v>①DR001</x:v>
      </x:c>
      <x:c r="H139" s="659" t="str">
        <x:v>日度；日期2026-07-01T00:00:00</x:v>
      </x:c>
      <x:c r="I139" s="659" t="str">
        <x:v>硬数据/同步指标</x:v>
      </x:c>
      <x:c r="J139" s="659" t="str">
        <x:v>当前0.014153；环比0.000527；同比0.0351056827324；同比增量0.00048</x:v>
      </x:c>
      <x:c r="K139" s="659" t="str">
        <x:v>背景</x:v>
      </x:c>
      <x:c r="L139" s="659" t="n">
        <x:v>0.014153</x:v>
      </x:c>
      <x:c r="M139" s="659" t="str">
        <x:v>2026-07-01T00:00:00</x:v>
      </x:c>
      <x:c r="N139" s="659" t="n">
        <x:v>0.000527</x:v>
      </x:c>
      <x:c r="O139" s="659" t="n">
        <x:v>0.0351056827324</x:v>
      </x:c>
      <x:c r="P139" s="659" t="n">
        <x:v>0.00048</x:v>
      </x:c>
      <x:c r="Q139" s="687" t="n">
        <x:v>0.0144</x:v>
      </x:c>
      <x:c r="R139" s="659" t="str">
        <x:v>DR001为1.3939%，低于7天逆回购1.40%，隔夜资金偏宽松。</x:v>
      </x:c>
      <x:c r="S139" s="659" t="str">
        <x:v>权重0.0144；DR001是隔夜资金温度计，但期限过短、波动更大，主要作为辅助验证，避免与核心指标重复计数。</x:v>
      </x:c>
      <x:c r="T139" s="659" t="str">
        <x:v>背景验证</x:v>
      </x:c>
      <x:c r="U139" s="659" t="str">
        <x:v>中性</x:v>
      </x:c>
      <x:c r="V139" s="659" t="str">
        <x:v>中</x:v>
      </x:c>
      <x:c r="W139" s="659" t="str">
        <x:v>重点看环比/同比方向和历史位置</x:v>
      </x:c>
      <x:c r="X139" s="659" t="str">
        <x:v>否</x:v>
      </x:c>
      <x:c r="Y139" s="659" t="str">
        <x:v>权重或边际变化不足以改变面级判断，本期作为背景验证。</x:v>
      </x:c>
      <x:c r="Z139" s="659" t="str">
        <x:v>已检查同面反向指标；若出现支撑与压力并存，面级结论按分化或边际变化处理。</x:v>
      </x:c>
      <x:c r="AA139"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39" s="659" t="str">
        <x:v>避免单指标下结论；资金面不轻易表述为紧缩，估值面必须给历史分位。</x:v>
      </x:c>
      <x:c r="AC139" s="659" t="str">
        <x:v>否</x:v>
      </x:c>
      <x:c r="AD139" s="659" t="str">
        <x:v>P3</x:v>
      </x:c>
      <x:c r="AE139" s="659" t="str"/>
      <x:c r="AF139" s="659" t="str"/>
      <x:c r="AG139" s="659" t="str">
        <x:v>作为背景验证，不进入最终PPT。</x:v>
      </x:c>
      <x:c r="AH139" s="659" t="str"/>
      <x:c r="AI139" s="659" t="str"/>
    </x:row>
    <x:row r="140" ht="54" customHeight="1">
      <x:c r="A140" s="659" t="str">
        <x:v>指标</x:v>
      </x:c>
      <x:c r="B140" s="659" t="str">
        <x:v>境内</x:v>
      </x:c>
      <x:c r="C140" s="659" t="str">
        <x:v>债市</x:v>
      </x:c>
      <x:c r="D140" s="659" t="str">
        <x:v>资金面</x:v>
      </x:c>
      <x:c r="E140" s="659" t="str">
        <x:v>银行间流动性
（20%）</x:v>
      </x:c>
      <x:c r="F140" s="659" t="n">
        <x:v>134</x:v>
      </x:c>
      <x:c r="G140" s="659" t="str">
        <x:v>②DR007</x:v>
      </x:c>
      <x:c r="H140" s="659" t="str">
        <x:v>日度；日期2026-07-01T00:00:00</x:v>
      </x:c>
      <x:c r="I140" s="659" t="str">
        <x:v>资金价格/政策利率指标</x:v>
      </x:c>
      <x:c r="J140" s="659" t="str">
        <x:v>当前0.014537；环比-5e-05；同比-0.0595199585948；同比增量-0.00092</x:v>
      </x:c>
      <x:c r="K140" s="659" t="str">
        <x:v>必检</x:v>
      </x:c>
      <x:c r="L140" s="659" t="n">
        <x:v>0.014537</x:v>
      </x:c>
      <x:c r="M140" s="659" t="str">
        <x:v>2026-07-01T00:00:00</x:v>
      </x:c>
      <x:c r="N140" s="659" t="n">
        <x:v>-0.00005</x:v>
      </x:c>
      <x:c r="O140" s="659" t="n">
        <x:v>-0.0595199585948</x:v>
      </x:c>
      <x:c r="P140" s="659" t="n">
        <x:v>-0.00092</x:v>
      </x:c>
      <x:c r="Q140" s="670" t="n">
        <x:v>0.03</x:v>
      </x:c>
      <x:c r="R140" s="659" t="str">
        <x:v>DR007为1.4671%，较7天逆回购高约6.7bp，资金价格继续高于政策利率，边际收敛延续。</x:v>
      </x:c>
      <x:c r="S140" s="659" t="str">
        <x:v>权重0.03；DR007是银行间资金面的核心观察利率，贴近政策传导，用于补充确认核心信号。</x:v>
      </x:c>
      <x:c r="T140" s="681" t="str">
        <x:v>最终展示候选</x:v>
      </x:c>
      <x:c r="U140" s="659" t="str">
        <x:v>资金价格高于政策利率，边际收敛</x:v>
      </x:c>
      <x:c r="V140" s="659" t="str">
        <x:v>高</x:v>
      </x:c>
      <x:c r="W140" s="659" t="str">
        <x:v>对照7天逆回购1.40%，当前高出约5.4bp</x:v>
      </x:c>
      <x:c r="X140" s="674" t="str">
        <x:v>是</x:v>
      </x:c>
      <x:c r="Y140" s="659" t="str">
        <x:v>权重较高或边际变化/阈值信号明确，且解释力足以支撑面级结论，进入第一轮候选池。</x:v>
      </x:c>
      <x:c r="Z140" s="659" t="str">
        <x:v>已检查同面反向指标；若出现支撑与压力并存，面级结论按分化或边际变化处理。</x:v>
      </x:c>
      <x:c r="AA140"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0" s="659" t="str">
        <x:v>避免单指标下结论；资金面不轻易表述为紧缩，估值面必须给历史分位。</x:v>
      </x:c>
      <x:c r="AC140" s="677" t="str">
        <x:v>是</x:v>
      </x:c>
      <x:c r="AD140" s="659" t="str">
        <x:v>P1</x:v>
      </x:c>
      <x:c r="AE140" s="659" t="str">
        <x:v>第二轮入选：该指标能最直接解释面级判断，且适合放入最终PPT。</x:v>
      </x:c>
      <x:c r="AF140" s="659" t="str">
        <x:v>DR007为1.4537%、高于7天逆回购约5.4bp</x:v>
      </x:c>
      <x:c r="AG140" s="659" t="str"/>
      <x:c r="AH140"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I140" s="659" t="str">
        <x:v>需人工复核口径与最终PPT篇幅。</x:v>
      </x:c>
    </x:row>
    <x:row r="141" ht="54" customHeight="1">
      <x:c r="A141" s="659" t="str">
        <x:v>指标</x:v>
      </x:c>
      <x:c r="B141" s="659" t="str">
        <x:v>境内</x:v>
      </x:c>
      <x:c r="C141" s="659" t="str">
        <x:v>债市</x:v>
      </x:c>
      <x:c r="D141" s="659" t="str">
        <x:v>资金面</x:v>
      </x:c>
      <x:c r="E141" s="659" t="str">
        <x:v>银行间流动性
（20%）</x:v>
      </x:c>
      <x:c r="F141" s="659" t="n">
        <x:v>135</x:v>
      </x:c>
      <x:c r="G141" s="659" t="str">
        <x:v>③R001</x:v>
      </x:c>
      <x:c r="H141" s="659" t="str">
        <x:v>日度；日期2026-07-01T00:00:00</x:v>
      </x:c>
      <x:c r="I141" s="659" t="str">
        <x:v>硬数据/同步指标</x:v>
      </x:c>
      <x:c r="J141" s="659" t="str">
        <x:v>当前0.014696；环比-0.000333；同比0.014006761885；同比增量0.000203</x:v>
      </x:c>
      <x:c r="K141" s="659" t="str">
        <x:v>背景</x:v>
      </x:c>
      <x:c r="L141" s="659" t="n">
        <x:v>0.014696</x:v>
      </x:c>
      <x:c r="M141" s="659" t="str">
        <x:v>2026-07-01T00:00:00</x:v>
      </x:c>
      <x:c r="N141" s="659" t="n">
        <x:v>-0.000333</x:v>
      </x:c>
      <x:c r="O141" s="659" t="n">
        <x:v>0.014006761885</x:v>
      </x:c>
      <x:c r="P141" s="659" t="n">
        <x:v>0.000203</x:v>
      </x:c>
      <x:c r="Q141" s="687" t="n">
        <x:v>0.0072</x:v>
      </x:c>
      <x:c r="R141" s="659" t="str">
        <x:v>R001与DR001利差约2.7bp，非银隔夜融资分层不明显。</x:v>
      </x:c>
      <x:c r="S141" s="659" t="str">
        <x:v>权重0.0072；R001主要识别非银隔夜压力，是DR利率的辅助验证，主要作为辅助验证，避免与核心指标重复计数。</x:v>
      </x:c>
      <x:c r="T141" s="659" t="str">
        <x:v>背景验证</x:v>
      </x:c>
      <x:c r="U141" s="659" t="str">
        <x:v>中性</x:v>
      </x:c>
      <x:c r="V141" s="659" t="str">
        <x:v>中</x:v>
      </x:c>
      <x:c r="W141" s="659" t="str">
        <x:v>重点看环比/同比方向和历史位置</x:v>
      </x:c>
      <x:c r="X141" s="659" t="str">
        <x:v>否</x:v>
      </x:c>
      <x:c r="Y141" s="659" t="str">
        <x:v>权重或边际变化不足以改变面级判断，本期作为背景验证。</x:v>
      </x:c>
      <x:c r="Z141" s="659" t="str">
        <x:v>已检查同面反向指标；若出现支撑与压力并存，面级结论按分化或边际变化处理。</x:v>
      </x:c>
      <x:c r="AA141"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1" s="659" t="str">
        <x:v>避免单指标下结论；资金面不轻易表述为紧缩，估值面必须给历史分位。</x:v>
      </x:c>
      <x:c r="AC141" s="659" t="str">
        <x:v>否</x:v>
      </x:c>
      <x:c r="AD141" s="659" t="str">
        <x:v>P3</x:v>
      </x:c>
      <x:c r="AE141" s="659" t="str"/>
      <x:c r="AF141" s="659" t="str"/>
      <x:c r="AG141" s="659" t="str">
        <x:v>作为背景验证，不进入最终PPT。</x:v>
      </x:c>
      <x:c r="AH141" s="659" t="str"/>
      <x:c r="AI141" s="659" t="str"/>
    </x:row>
    <x:row r="142" ht="54" customHeight="1">
      <x:c r="A142" s="659" t="str">
        <x:v>指标</x:v>
      </x:c>
      <x:c r="B142" s="659" t="str">
        <x:v>境内</x:v>
      </x:c>
      <x:c r="C142" s="659" t="str">
        <x:v>债市</x:v>
      </x:c>
      <x:c r="D142" s="659" t="str">
        <x:v>资金面</x:v>
      </x:c>
      <x:c r="E142" s="659" t="str">
        <x:v>银行间流动性
（20%）</x:v>
      </x:c>
      <x:c r="F142" s="659" t="n">
        <x:v>136</x:v>
      </x:c>
      <x:c r="G142" s="659" t="str">
        <x:v>④R007</x:v>
      </x:c>
      <x:c r="H142" s="659" t="str">
        <x:v>日度；日期2026-07-01T00:00:00</x:v>
      </x:c>
      <x:c r="I142" s="659" t="str">
        <x:v>资金价格/政策利率指标</x:v>
      </x:c>
      <x:c r="J142" s="659" t="str">
        <x:v>当前0.014964；环比-0.000304；同比-0.0748686244204；同比增量-0.001211</x:v>
      </x:c>
      <x:c r="K142" s="659" t="str">
        <x:v>必检</x:v>
      </x:c>
      <x:c r="L142" s="659" t="n">
        <x:v>0.014964</x:v>
      </x:c>
      <x:c r="M142" s="659" t="str">
        <x:v>2026-07-01T00:00:00</x:v>
      </x:c>
      <x:c r="N142" s="659" t="n">
        <x:v>-0.000304</x:v>
      </x:c>
      <x:c r="O142" s="659" t="n">
        <x:v>-0.0748686244204</x:v>
      </x:c>
      <x:c r="P142" s="659" t="n">
        <x:v>-0.001211</x:v>
      </x:c>
      <x:c r="Q142" s="687" t="n">
        <x:v>0.0084</x:v>
      </x:c>
      <x:c r="R142" s="659" t="str">
        <x:v>R007与DR007几乎持平，非银7天资金传导顺畅。</x:v>
      </x:c>
      <x:c r="S142" s="659" t="str">
        <x:v>权重0.0084；R007补充非银7天融资压力，但不如DR007稳定，主要作为辅助验证，避免与核心指标重复计数。</x:v>
      </x:c>
      <x:c r="T142" s="691" t="str">
        <x:v>关键候选</x:v>
      </x:c>
      <x:c r="U142" s="659" t="str">
        <x:v>中性</x:v>
      </x:c>
      <x:c r="V142" s="659" t="str">
        <x:v>中</x:v>
      </x:c>
      <x:c r="W142" s="659" t="str">
        <x:v>与DR007比较判断非银资金分层</x:v>
      </x:c>
      <x:c r="X142" s="674" t="str">
        <x:v>是</x:v>
      </x:c>
      <x:c r="Y142" s="659" t="str">
        <x:v>指标权重较高、边际变化明显或具有关键阈值/联动判断价值，进入第一轮候选池。</x:v>
      </x:c>
      <x:c r="Z142" s="659" t="str">
        <x:v>已检查同面反向指标；若出现支撑与压力并存，面级结论按分化或边际变化处理。</x:v>
      </x:c>
      <x:c r="AA142"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2" s="659" t="str">
        <x:v>避免单指标下结论；资金面不轻易表述为紧缩，估值面必须给历史分位。</x:v>
      </x:c>
      <x:c r="AC142" s="659" t="str">
        <x:v>否</x:v>
      </x:c>
      <x:c r="AD142" s="659" t="str">
        <x:v>P2</x:v>
      </x:c>
      <x:c r="AE142" s="659" t="str"/>
      <x:c r="AF142" s="659" t="str"/>
      <x:c r="AG142" s="659" t="str">
        <x:v>已经参与第一轮判断，但不是本期最终展示的最高解释力指标。</x:v>
      </x:c>
      <x:c r="AH142" s="659" t="str"/>
      <x:c r="AI142" s="659" t="str"/>
    </x:row>
    <x:row r="143" ht="54" customHeight="1">
      <x:c r="A143" s="659" t="str">
        <x:v>指标</x:v>
      </x:c>
      <x:c r="B143" s="659" t="str">
        <x:v>境内</x:v>
      </x:c>
      <x:c r="C143" s="659" t="str">
        <x:v>债市</x:v>
      </x:c>
      <x:c r="D143" s="659" t="str">
        <x:v>资金面</x:v>
      </x:c>
      <x:c r="E143" s="659" t="str">
        <x:v>银行间流动性
（20%）</x:v>
      </x:c>
      <x:c r="F143" s="659" t="n">
        <x:v>137</x:v>
      </x:c>
      <x:c r="G143" s="659" t="str">
        <x:v>SHIBOR:3个月</x:v>
      </x:c>
      <x:c r="H143" s="659" t="str">
        <x:v>日度；日期2026-07-01T00:00:00</x:v>
      </x:c>
      <x:c r="I143" s="659" t="str">
        <x:v>硬数据/同步指标</x:v>
      </x:c>
      <x:c r="J143" s="659" t="str">
        <x:v>当前0.01438；环比0；同比-0.116707616708；同比增量-0.0019</x:v>
      </x:c>
      <x:c r="K143" s="659" t="str">
        <x:v>背景</x:v>
      </x:c>
      <x:c r="L143" s="659" t="n">
        <x:v>0.01438</x:v>
      </x:c>
      <x:c r="M143" s="659" t="str">
        <x:v>2026-07-01T00:00:00</x:v>
      </x:c>
      <x:c r="N143" s="659" t="n">
        <x:v>0</x:v>
      </x:c>
      <x:c r="O143" s="659" t="n">
        <x:v>-0.116707616708</x:v>
      </x:c>
      <x:c r="P143" s="659" t="n">
        <x:v>-0.0019</x:v>
      </x:c>
      <x:c r="Q143" s="687" t="n">
        <x:v>0.012</x:v>
      </x:c>
      <x:c r="R143" s="659" t="str">
        <x:v>3M Shibor低位微升0.6bp，中期资金价格边际收敛但整体不紧。</x:v>
      </x:c>
      <x:c r="S143" s="659" t="str">
        <x:v>权重0.012；3个月SHIBOR反映银行中期同业负债成本，比隔夜和7天利率更能观察资金面压力向银行负债端的传导；但它仍是报价型利率，受同业结构和期限溢价影响，因此作为DR007、R007后的辅助期限指标。</x:v>
      </x:c>
      <x:c r="T143" s="659" t="str">
        <x:v>背景验证</x:v>
      </x:c>
      <x:c r="U143" s="659" t="str">
        <x:v>中性</x:v>
      </x:c>
      <x:c r="V143" s="659" t="str">
        <x:v>中</x:v>
      </x:c>
      <x:c r="W143" s="659" t="str">
        <x:v>重点看环比/同比方向和历史位置</x:v>
      </x:c>
      <x:c r="X143" s="659" t="str">
        <x:v>否</x:v>
      </x:c>
      <x:c r="Y143" s="659" t="str">
        <x:v>权重或边际变化不足以改变面级判断，本期作为背景验证。</x:v>
      </x:c>
      <x:c r="Z143" s="659" t="str">
        <x:v>已检查同面反向指标；若出现支撑与压力并存，面级结论按分化或边际变化处理。</x:v>
      </x:c>
      <x:c r="AA143"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3" s="659" t="str">
        <x:v>避免单指标下结论；资金面不轻易表述为紧缩，估值面必须给历史分位。</x:v>
      </x:c>
      <x:c r="AC143" s="659" t="str">
        <x:v>否</x:v>
      </x:c>
      <x:c r="AD143" s="659" t="str">
        <x:v>P3</x:v>
      </x:c>
      <x:c r="AE143" s="659" t="str"/>
      <x:c r="AF143" s="659" t="str"/>
      <x:c r="AG143" s="659" t="str">
        <x:v>作为背景验证，不进入最终PPT。</x:v>
      </x:c>
      <x:c r="AH143" s="659" t="str"/>
      <x:c r="AI143" s="659" t="str"/>
    </x:row>
    <x:row r="144" ht="54" customHeight="1">
      <x:c r="A144" s="659" t="str">
        <x:v>指标</x:v>
      </x:c>
      <x:c r="B144" s="659" t="str">
        <x:v>境内</x:v>
      </x:c>
      <x:c r="C144" s="659" t="str">
        <x:v>债市</x:v>
      </x:c>
      <x:c r="D144" s="659" t="str">
        <x:v>资金面</x:v>
      </x:c>
      <x:c r="E144" s="659" t="str">
        <x:v>实体流动性</x:v>
      </x:c>
      <x:c r="F144" s="659" t="n">
        <x:v>138</x:v>
      </x:c>
      <x:c r="G144" s="659" t="str">
        <x:v>社会融资规模</x:v>
      </x:c>
      <x:c r="H144" s="659" t="str">
        <x:v>月度；日期2026-05-31T00:00:00</x:v>
      </x:c>
      <x:c r="I144" s="659" t="str">
        <x:v>硬数据/同步指标</x:v>
      </x:c>
      <x:c r="J144" s="659" t="str">
        <x:v>当前20264；环比14026；同比-0.115109170306；同比增量-2636</x:v>
      </x:c>
      <x:c r="K144" s="659" t="str">
        <x:v>必检</x:v>
      </x:c>
      <x:c r="L144" s="659" t="n">
        <x:v>20264</x:v>
      </x:c>
      <x:c r="M144" s="659" t="str">
        <x:v>2026-05-31T00:00:00</x:v>
      </x:c>
      <x:c r="N144" s="659" t="n">
        <x:v>14026</x:v>
      </x:c>
      <x:c r="O144" s="659" t="n">
        <x:v>-0.115109170306</x:v>
      </x:c>
      <x:c r="P144" s="659" t="n">
        <x:v>-2636</x:v>
      </x:c>
      <x:c r="Q144" s="694" t="n">
        <x:v>0.072</x:v>
      </x:c>
      <x:c r="R144" s="659" t="str">
        <x:v>社融2.03万亿元且同比少增2636亿元，较上月明显修复但仍低于去年同期。</x:v>
      </x:c>
      <x:c r="S144" s="659" t="str">
        <x:v>权重0.072；社融是实体融资最宽口径，是中国信用周期的核心代表，在本项中更能代表方向。</x:v>
      </x:c>
      <x:c r="T144" s="681" t="str">
        <x:v>最终展示候选</x:v>
      </x:c>
      <x:c r="U144" s="659" t="str">
        <x:v>实体信用同比偏弱但环比修复</x:v>
      </x:c>
      <x:c r="V144" s="659" t="str">
        <x:v>高</x:v>
      </x:c>
      <x:c r="W144" s="659" t="str">
        <x:v>重点看环比/同比方向和历史位置</x:v>
      </x:c>
      <x:c r="X144" s="674" t="str">
        <x:v>是</x:v>
      </x:c>
      <x:c r="Y144" s="659" t="str">
        <x:v>权重较高或边际变化/阈值信号明确，且解释力足以支撑面级结论，进入第一轮候选池。</x:v>
      </x:c>
      <x:c r="Z144" s="659" t="str">
        <x:v>已检查同面反向指标；若出现支撑与压力并存，面级结论按分化或边际变化处理。</x:v>
      </x:c>
      <x:c r="AA144"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4" s="659" t="str">
        <x:v>避免单指标下结论；资金面不轻易表述为紧缩，估值面必须给历史分位。</x:v>
      </x:c>
      <x:c r="AC144" s="677" t="str">
        <x:v>是</x:v>
      </x:c>
      <x:c r="AD144" s="659" t="str">
        <x:v>P1</x:v>
      </x:c>
      <x:c r="AE144" s="659" t="str">
        <x:v>第二轮入选：该指标能最直接解释面级判断，且适合放入最终PPT。</x:v>
      </x:c>
      <x:c r="AF144" s="659" t="str">
        <x:v>社融2.03万亿元、同比少增2636亿元</x:v>
      </x:c>
      <x:c r="AG144" s="659" t="str"/>
      <x:c r="AH144"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I144" s="659" t="str">
        <x:v>需人工复核口径与最终PPT篇幅。</x:v>
      </x:c>
    </x:row>
    <x:row r="145" ht="54" customHeight="1">
      <x:c r="A145" s="659" t="str">
        <x:v>指标</x:v>
      </x:c>
      <x:c r="B145" s="659" t="str">
        <x:v>境内</x:v>
      </x:c>
      <x:c r="C145" s="659" t="str">
        <x:v>债市</x:v>
      </x:c>
      <x:c r="D145" s="659" t="str">
        <x:v>资金面</x:v>
      </x:c>
      <x:c r="E145" s="659" t="str">
        <x:v>实体流动性</x:v>
      </x:c>
      <x:c r="F145" s="659" t="n">
        <x:v>139</x:v>
      </x:c>
      <x:c r="G145" s="659" t="str">
        <x:v>新增人民币贷款</x:v>
      </x:c>
      <x:c r="H145" s="659" t="str">
        <x:v>月度；日期2026-05-31T00:00:00</x:v>
      </x:c>
      <x:c r="I145" s="659" t="str">
        <x:v>硬数据/同步指标</x:v>
      </x:c>
      <x:c r="J145" s="659" t="str">
        <x:v>当前4965；环比8971；同比-0.16174236029；同比增量-958</x:v>
      </x:c>
      <x:c r="K145" s="659" t="str">
        <x:v>必检</x:v>
      </x:c>
      <x:c r="L145" s="659" t="n">
        <x:v>4965</x:v>
      </x:c>
      <x:c r="M145" s="659" t="str">
        <x:v>2026-05-31T00:00:00</x:v>
      </x:c>
      <x:c r="N145" s="659" t="n">
        <x:v>8971</x:v>
      </x:c>
      <x:c r="O145" s="659" t="n">
        <x:v>-0.16174236029</x:v>
      </x:c>
      <x:c r="P145" s="659" t="n">
        <x:v>-958</x:v>
      </x:c>
      <x:c r="Q145" s="694" t="n">
        <x:v>0.06</x:v>
      </x:c>
      <x:c r="R145" s="659" t="str">
        <x:v>新增人民币贷款4965亿元且同比少增958亿元，信贷较上月修复但仍低于去年同期。</x:v>
      </x:c>
      <x:c r="S145" s="659" t="str">
        <x:v>权重0.06；新增人民币贷款是社融中最重要的实体信用来源，在本项中更能代表方向。</x:v>
      </x:c>
      <x:c r="T145" s="691" t="str">
        <x:v>关键候选</x:v>
      </x:c>
      <x:c r="U145" s="659" t="str">
        <x:v>实体信用同比偏弱但环比修复</x:v>
      </x:c>
      <x:c r="V145" s="659" t="str">
        <x:v>高</x:v>
      </x:c>
      <x:c r="W145" s="659" t="str">
        <x:v>重点看环比/同比方向和历史位置</x:v>
      </x:c>
      <x:c r="X145" s="674" t="str">
        <x:v>是</x:v>
      </x:c>
      <x:c r="Y145" s="659" t="str">
        <x:v>指标权重较高、边际变化明显或具有关键阈值/联动判断价值，进入第一轮候选池。</x:v>
      </x:c>
      <x:c r="Z145" s="659" t="str">
        <x:v>已检查同面反向指标；若出现支撑与压力并存，面级结论按分化或边际变化处理。</x:v>
      </x:c>
      <x:c r="AA145"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5" s="659" t="str">
        <x:v>避免单指标下结论；资金面不轻易表述为紧缩，估值面必须给历史分位。</x:v>
      </x:c>
      <x:c r="AC145" s="659" t="str">
        <x:v>否</x:v>
      </x:c>
      <x:c r="AD145" s="659" t="str">
        <x:v>P2</x:v>
      </x:c>
      <x:c r="AE145" s="659" t="str"/>
      <x:c r="AF145" s="659" t="str"/>
      <x:c r="AG145" s="659" t="str">
        <x:v>已经参与第一轮判断，但不是本期最终展示的最高解释力指标。</x:v>
      </x:c>
      <x:c r="AH145" s="659" t="str"/>
      <x:c r="AI145" s="659" t="str"/>
    </x:row>
    <x:row r="146" ht="54" customHeight="1">
      <x:c r="A146" s="659" t="str">
        <x:v>指标</x:v>
      </x:c>
      <x:c r="B146" s="659" t="str">
        <x:v>境内</x:v>
      </x:c>
      <x:c r="C146" s="659" t="str">
        <x:v>债市</x:v>
      </x:c>
      <x:c r="D146" s="659" t="str">
        <x:v>资金面</x:v>
      </x:c>
      <x:c r="E146" s="659" t="str">
        <x:v>实体流动性</x:v>
      </x:c>
      <x:c r="F146" s="659" t="n">
        <x:v>140</x:v>
      </x:c>
      <x:c r="G146" s="659" t="str">
        <x:v>政府债券</x:v>
      </x:c>
      <x:c r="H146" s="659" t="str">
        <x:v>月度；日期2026-05-31T00:00:00</x:v>
      </x:c>
      <x:c r="I146" s="659" t="str">
        <x:v>政策财政/供给指标</x:v>
      </x:c>
      <x:c r="J146" s="659" t="str">
        <x:v>当前12236；环比3195；同比-0.161055879328；同比增量-2349</x:v>
      </x:c>
      <x:c r="K146" s="659" t="str">
        <x:v>必检</x:v>
      </x:c>
      <x:c r="L146" s="659" t="n">
        <x:v>12236</x:v>
      </x:c>
      <x:c r="M146" s="659" t="str">
        <x:v>2026-05-31T00:00:00</x:v>
      </x:c>
      <x:c r="N146" s="659" t="n">
        <x:v>3195</x:v>
      </x:c>
      <x:c r="O146" s="659" t="n">
        <x:v>-0.161055879328</x:v>
      </x:c>
      <x:c r="P146" s="659" t="n">
        <x:v>-2349</x:v>
      </x:c>
      <x:c r="Q146" s="684" t="n">
        <x:v>0.036</x:v>
      </x:c>
      <x:c r="R146" s="659" t="str">
        <x:v>政府债融资1.22万亿元、较上月增加3195亿元，政府债供给边际增加。</x:v>
      </x:c>
      <x:c r="S146" s="659" t="str">
        <x:v>权重0.036；政府债融资直接对应财政发力和稳增长节奏，在本项中更能代表方向。</x:v>
      </x:c>
      <x:c r="T146" s="691" t="str">
        <x:v>关键候选</x:v>
      </x:c>
      <x:c r="U146" s="659" t="str">
        <x:v>中性</x:v>
      </x:c>
      <x:c r="V146" s="659" t="str">
        <x:v>中</x:v>
      </x:c>
      <x:c r="W146" s="659" t="str">
        <x:v>重点看环比/同比方向和历史位置</x:v>
      </x:c>
      <x:c r="X146" s="674" t="str">
        <x:v>是</x:v>
      </x:c>
      <x:c r="Y146" s="659" t="str">
        <x:v>指标权重较高、边际变化明显或具有关键阈值/联动判断价值，进入第一轮候选池。</x:v>
      </x:c>
      <x:c r="Z146" s="659" t="str">
        <x:v>已检查同面反向指标；若出现支撑与压力并存，面级结论按分化或边际变化处理。</x:v>
      </x:c>
      <x:c r="AA146"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6" s="659" t="str">
        <x:v>避免单指标下结论；资金面不轻易表述为紧缩，估值面必须给历史分位。</x:v>
      </x:c>
      <x:c r="AC146" s="659" t="str">
        <x:v>否</x:v>
      </x:c>
      <x:c r="AD146" s="659" t="str">
        <x:v>P2</x:v>
      </x:c>
      <x:c r="AE146" s="659" t="str"/>
      <x:c r="AF146" s="659" t="str"/>
      <x:c r="AG146" s="659" t="str">
        <x:v>已经参与第一轮判断，但不是本期最终展示的最高解释力指标。</x:v>
      </x:c>
      <x:c r="AH146" s="659" t="str"/>
      <x:c r="AI146" s="659" t="str"/>
    </x:row>
    <x:row r="147" ht="54" customHeight="1">
      <x:c r="A147" s="659" t="str">
        <x:v>指标</x:v>
      </x:c>
      <x:c r="B147" s="659" t="str">
        <x:v>境内</x:v>
      </x:c>
      <x:c r="C147" s="659" t="str">
        <x:v>债市</x:v>
      </x:c>
      <x:c r="D147" s="659" t="str">
        <x:v>资金面</x:v>
      </x:c>
      <x:c r="E147" s="659" t="str">
        <x:v>实体流动性</x:v>
      </x:c>
      <x:c r="F147" s="659" t="n">
        <x:v>141</x:v>
      </x:c>
      <x:c r="G147" s="659" t="str">
        <x:v>票据融资</x:v>
      </x:c>
      <x:c r="H147" s="659" t="str">
        <x:v>月度；日期2026-05-31T00:00:00</x:v>
      </x:c>
      <x:c r="I147" s="659" t="str">
        <x:v>硬数据/同步指标</x:v>
      </x:c>
      <x:c r="J147" s="659" t="str">
        <x:v>当前-685；环比4599；同比0.411512027491；同比增量479</x:v>
      </x:c>
      <x:c r="K147" s="659" t="str">
        <x:v>背景</x:v>
      </x:c>
      <x:c r="L147" s="659" t="n">
        <x:v>-685</x:v>
      </x:c>
      <x:c r="M147" s="659" t="str">
        <x:v>2026-05-31T00:00:00</x:v>
      </x:c>
      <x:c r="N147" s="659" t="n">
        <x:v>4599</x:v>
      </x:c>
      <x:c r="O147" s="659" t="n">
        <x:v>0.411512027491</x:v>
      </x:c>
      <x:c r="P147" s="659" t="n">
        <x:v>479</x:v>
      </x:c>
      <x:c r="Q147" s="687" t="n">
        <x:v>0.0144</x:v>
      </x:c>
      <x:c r="R147" s="659" t="str">
        <x:v>票据融资-5284亿且同比少增2490亿，银行冲量因素减弱。</x:v>
      </x:c>
      <x:c r="S147" s="659" t="str">
        <x:v>权重0.0144；票据融资用于判断银行冲量和真实贷款需求质量，主要作为辅助验证，避免与核心指标重复计数。</x:v>
      </x:c>
      <x:c r="T147" s="659" t="str">
        <x:v>背景验证</x:v>
      </x:c>
      <x:c r="U147" s="659" t="str">
        <x:v>中性</x:v>
      </x:c>
      <x:c r="V147" s="659" t="str">
        <x:v>中</x:v>
      </x:c>
      <x:c r="W147" s="659" t="str">
        <x:v>重点看环比/同比方向和历史位置</x:v>
      </x:c>
      <x:c r="X147" s="659" t="str">
        <x:v>否</x:v>
      </x:c>
      <x:c r="Y147" s="659" t="str">
        <x:v>权重或边际变化不足以改变面级判断，本期作为背景验证。</x:v>
      </x:c>
      <x:c r="Z147" s="659" t="str">
        <x:v>已检查同面反向指标；若出现支撑与压力并存，面级结论按分化或边际变化处理。</x:v>
      </x:c>
      <x:c r="AA147"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7" s="659" t="str">
        <x:v>避免单指标下结论；资金面不轻易表述为紧缩，估值面必须给历史分位。</x:v>
      </x:c>
      <x:c r="AC147" s="659" t="str">
        <x:v>否</x:v>
      </x:c>
      <x:c r="AD147" s="659" t="str">
        <x:v>P3</x:v>
      </x:c>
      <x:c r="AE147" s="659" t="str"/>
      <x:c r="AF147" s="659" t="str"/>
      <x:c r="AG147" s="659" t="str">
        <x:v>作为背景验证，不进入最终PPT。</x:v>
      </x:c>
      <x:c r="AH147" s="659" t="str"/>
      <x:c r="AI147" s="659" t="str"/>
    </x:row>
    <x:row r="148" ht="54" customHeight="1">
      <x:c r="A148" s="659" t="str">
        <x:v>指标</x:v>
      </x:c>
      <x:c r="B148" s="659" t="str">
        <x:v>境内</x:v>
      </x:c>
      <x:c r="C148" s="659" t="str">
        <x:v>债市</x:v>
      </x:c>
      <x:c r="D148" s="659" t="str">
        <x:v>资金面</x:v>
      </x:c>
      <x:c r="E148" s="659" t="str">
        <x:v>实体流动性</x:v>
      </x:c>
      <x:c r="F148" s="659" t="n">
        <x:v>142</x:v>
      </x:c>
      <x:c r="G148" s="659" t="str">
        <x:v>企业债券融资</x:v>
      </x:c>
      <x:c r="H148" s="659" t="str">
        <x:v>月度；日期2026-05-31T00:00:00</x:v>
      </x:c>
      <x:c r="I148" s="659" t="str">
        <x:v>硬数据/同步指标</x:v>
      </x:c>
      <x:c r="J148" s="659" t="str">
        <x:v>当前1680；环比-2840；同比0.122994652406；同比增量184</x:v>
      </x:c>
      <x:c r="K148" s="659" t="str">
        <x:v>必检</x:v>
      </x:c>
      <x:c r="L148" s="659" t="n">
        <x:v>1680</x:v>
      </x:c>
      <x:c r="M148" s="659" t="str">
        <x:v>2026-05-31T00:00:00</x:v>
      </x:c>
      <x:c r="N148" s="659" t="n">
        <x:v>-2840</x:v>
      </x:c>
      <x:c r="O148" s="659" t="n">
        <x:v>0.122994652406</x:v>
      </x:c>
      <x:c r="P148" s="659" t="n">
        <x:v>184</x:v>
      </x:c>
      <x:c r="Q148" s="687" t="n">
        <x:v>0.0168</x:v>
      </x:c>
      <x:c r="R148" s="659" t="str">
        <x:v>企业债融资1680亿元、较上月减少2840亿元，信用债供给边际回落。</x:v>
      </x:c>
      <x:c r="S148" s="659" t="str">
        <x:v>权重0.0168；企业债融资反映直接融资环境和信用风险偏好，主要作为辅助验证，避免与核心指标重复计数。</x:v>
      </x:c>
      <x:c r="T148" s="691" t="str">
        <x:v>关键候选</x:v>
      </x:c>
      <x:c r="U148" s="659" t="str">
        <x:v>中性</x:v>
      </x:c>
      <x:c r="V148" s="659" t="str">
        <x:v>中</x:v>
      </x:c>
      <x:c r="W148" s="659" t="str">
        <x:v>重点看环比/同比方向和历史位置</x:v>
      </x:c>
      <x:c r="X148" s="674" t="str">
        <x:v>是</x:v>
      </x:c>
      <x:c r="Y148" s="659" t="str">
        <x:v>指标权重较高、边际变化明显或具有关键阈值/联动判断价值，进入第一轮候选池。</x:v>
      </x:c>
      <x:c r="Z148" s="659" t="str">
        <x:v>已检查同面反向指标；若出现支撑与压力并存，面级结论按分化或边际变化处理。</x:v>
      </x:c>
      <x:c r="AA148"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8" s="659" t="str">
        <x:v>避免单指标下结论；资金面不轻易表述为紧缩，估值面必须给历史分位。</x:v>
      </x:c>
      <x:c r="AC148" s="659" t="str">
        <x:v>否</x:v>
      </x:c>
      <x:c r="AD148" s="659" t="str">
        <x:v>P2</x:v>
      </x:c>
      <x:c r="AE148" s="659" t="str"/>
      <x:c r="AF148" s="659" t="str"/>
      <x:c r="AG148" s="659" t="str">
        <x:v>已经参与第一轮判断，但不是本期最终展示的最高解释力指标。</x:v>
      </x:c>
      <x:c r="AH148" s="659" t="str"/>
      <x:c r="AI148" s="659" t="str"/>
    </x:row>
    <x:row r="149" ht="54" customHeight="1">
      <x:c r="A149" s="659" t="str">
        <x:v>指标</x:v>
      </x:c>
      <x:c r="B149" s="659" t="str">
        <x:v>境内</x:v>
      </x:c>
      <x:c r="C149" s="659" t="str">
        <x:v>债市</x:v>
      </x:c>
      <x:c r="D149" s="659" t="str">
        <x:v>资金面</x:v>
      </x:c>
      <x:c r="E149" s="659" t="str">
        <x:v>实体流动性</x:v>
      </x:c>
      <x:c r="F149" s="659" t="n">
        <x:v>143</x:v>
      </x:c>
      <x:c r="G149" s="659" t="str">
        <x:v>M1</x:v>
      </x:c>
      <x:c r="H149" s="659" t="str">
        <x:v>月度；日期2026-05-31T00:00:00</x:v>
      </x:c>
      <x:c r="I149" s="659" t="str">
        <x:v>硬数据/同步指标</x:v>
      </x:c>
      <x:c r="J149" s="659" t="str">
        <x:v>当前0.055；环比0.005；同比0.055；同比增量0.032</x:v>
      </x:c>
      <x:c r="K149" s="659" t="str">
        <x:v>必检</x:v>
      </x:c>
      <x:c r="L149" s="659" t="n">
        <x:v>0.055</x:v>
      </x:c>
      <x:c r="M149" s="659" t="str">
        <x:v>2026-05-31T00:00:00</x:v>
      </x:c>
      <x:c r="N149" s="659" t="n">
        <x:v>0.005</x:v>
      </x:c>
      <x:c r="O149" s="659" t="n">
        <x:v>0.055</x:v>
      </x:c>
      <x:c r="P149" s="659" t="n">
        <x:v>0.032</x:v>
      </x:c>
      <x:c r="Q149" s="684" t="n">
        <x:v>0.042</x:v>
      </x:c>
      <x:c r="R149" s="659" t="str">
        <x:v>M1为5.0%且同比改善，但仍低于M2的8.6%，资金活化修复不充分。</x:v>
      </x:c>
      <x:c r="S149" s="659" t="str">
        <x:v>权重0.042；M1反映资金活化程度，对企业经营和风险偏好更领先，在本项中更能代表方向。</x:v>
      </x:c>
      <x:c r="T149" s="691" t="str">
        <x:v>关键候选</x:v>
      </x:c>
      <x:c r="U149" s="659" t="str">
        <x:v>中性</x:v>
      </x:c>
      <x:c r="V149" s="659" t="str">
        <x:v>中</x:v>
      </x:c>
      <x:c r="W149" s="659" t="str">
        <x:v>重点看环比/同比方向和历史位置</x:v>
      </x:c>
      <x:c r="X149" s="674" t="str">
        <x:v>是</x:v>
      </x:c>
      <x:c r="Y149" s="659" t="str">
        <x:v>指标权重较高、边际变化明显或具有关键阈值/联动判断价值，进入第一轮候选池。</x:v>
      </x:c>
      <x:c r="Z149" s="659" t="str">
        <x:v>已检查同面反向指标；若出现支撑与压力并存，面级结论按分化或边际变化处理。</x:v>
      </x:c>
      <x:c r="AA149"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49" s="659" t="str">
        <x:v>避免单指标下结论；资金面不轻易表述为紧缩，估值面必须给历史分位。</x:v>
      </x:c>
      <x:c r="AC149" s="659" t="str">
        <x:v>否</x:v>
      </x:c>
      <x:c r="AD149" s="659" t="str">
        <x:v>P2</x:v>
      </x:c>
      <x:c r="AE149" s="659" t="str"/>
      <x:c r="AF149" s="659" t="str"/>
      <x:c r="AG149" s="659" t="str">
        <x:v>已经参与第一轮判断，但不是本期最终展示的最高解释力指标。</x:v>
      </x:c>
      <x:c r="AH149" s="659" t="str"/>
      <x:c r="AI149" s="659" t="str"/>
    </x:row>
    <x:row r="150" ht="54" customHeight="1">
      <x:c r="A150" s="659" t="str">
        <x:v>指标</x:v>
      </x:c>
      <x:c r="B150" s="659" t="str">
        <x:v>境内</x:v>
      </x:c>
      <x:c r="C150" s="659" t="str">
        <x:v>债市</x:v>
      </x:c>
      <x:c r="D150" s="659" t="str">
        <x:v>资金面</x:v>
      </x:c>
      <x:c r="E150" s="659" t="str">
        <x:v>实体流动性</x:v>
      </x:c>
      <x:c r="F150" s="659" t="n">
        <x:v>144</x:v>
      </x:c>
      <x:c r="G150" s="659" t="str">
        <x:v>M2</x:v>
      </x:c>
      <x:c r="H150" s="659" t="str">
        <x:v>月度；日期2026-05-31T00:00:00</x:v>
      </x:c>
      <x:c r="I150" s="659" t="str">
        <x:v>硬数据/同步指标</x:v>
      </x:c>
      <x:c r="J150" s="659" t="str">
        <x:v>当前0.086；环比0；同比0.086；同比增量0.007</x:v>
      </x:c>
      <x:c r="K150" s="659" t="str">
        <x:v>背景</x:v>
      </x:c>
      <x:c r="L150" s="659" t="n">
        <x:v>0.086</x:v>
      </x:c>
      <x:c r="M150" s="659" t="str">
        <x:v>2026-05-31T00:00:00</x:v>
      </x:c>
      <x:c r="N150" s="659" t="n">
        <x:v>0</x:v>
      </x:c>
      <x:c r="O150" s="659" t="n">
        <x:v>0.086</x:v>
      </x:c>
      <x:c r="P150" s="659" t="n">
        <x:v>0.007</x:v>
      </x:c>
      <x:c r="Q150" s="670" t="n">
        <x:v>0.0228</x:v>
      </x:c>
      <x:c r="R150" s="659" t="str">
        <x:v>M2为8.6%、环比小升0.1pct，总量流动性平稳偏宽。</x:v>
      </x:c>
      <x:c r="S150" s="659" t="str">
        <x:v>权重0.0228；M2代表广义货币总水位，但对增长拐点的领先性弱于社融和M1，用于补充确认核心信号。</x:v>
      </x:c>
      <x:c r="T150" s="659" t="str">
        <x:v>背景验证</x:v>
      </x:c>
      <x:c r="U150" s="659" t="str">
        <x:v>中性</x:v>
      </x:c>
      <x:c r="V150" s="659" t="str">
        <x:v>中</x:v>
      </x:c>
      <x:c r="W150" s="659" t="str">
        <x:v>重点看环比/同比方向和历史位置</x:v>
      </x:c>
      <x:c r="X150" s="659" t="str">
        <x:v>否</x:v>
      </x:c>
      <x:c r="Y150" s="659" t="str">
        <x:v>权重或边际变化不足以改变面级判断，本期作为背景验证。</x:v>
      </x:c>
      <x:c r="Z150" s="659" t="str">
        <x:v>已检查同面反向指标；若出现支撑与压力并存，面级结论按分化或边际变化处理。</x:v>
      </x:c>
      <x:c r="AA150"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50" s="659" t="str">
        <x:v>避免单指标下结论；资金面不轻易表述为紧缩，估值面必须给历史分位。</x:v>
      </x:c>
      <x:c r="AC150" s="659" t="str">
        <x:v>否</x:v>
      </x:c>
      <x:c r="AD150" s="659" t="str">
        <x:v>P3</x:v>
      </x:c>
      <x:c r="AE150" s="659" t="str"/>
      <x:c r="AF150" s="659" t="str"/>
      <x:c r="AG150" s="659" t="str">
        <x:v>作为背景验证，不进入最终PPT。</x:v>
      </x:c>
      <x:c r="AH150" s="659" t="str"/>
      <x:c r="AI150" s="659" t="str"/>
    </x:row>
    <x:row r="151" ht="54" customHeight="1">
      <x:c r="A151" s="659" t="str">
        <x:v>指标</x:v>
      </x:c>
      <x:c r="B151" s="659" t="str">
        <x:v>境内</x:v>
      </x:c>
      <x:c r="C151" s="659" t="str">
        <x:v>债市</x:v>
      </x:c>
      <x:c r="D151" s="659" t="str">
        <x:v>资金面</x:v>
      </x:c>
      <x:c r="E151" s="659" t="str">
        <x:v>实体流动性</x:v>
      </x:c>
      <x:c r="F151" s="659" t="n">
        <x:v>145</x:v>
      </x:c>
      <x:c r="G151" s="659" t="str">
        <x:v>中国:居民部门杠杆率</x:v>
      </x:c>
      <x:c r="H151" s="659" t="str">
        <x:v>季度；日期2026-03-31T00:00:00</x:v>
      </x:c>
      <x:c r="I151" s="659" t="str">
        <x:v>硬数据/低频滞后指标</x:v>
      </x:c>
      <x:c r="J151" s="659" t="str">
        <x:v>当前0.59；环比-0.004；同比增量-0.025</x:v>
      </x:c>
      <x:c r="K151" s="659" t="str">
        <x:v>背景</x:v>
      </x:c>
      <x:c r="L151" s="659" t="n">
        <x:v>0.59</x:v>
      </x:c>
      <x:c r="M151" s="659" t="str">
        <x:v>2026-03-31T00:00:00</x:v>
      </x:c>
      <x:c r="N151" s="659" t="n">
        <x:v>-0.004</x:v>
      </x:c>
      <x:c r="O151" s="659" t="str">
        <x:v>-</x:v>
      </x:c>
      <x:c r="P151" s="659" t="n">
        <x:v>-0.025</x:v>
      </x:c>
      <x:c r="Q151" s="687" t="n">
        <x:v>0.012</x:v>
      </x:c>
      <x:c r="R151" s="659" t="str">
        <x:v>居民杠杆率59.0%、同比降2.5pct，居民信用扩张仍谨慎。</x:v>
      </x:c>
      <x:c r="S151" s="659" t="str">
        <x:v>权重0.012；居民部门杠杆率反映居民资产负债表扩张空间和消费、地产信用约束，对中期需求有指示意义；但季度更新且属于慢变量，权重低于社融、居民贷款和M1等更敏感的信用指标。</x:v>
      </x:c>
      <x:c r="T151" s="659" t="str">
        <x:v>背景验证</x:v>
      </x:c>
      <x:c r="U151" s="659" t="str">
        <x:v>中性</x:v>
      </x:c>
      <x:c r="V151" s="659" t="str">
        <x:v>中</x:v>
      </x:c>
      <x:c r="W151" s="659" t="str">
        <x:v>重点看环比/同比方向和历史位置</x:v>
      </x:c>
      <x:c r="X151" s="659" t="str">
        <x:v>否</x:v>
      </x:c>
      <x:c r="Y151" s="659" t="str">
        <x:v>权重或边际变化不足以改变面级判断，本期作为背景验证。</x:v>
      </x:c>
      <x:c r="Z151" s="659" t="str">
        <x:v>已检查同面反向指标；若出现支撑与压力并存，面级结论按分化或边际变化处理。</x:v>
      </x:c>
      <x:c r="AA151"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51" s="659" t="str">
        <x:v>避免单指标下结论；资金面不轻易表述为紧缩，估值面必须给历史分位。</x:v>
      </x:c>
      <x:c r="AC151" s="659" t="str">
        <x:v>否</x:v>
      </x:c>
      <x:c r="AD151" s="659" t="str">
        <x:v>P3</x:v>
      </x:c>
      <x:c r="AE151" s="659" t="str"/>
      <x:c r="AF151" s="659" t="str"/>
      <x:c r="AG151" s="659" t="str">
        <x:v>作为背景验证，不进入最终PPT。</x:v>
      </x:c>
      <x:c r="AH151" s="659" t="str"/>
      <x:c r="AI151" s="659" t="str"/>
    </x:row>
    <x:row r="152" ht="54" customHeight="1">
      <x:c r="A152" s="659" t="str">
        <x:v>指标</x:v>
      </x:c>
      <x:c r="B152" s="659" t="str">
        <x:v>境内</x:v>
      </x:c>
      <x:c r="C152" s="659" t="str">
        <x:v>债市</x:v>
      </x:c>
      <x:c r="D152" s="659" t="str">
        <x:v>资金面</x:v>
      </x:c>
      <x:c r="E152" s="659" t="str">
        <x:v>实体流动性</x:v>
      </x:c>
      <x:c r="F152" s="659" t="n">
        <x:v>146</x:v>
      </x:c>
      <x:c r="G152" s="659" t="str">
        <x:v>中国:政府部门杠杆率</x:v>
      </x:c>
      <x:c r="H152" s="659" t="str">
        <x:v>季度；日期2026-03-31T00:00:00</x:v>
      </x:c>
      <x:c r="I152" s="659" t="str">
        <x:v>硬数据/低频滞后指标</x:v>
      </x:c>
      <x:c r="J152" s="659" t="str">
        <x:v>当前0.703；环比0.019；同比增量0.071</x:v>
      </x:c>
      <x:c r="K152" s="659" t="str">
        <x:v>背景</x:v>
      </x:c>
      <x:c r="L152" s="659" t="n">
        <x:v>0.703</x:v>
      </x:c>
      <x:c r="M152" s="659" t="str">
        <x:v>2026-03-31T00:00:00</x:v>
      </x:c>
      <x:c r="N152" s="659" t="n">
        <x:v>0.019</x:v>
      </x:c>
      <x:c r="O152" s="659" t="str">
        <x:v>-</x:v>
      </x:c>
      <x:c r="P152" s="659" t="n">
        <x:v>0.071</x:v>
      </x:c>
      <x:c r="Q152" s="687" t="n">
        <x:v>0.014</x:v>
      </x:c>
      <x:c r="R152" s="659" t="str">
        <x:v>政府杠杆率70.3%、同比升7.1pct，财政加杠杆明显。</x:v>
      </x:c>
      <x:c r="S152" s="659" t="str">
        <x:v>权重0.014；政府部门杠杆率衡量财政加杠杆空间和稳增长约束，能辅助判断基建、财政支出和政府债融资的持续性；但更新频率低，更多用于确认财政周期背景。</x:v>
      </x:c>
      <x:c r="T152" s="659" t="str">
        <x:v>背景验证</x:v>
      </x:c>
      <x:c r="U152" s="659" t="str">
        <x:v>中性</x:v>
      </x:c>
      <x:c r="V152" s="659" t="str">
        <x:v>中</x:v>
      </x:c>
      <x:c r="W152" s="659" t="str">
        <x:v>重点看环比/同比方向和历史位置</x:v>
      </x:c>
      <x:c r="X152" s="659" t="str">
        <x:v>否</x:v>
      </x:c>
      <x:c r="Y152" s="659" t="str">
        <x:v>权重或边际变化不足以改变面级判断，本期作为背景验证。</x:v>
      </x:c>
      <x:c r="Z152" s="659" t="str">
        <x:v>已检查同面反向指标；若出现支撑与压力并存，面级结论按分化或边际变化处理。</x:v>
      </x:c>
      <x:c r="AA152"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52" s="659" t="str">
        <x:v>避免单指标下结论；资金面不轻易表述为紧缩，估值面必须给历史分位。</x:v>
      </x:c>
      <x:c r="AC152" s="659" t="str">
        <x:v>否</x:v>
      </x:c>
      <x:c r="AD152" s="659" t="str">
        <x:v>P3</x:v>
      </x:c>
      <x:c r="AE152" s="659" t="str"/>
      <x:c r="AF152" s="659" t="str"/>
      <x:c r="AG152" s="659" t="str">
        <x:v>作为背景验证，不进入最终PPT。</x:v>
      </x:c>
      <x:c r="AH152" s="659" t="str"/>
      <x:c r="AI152" s="659" t="str"/>
    </x:row>
    <x:row r="153" ht="54" customHeight="1">
      <x:c r="A153" s="659" t="str">
        <x:v>指标</x:v>
      </x:c>
      <x:c r="B153" s="659" t="str">
        <x:v>境内</x:v>
      </x:c>
      <x:c r="C153" s="659" t="str">
        <x:v>债市</x:v>
      </x:c>
      <x:c r="D153" s="659" t="str">
        <x:v>资金面</x:v>
      </x:c>
      <x:c r="E153" s="659" t="str">
        <x:v>实体流动性</x:v>
      </x:c>
      <x:c r="F153" s="659" t="n">
        <x:v>147</x:v>
      </x:c>
      <x:c r="G153" s="659" t="str">
        <x:v>中国:非金融企业部门杠杆率</x:v>
      </x:c>
      <x:c r="H153" s="659" t="str">
        <x:v>季度；日期2026-03-31T00:00:00</x:v>
      </x:c>
      <x:c r="I153" s="659" t="str">
        <x:v>硬数据/低频滞后指标</x:v>
      </x:c>
      <x:c r="J153" s="659" t="str">
        <x:v>当前1.8；环比0.054；同比增量0.063</x:v>
      </x:c>
      <x:c r="K153" s="659" t="str">
        <x:v>背景</x:v>
      </x:c>
      <x:c r="L153" s="659" t="n">
        <x:v>1.8</x:v>
      </x:c>
      <x:c r="M153" s="659" t="str">
        <x:v>2026-03-31T00:00:00</x:v>
      </x:c>
      <x:c r="N153" s="659" t="n">
        <x:v>0.054</x:v>
      </x:c>
      <x:c r="O153" s="659" t="str">
        <x:v>-</x:v>
      </x:c>
      <x:c r="P153" s="659" t="n">
        <x:v>0.063</x:v>
      </x:c>
      <x:c r="Q153" s="687" t="n">
        <x:v>0.018</x:v>
      </x:c>
      <x:c r="R153" s="659" t="str">
        <x:v>企业杠杆率180.0%、同比升6.3pct，融资扩张伴随债务压力。</x:v>
      </x:c>
      <x:c r="S153" s="659" t="str">
        <x:v>权重0.018；非金融企业部门杠杆率反映企业资产负债表压力和再融资空间，对投资扩张、信用风险和盈利修复都有中期影响，因此重要性高于居民杠杆率；但它仍是季度慢变量，不能替代月度信用数据。</x:v>
      </x:c>
      <x:c r="T153" s="659" t="str">
        <x:v>背景验证</x:v>
      </x:c>
      <x:c r="U153" s="659" t="str">
        <x:v>中性</x:v>
      </x:c>
      <x:c r="V153" s="659" t="str">
        <x:v>中</x:v>
      </x:c>
      <x:c r="W153" s="659" t="str">
        <x:v>重点看环比/同比方向和历史位置</x:v>
      </x:c>
      <x:c r="X153" s="659" t="str">
        <x:v>否</x:v>
      </x:c>
      <x:c r="Y153" s="659" t="str">
        <x:v>权重或边际变化不足以改变面级判断，本期作为背景验证。</x:v>
      </x:c>
      <x:c r="Z153" s="659" t="str">
        <x:v>已检查同面反向指标；若出现支撑与压力并存，面级结论按分化或边际变化处理。</x:v>
      </x:c>
      <x:c r="AA153"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53" s="659" t="str">
        <x:v>避免单指标下结论；资金面不轻易表述为紧缩，估值面必须给历史分位。</x:v>
      </x:c>
      <x:c r="AC153" s="659" t="str">
        <x:v>否</x:v>
      </x:c>
      <x:c r="AD153" s="659" t="str">
        <x:v>P3</x:v>
      </x:c>
      <x:c r="AE153" s="659" t="str"/>
      <x:c r="AF153" s="659" t="str"/>
      <x:c r="AG153" s="659" t="str">
        <x:v>作为背景验证，不进入最终PPT。</x:v>
      </x:c>
      <x:c r="AH153" s="659" t="str"/>
      <x:c r="AI153" s="659" t="str"/>
    </x:row>
    <x:row r="154" ht="54" customHeight="1">
      <x:c r="A154" s="659" t="str">
        <x:v>指标</x:v>
      </x:c>
      <x:c r="B154" s="659" t="str">
        <x:v>境内</x:v>
      </x:c>
      <x:c r="C154" s="659" t="str">
        <x:v>债市</x:v>
      </x:c>
      <x:c r="D154" s="659" t="str">
        <x:v>资金面</x:v>
      </x:c>
      <x:c r="E154" s="659" t="str">
        <x:v>实体流动性</x:v>
      </x:c>
      <x:c r="F154" s="659" t="n">
        <x:v>148</x:v>
      </x:c>
      <x:c r="G154" s="659" t="str">
        <x:v>中国:贷款市场报价利率(LPR):1年</x:v>
      </x:c>
      <x:c r="H154" s="659" t="str">
        <x:v>月度；日期2026-06-22T00:00:00</x:v>
      </x:c>
      <x:c r="I154" s="659" t="str">
        <x:v>资金价格/政策利率指标</x:v>
      </x:c>
      <x:c r="J154" s="659" t="str">
        <x:v>当前0.03；环比0；同比增量0</x:v>
      </x:c>
      <x:c r="K154" s="659" t="str">
        <x:v>背景</x:v>
      </x:c>
      <x:c r="L154" s="659" t="n">
        <x:v>0.03</x:v>
      </x:c>
      <x:c r="M154" s="659" t="str">
        <x:v>2026-06-22T00:00:00</x:v>
      </x:c>
      <x:c r="N154" s="659" t="n">
        <x:v>0</x:v>
      </x:c>
      <x:c r="O154" s="659" t="str">
        <x:v>-</x:v>
      </x:c>
      <x:c r="P154" s="659" t="n">
        <x:v>0</x:v>
      </x:c>
      <x:c r="Q154" s="687" t="n">
        <x:v>0.018</x:v>
      </x:c>
      <x:c r="R154" s="659" t="str">
        <x:v>1年LPR为3.00%且持平，贷款定价未进一步宽松。</x:v>
      </x:c>
      <x:c r="S154" s="659" t="str">
        <x:v>权重0.018；1年LPR是企业和居民贷款定价的重要基准，直接影响实体融资成本和信用扩张意愿；但调整频率不高，更多用于判断政策利率向贷款端的传导效果。</x:v>
      </x:c>
      <x:c r="T154" s="659" t="str">
        <x:v>背景验证</x:v>
      </x:c>
      <x:c r="U154" s="659" t="str">
        <x:v>中性</x:v>
      </x:c>
      <x:c r="V154" s="659" t="str">
        <x:v>中</x:v>
      </x:c>
      <x:c r="W154" s="659" t="str">
        <x:v>重点看环比/同比方向和历史位置</x:v>
      </x:c>
      <x:c r="X154" s="659" t="str">
        <x:v>否</x:v>
      </x:c>
      <x:c r="Y154" s="659" t="str">
        <x:v>权重或边际变化不足以改变面级判断，本期作为背景验证。</x:v>
      </x:c>
      <x:c r="Z154" s="659" t="str">
        <x:v>已检查同面反向指标；若出现支撑与压力并存，面级结论按分化或边际变化处理。</x:v>
      </x:c>
      <x:c r="AA154"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54" s="659" t="str">
        <x:v>避免单指标下结论；资金面不轻易表述为紧缩，估值面必须给历史分位。</x:v>
      </x:c>
      <x:c r="AC154" s="659" t="str">
        <x:v>否</x:v>
      </x:c>
      <x:c r="AD154" s="659" t="str">
        <x:v>P3</x:v>
      </x:c>
      <x:c r="AE154" s="659" t="str"/>
      <x:c r="AF154" s="659" t="str"/>
      <x:c r="AG154" s="659" t="str">
        <x:v>作为背景验证，不进入最终PPT。</x:v>
      </x:c>
      <x:c r="AH154" s="659" t="str"/>
      <x:c r="AI154" s="659" t="str"/>
    </x:row>
    <x:row r="155" ht="54" customHeight="1">
      <x:c r="A155" s="659" t="str">
        <x:v>指标</x:v>
      </x:c>
      <x:c r="B155" s="659" t="str">
        <x:v>境内</x:v>
      </x:c>
      <x:c r="C155" s="659" t="str">
        <x:v>债市</x:v>
      </x:c>
      <x:c r="D155" s="659" t="str">
        <x:v>供需面</x:v>
      </x:c>
      <x:c r="E155" s="659" t="str">
        <x:v>融资需求</x:v>
      </x:c>
      <x:c r="F155" s="659" t="n">
        <x:v>149</x:v>
      </x:c>
      <x:c r="G155" s="659" t="str">
        <x:v>社会融资规模</x:v>
      </x:c>
      <x:c r="H155" s="659" t="str">
        <x:v>月度；日期2026-05-31T00:00:00</x:v>
      </x:c>
      <x:c r="I155" s="659" t="str">
        <x:v>硬数据/同步指标</x:v>
      </x:c>
      <x:c r="J155" s="659" t="str">
        <x:v>当前20264；环比14026；同比-0.115109170306；同比增量-2636</x:v>
      </x:c>
      <x:c r="K155" s="659" t="str">
        <x:v>必检</x:v>
      </x:c>
      <x:c r="L155" s="659" t="n">
        <x:v>20264</x:v>
      </x:c>
      <x:c r="M155" s="659" t="str">
        <x:v>2026-05-31T00:00:00</x:v>
      </x:c>
      <x:c r="N155" s="659" t="n">
        <x:v>14026</x:v>
      </x:c>
      <x:c r="O155" s="659" t="n">
        <x:v>-0.115109170306</x:v>
      </x:c>
      <x:c r="P155" s="659" t="n">
        <x:v>-2636</x:v>
      </x:c>
      <x:c r="Q155" s="694" t="n">
        <x:v>0.08</x:v>
      </x:c>
      <x:c r="R155" s="659" t="str">
        <x:v>社融6245亿且同比少增5354亿，实体融资需求偏弱，对债市配置需求形成支撑。</x:v>
      </x:c>
      <x:c r="S155" s="659" t="str">
        <x:v>权重0.08；社融反映实体融资需求强弱，是债市需求端的重要宏观代理；但不是债券市场直接供需指标，需要与发行、托管和成交数据配合。</x:v>
      </x:c>
      <x:c r="T155" s="691" t="str">
        <x:v>关键候选</x:v>
      </x:c>
      <x:c r="U155" s="659" t="str">
        <x:v>实体融资同比偏弱</x:v>
      </x:c>
      <x:c r="V155" s="659" t="str">
        <x:v>高</x:v>
      </x:c>
      <x:c r="W155" s="659" t="str">
        <x:v>重点看环比/同比方向和历史位置</x:v>
      </x:c>
      <x:c r="X155" s="674" t="str">
        <x:v>是</x:v>
      </x:c>
      <x:c r="Y155" s="659" t="str">
        <x:v>指标权重较高、边际变化明显或具有关键阈值/联动判断价值，进入第一轮候选池。</x:v>
      </x:c>
      <x:c r="Z155" s="659" t="str">
        <x:v>已检查同面反向指标；若出现支撑与压力并存，面级结论按分化或边际变化处理。</x:v>
      </x:c>
      <x:c r="AA155" s="659" t="str">
        <x:v>债市供需面：中性偏分化：政府债供给仍偏高，但实体融资和信用债供给偏弱形成对冲：政府债供给较高（政府债券融资1.22万亿元、较上月增加3195亿元）；实体融资同比偏弱（社融2.03万亿元、同比少增2636亿元）；信用债供给回落（企业债融资1680亿元、较上月减少2840亿元）。</x:v>
      </x:c>
      <x:c r="AB155" s="659" t="str">
        <x:v>避免单指标下结论；资金面不轻易表述为紧缩，估值面必须给历史分位。</x:v>
      </x:c>
      <x:c r="AC155" s="659" t="str">
        <x:v>否</x:v>
      </x:c>
      <x:c r="AD155" s="659" t="str">
        <x:v>P2</x:v>
      </x:c>
      <x:c r="AE155" s="659" t="str"/>
      <x:c r="AF155" s="659" t="str"/>
      <x:c r="AG155" s="659" t="str">
        <x:v>已经参与第一轮判断，但不是本期最终展示的最高解释力指标。</x:v>
      </x:c>
      <x:c r="AH155" s="659" t="str"/>
      <x:c r="AI155" s="659" t="str"/>
    </x:row>
    <x:row r="156" ht="54" customHeight="1">
      <x:c r="A156" s="659" t="str">
        <x:v>指标</x:v>
      </x:c>
      <x:c r="B156" s="659" t="str">
        <x:v>境内</x:v>
      </x:c>
      <x:c r="C156" s="659" t="str">
        <x:v>债市</x:v>
      </x:c>
      <x:c r="D156" s="659" t="str">
        <x:v>供需面</x:v>
      </x:c>
      <x:c r="E156" s="659" t="str">
        <x:v>融资需求</x:v>
      </x:c>
      <x:c r="F156" s="659" t="n">
        <x:v>150</x:v>
      </x:c>
      <x:c r="G156" s="659" t="str">
        <x:v>新增人民币贷款</x:v>
      </x:c>
      <x:c r="H156" s="659" t="str">
        <x:v>月度；日期2026-05-31T00:00:00</x:v>
      </x:c>
      <x:c r="I156" s="659" t="str">
        <x:v>硬数据/同步指标</x:v>
      </x:c>
      <x:c r="J156" s="659" t="str">
        <x:v>当前4965；环比8971；同比-0.16174236029；同比增量-958</x:v>
      </x:c>
      <x:c r="K156" s="659" t="str">
        <x:v>必检</x:v>
      </x:c>
      <x:c r="L156" s="659" t="n">
        <x:v>4965</x:v>
      </x:c>
      <x:c r="M156" s="659" t="str">
        <x:v>2026-05-31T00:00:00</x:v>
      </x:c>
      <x:c r="N156" s="659" t="n">
        <x:v>8971</x:v>
      </x:c>
      <x:c r="O156" s="659" t="n">
        <x:v>-0.16174236029</x:v>
      </x:c>
      <x:c r="P156" s="659" t="n">
        <x:v>-958</x:v>
      </x:c>
      <x:c r="Q156" s="694" t="n">
        <x:v>0.08</x:v>
      </x:c>
      <x:c r="R156" s="659" t="str">
        <x:v>新增人民币贷款为-4006亿且同比少增4890亿，信贷需求偏弱，利多利率债配置需求。</x:v>
      </x:c>
      <x:c r="S156" s="659" t="str">
        <x:v>权重0.08；新增人民币贷款最能体现银行向实体投放信用的强弱，是判断债市配置需求的核心代理。</x:v>
      </x:c>
      <x:c r="T156" s="691" t="str">
        <x:v>关键候选</x:v>
      </x:c>
      <x:c r="U156" s="659" t="str">
        <x:v>中性</x:v>
      </x:c>
      <x:c r="V156" s="659" t="str">
        <x:v>中</x:v>
      </x:c>
      <x:c r="W156" s="659" t="str">
        <x:v>重点看环比/同比方向和历史位置</x:v>
      </x:c>
      <x:c r="X156" s="674" t="str">
        <x:v>是</x:v>
      </x:c>
      <x:c r="Y156" s="659" t="str">
        <x:v>指标权重较高、边际变化明显或具有关键阈值/联动判断价值，进入第一轮候选池。</x:v>
      </x:c>
      <x:c r="Z156" s="659" t="str">
        <x:v>已检查同面反向指标；若出现支撑与压力并存，面级结论按分化或边际变化处理。</x:v>
      </x:c>
      <x:c r="AA156" s="659" t="str">
        <x:v>债市供需面：中性偏分化：政府债供给仍偏高，但实体融资和信用债供给偏弱形成对冲：政府债供给较高（政府债券融资1.22万亿元、较上月增加3195亿元）；实体融资同比偏弱（社融2.03万亿元、同比少增2636亿元）；信用债供给回落（企业债融资1680亿元、较上月减少2840亿元）。</x:v>
      </x:c>
      <x:c r="AB156" s="659" t="str">
        <x:v>避免单指标下结论；资金面不轻易表述为紧缩，估值面必须给历史分位。</x:v>
      </x:c>
      <x:c r="AC156" s="659" t="str">
        <x:v>否</x:v>
      </x:c>
      <x:c r="AD156" s="659" t="str">
        <x:v>P2</x:v>
      </x:c>
      <x:c r="AE156" s="659" t="str"/>
      <x:c r="AF156" s="659" t="str"/>
      <x:c r="AG156" s="659" t="str">
        <x:v>已经参与第一轮判断，但不是本期最终展示的最高解释力指标。</x:v>
      </x:c>
      <x:c r="AH156" s="659" t="str"/>
      <x:c r="AI156" s="659" t="str"/>
    </x:row>
    <x:row r="157" ht="54" customHeight="1">
      <x:c r="A157" s="659" t="str">
        <x:v>指标</x:v>
      </x:c>
      <x:c r="B157" s="659" t="str">
        <x:v>境内</x:v>
      </x:c>
      <x:c r="C157" s="659" t="str">
        <x:v>债市</x:v>
      </x:c>
      <x:c r="D157" s="659" t="str">
        <x:v>供需面</x:v>
      </x:c>
      <x:c r="E157" s="659" t="str">
        <x:v>债券供给</x:v>
      </x:c>
      <x:c r="F157" s="659" t="n">
        <x:v>151</x:v>
      </x:c>
      <x:c r="G157" s="659" t="str">
        <x:v>政府债券</x:v>
      </x:c>
      <x:c r="H157" s="659" t="str">
        <x:v>月度；日期2026-05-31T00:00:00</x:v>
      </x:c>
      <x:c r="I157" s="659" t="str">
        <x:v>政策财政/供给指标</x:v>
      </x:c>
      <x:c r="J157" s="659" t="str">
        <x:v>当前12236；环比3195；同比-0.161055879328；同比增量-2349</x:v>
      </x:c>
      <x:c r="K157" s="659" t="str">
        <x:v>必检</x:v>
      </x:c>
      <x:c r="L157" s="659" t="n">
        <x:v>12236</x:v>
      </x:c>
      <x:c r="M157" s="659" t="str">
        <x:v>2026-05-31T00:00:00</x:v>
      </x:c>
      <x:c r="N157" s="659" t="n">
        <x:v>3195</x:v>
      </x:c>
      <x:c r="O157" s="659" t="n">
        <x:v>-0.161055879328</x:v>
      </x:c>
      <x:c r="P157" s="659" t="n">
        <x:v>-2349</x:v>
      </x:c>
      <x:c r="Q157" s="694" t="n">
        <x:v>0.12</x:v>
      </x:c>
      <x:c r="R157" s="659" t="str">
        <x:v>政府债融资1.22万亿元、较上月增加3195亿元，利率债供给边际增加。</x:v>
      </x:c>
      <x:c r="S157" s="659" t="str">
        <x:v>权重0.12；政府债净融资直接代表利率债供给压力，是债市供需面最核心的供给指标。</x:v>
      </x:c>
      <x:c r="T157" s="681" t="str">
        <x:v>最终展示候选</x:v>
      </x:c>
      <x:c r="U157" s="659" t="str">
        <x:v>供给压力</x:v>
      </x:c>
      <x:c r="V157" s="659" t="str">
        <x:v>高</x:v>
      </x:c>
      <x:c r="W157" s="659" t="str">
        <x:v>重点看环比/同比方向和历史位置</x:v>
      </x:c>
      <x:c r="X157" s="674" t="str">
        <x:v>是</x:v>
      </x:c>
      <x:c r="Y157" s="659" t="str">
        <x:v>权重较高或边际变化/阈值信号明确，且解释力足以支撑面级结论，进入第一轮候选池。</x:v>
      </x:c>
      <x:c r="Z157" s="659" t="str">
        <x:v>已检查同面反向指标；若出现支撑与压力并存，面级结论按分化或边际变化处理。</x:v>
      </x:c>
      <x:c r="AA157" s="659" t="str">
        <x:v>债市供需面：中性偏分化：政府债供给仍偏高，但实体融资和信用债供给偏弱形成对冲：政府债供给较高（政府债券融资1.22万亿元、较上月增加3195亿元）；实体融资同比偏弱（社融2.03万亿元、同比少增2636亿元）；信用债供给回落（企业债融资1680亿元、较上月减少2840亿元）。</x:v>
      </x:c>
      <x:c r="AB157" s="659" t="str">
        <x:v>避免单指标下结论；资金面不轻易表述为紧缩，估值面必须给历史分位。</x:v>
      </x:c>
      <x:c r="AC157" s="677" t="str">
        <x:v>是</x:v>
      </x:c>
      <x:c r="AD157" s="659" t="str">
        <x:v>P1</x:v>
      </x:c>
      <x:c r="AE157" s="659" t="str">
        <x:v>第二轮入选：该指标能最直接解释面级判断，且适合放入最终PPT。</x:v>
      </x:c>
      <x:c r="AF157" s="659" t="str">
        <x:v>政府债券融资1.22万亿元、较上月增加3195亿元</x:v>
      </x:c>
      <x:c r="AG157" s="659" t="str"/>
      <x:c r="AH157" s="659" t="str">
        <x:v>债市供需面：中性偏分化：政府债供给仍偏高，但实体融资和信用债供给偏弱形成对冲：政府债供给较高（政府债券融资1.22万亿元、较上月增加3195亿元）；实体融资同比偏弱（社融2.03万亿元、同比少增2636亿元）；信用债供给回落（企业债融资1680亿元、较上月减少2840亿元）。</x:v>
      </x:c>
      <x:c r="AI157" s="659" t="str">
        <x:v>需人工复核口径与最终PPT篇幅。</x:v>
      </x:c>
    </x:row>
    <x:row r="158" ht="54" customHeight="1">
      <x:c r="A158" s="659" t="str">
        <x:v>指标</x:v>
      </x:c>
      <x:c r="B158" s="659" t="str">
        <x:v>境内</x:v>
      </x:c>
      <x:c r="C158" s="659" t="str">
        <x:v>债市</x:v>
      </x:c>
      <x:c r="D158" s="659" t="str">
        <x:v>供需面</x:v>
      </x:c>
      <x:c r="E158" s="659" t="str">
        <x:v>融资需求质量</x:v>
      </x:c>
      <x:c r="F158" s="659" t="n">
        <x:v>152</x:v>
      </x:c>
      <x:c r="G158" s="659" t="str">
        <x:v>票据融资</x:v>
      </x:c>
      <x:c r="H158" s="659" t="str">
        <x:v>月度；日期2026-05-31T00:00:00</x:v>
      </x:c>
      <x:c r="I158" s="659" t="str">
        <x:v>硬数据/同步指标</x:v>
      </x:c>
      <x:c r="J158" s="659" t="str">
        <x:v>当前-685；环比4599；同比0.411512027491；同比增量479</x:v>
      </x:c>
      <x:c r="K158" s="659" t="str">
        <x:v>背景</x:v>
      </x:c>
      <x:c r="L158" s="659" t="n">
        <x:v>-685</x:v>
      </x:c>
      <x:c r="M158" s="659" t="str">
        <x:v>2026-05-31T00:00:00</x:v>
      </x:c>
      <x:c r="N158" s="659" t="n">
        <x:v>4599</x:v>
      </x:c>
      <x:c r="O158" s="659" t="n">
        <x:v>0.411512027491</x:v>
      </x:c>
      <x:c r="P158" s="659" t="n">
        <x:v>479</x:v>
      </x:c>
      <x:c r="Q158" s="670" t="n">
        <x:v>0.03</x:v>
      </x:c>
      <x:c r="R158" s="659" t="str">
        <x:v>票据融资-685亿元、较上月增加4599亿元，真实融资需求仍未明显转强但边际改善。</x:v>
      </x:c>
      <x:c r="S158" s="659" t="str">
        <x:v>权重0.03；票据融资用于验证信贷需求质量和银行冲量行为，在债市供需中属于辅助代理。</x:v>
      </x:c>
      <x:c r="T158" s="659" t="str">
        <x:v>背景验证</x:v>
      </x:c>
      <x:c r="U158" s="659" t="str">
        <x:v>中性</x:v>
      </x:c>
      <x:c r="V158" s="659" t="str">
        <x:v>中</x:v>
      </x:c>
      <x:c r="W158" s="659" t="str">
        <x:v>重点看环比/同比方向和历史位置</x:v>
      </x:c>
      <x:c r="X158" s="659" t="str">
        <x:v>否</x:v>
      </x:c>
      <x:c r="Y158" s="659" t="str">
        <x:v>权重或边际变化不足以改变面级判断，本期作为背景验证。</x:v>
      </x:c>
      <x:c r="Z158" s="659" t="str">
        <x:v>已检查同面反向指标；若出现支撑与压力并存，面级结论按分化或边际变化处理。</x:v>
      </x:c>
      <x:c r="AA158" s="659" t="str">
        <x:v>债市供需面：中性偏分化：政府债供给仍偏高，但实体融资和信用债供给偏弱形成对冲：政府债供给较高（政府债券融资1.22万亿元、较上月增加3195亿元）；实体融资同比偏弱（社融2.03万亿元、同比少增2636亿元）；信用债供给回落（企业债融资1680亿元、较上月减少2840亿元）。</x:v>
      </x:c>
      <x:c r="AB158" s="659" t="str">
        <x:v>避免单指标下结论；资金面不轻易表述为紧缩，估值面必须给历史分位。</x:v>
      </x:c>
      <x:c r="AC158" s="659" t="str">
        <x:v>否</x:v>
      </x:c>
      <x:c r="AD158" s="659" t="str">
        <x:v>P3</x:v>
      </x:c>
      <x:c r="AE158" s="659" t="str"/>
      <x:c r="AF158" s="659" t="str"/>
      <x:c r="AG158" s="659" t="str">
        <x:v>作为背景验证，不进入最终PPT。</x:v>
      </x:c>
      <x:c r="AH158" s="659" t="str"/>
      <x:c r="AI158" s="659" t="str"/>
    </x:row>
    <x:row r="159" ht="54" customHeight="1">
      <x:c r="A159" s="659" t="str">
        <x:v>指标</x:v>
      </x:c>
      <x:c r="B159" s="659" t="str">
        <x:v>境内</x:v>
      </x:c>
      <x:c r="C159" s="659" t="str">
        <x:v>债市</x:v>
      </x:c>
      <x:c r="D159" s="659" t="str">
        <x:v>供需面</x:v>
      </x:c>
      <x:c r="E159" s="659" t="str">
        <x:v>信用债供需</x:v>
      </x:c>
      <x:c r="F159" s="659" t="n">
        <x:v>153</x:v>
      </x:c>
      <x:c r="G159" s="659" t="str">
        <x:v>企业债券融资</x:v>
      </x:c>
      <x:c r="H159" s="659" t="str">
        <x:v>月度；日期2026-05-31T00:00:00</x:v>
      </x:c>
      <x:c r="I159" s="659" t="str">
        <x:v>硬数据/同步指标</x:v>
      </x:c>
      <x:c r="J159" s="659" t="str">
        <x:v>当前1680；环比-2840；同比0.122994652406；同比增量184</x:v>
      </x:c>
      <x:c r="K159" s="659" t="str">
        <x:v>必检</x:v>
      </x:c>
      <x:c r="L159" s="659" t="n">
        <x:v>1680</x:v>
      </x:c>
      <x:c r="M159" s="659" t="str">
        <x:v>2026-05-31T00:00:00</x:v>
      </x:c>
      <x:c r="N159" s="659" t="n">
        <x:v>-2840</x:v>
      </x:c>
      <x:c r="O159" s="659" t="n">
        <x:v>0.122994652406</x:v>
      </x:c>
      <x:c r="P159" s="659" t="n">
        <x:v>184</x:v>
      </x:c>
      <x:c r="Q159" s="684" t="n">
        <x:v>0.05</x:v>
      </x:c>
      <x:c r="R159" s="659" t="str">
        <x:v>企业债融资1680亿元、较上月减少2840亿元，信用债供给边际回落。</x:v>
      </x:c>
      <x:c r="S159" s="659" t="str">
        <x:v>权重0.05；企业债券融资反映信用债供给和直接融资环境，是信用债供需面的核心补充。</x:v>
      </x:c>
      <x:c r="T159" s="681" t="str">
        <x:v>最终展示候选</x:v>
      </x:c>
      <x:c r="U159" s="659" t="str">
        <x:v>信用债供给回落形成对冲</x:v>
      </x:c>
      <x:c r="V159" s="659" t="str">
        <x:v>中</x:v>
      </x:c>
      <x:c r="W159" s="659" t="str">
        <x:v>重点看环比/同比方向和历史位置</x:v>
      </x:c>
      <x:c r="X159" s="674" t="str">
        <x:v>是</x:v>
      </x:c>
      <x:c r="Y159" s="659" t="str">
        <x:v>权重较高或边际变化/阈值信号明确，且解释力足以支撑面级结论，进入第一轮候选池。</x:v>
      </x:c>
      <x:c r="Z159" s="659" t="str">
        <x:v>已检查同面反向指标；若出现支撑与压力并存，面级结论按分化或边际变化处理。</x:v>
      </x:c>
      <x:c r="AA159" s="659" t="str">
        <x:v>债市供需面：中性偏分化：政府债供给仍偏高，但实体融资和信用债供给偏弱形成对冲：政府债供给较高（政府债券融资1.22万亿元、较上月增加3195亿元）；实体融资同比偏弱（社融2.03万亿元、同比少增2636亿元）；信用债供给回落（企业债融资1680亿元、较上月减少2840亿元）。</x:v>
      </x:c>
      <x:c r="AB159" s="659" t="str">
        <x:v>避免单指标下结论；资金面不轻易表述为紧缩，估值面必须给历史分位。</x:v>
      </x:c>
      <x:c r="AC159" s="677" t="str">
        <x:v>是</x:v>
      </x:c>
      <x:c r="AD159" s="659" t="str">
        <x:v>P1</x:v>
      </x:c>
      <x:c r="AE159" s="659" t="str">
        <x:v>第二轮入选：该指标能最直接解释面级判断，且适合放入最终PPT。</x:v>
      </x:c>
      <x:c r="AF159" s="659" t="str">
        <x:v>企业债融资1680亿元、较上月减少2840亿元</x:v>
      </x:c>
      <x:c r="AG159" s="659" t="str"/>
      <x:c r="AH159" s="659" t="str">
        <x:v>债市供需面：中性偏分化：政府债供给仍偏高，但实体融资和信用债供给偏弱形成对冲：政府债供给较高（政府债券融资1.22万亿元、较上月增加3195亿元）；实体融资同比偏弱（社融2.03万亿元、同比少增2636亿元）；信用债供给回落（企业债融资1680亿元、较上月减少2840亿元）。</x:v>
      </x:c>
      <x:c r="AI159" s="659" t="str">
        <x:v>需人工复核口径与最终PPT篇幅。</x:v>
      </x:c>
    </x:row>
    <x:row r="160" ht="54" customHeight="1">
      <x:c r="A160" s="659" t="str">
        <x:v>指标</x:v>
      </x:c>
      <x:c r="B160" s="659" t="str">
        <x:v>境外</x:v>
      </x:c>
      <x:c r="C160" s="659" t="str">
        <x:v>债市</x:v>
      </x:c>
      <x:c r="D160" s="659" t="str">
        <x:v>经济基本面</x:v>
      </x:c>
      <x:c r="E160" s="659" t="str">
        <x:v>供给
（20%）</x:v>
      </x:c>
      <x:c r="F160" s="659" t="n">
        <x:v>154</x:v>
      </x:c>
      <x:c r="G160" s="659" t="str">
        <x:v>制造业ISM</x:v>
      </x:c>
      <x:c r="H160" s="659" t="str">
        <x:v>月度；日期2026-06-30T00:00:00</x:v>
      </x:c>
      <x:c r="I160" s="659" t="str">
        <x:v>软数据/领先景气指标</x:v>
      </x:c>
      <x:c r="J160" s="659" t="str">
        <x:v>当前53.3；环比-0.7；同比增量4.3</x:v>
      </x:c>
      <x:c r="K160" s="659" t="str">
        <x:v>必检</x:v>
      </x:c>
      <x:c r="L160" s="659" t="n">
        <x:v>53.3</x:v>
      </x:c>
      <x:c r="M160" s="659" t="str">
        <x:v>2026-06-30T00:00:00</x:v>
      </x:c>
      <x:c r="N160" s="659" t="n">
        <x:v>-0.7</x:v>
      </x:c>
      <x:c r="O160" s="659" t="str">
        <x:v>-</x:v>
      </x:c>
      <x:c r="P160" s="659" t="n">
        <x:v>4.3</x:v>
      </x:c>
      <x:c r="Q160" s="670" t="n">
        <x:v>0.025</x:v>
      </x:c>
      <x:c r="R160" s="659" t="str">
        <x:v>制造业ISM为54.0且上行，制造业扩张增强，但美国经济需求判断更需结合服务业、零售和就业。</x:v>
      </x:c>
      <x:c r="S160" s="659" t="str">
        <x:v>权重0.025；制造业ISM是美国制造业景气核心先行指标，用于补充确认核心信号。</x:v>
      </x:c>
      <x:c r="T160" s="691" t="str">
        <x:v>关键候选</x:v>
      </x:c>
      <x:c r="U160" s="659" t="str">
        <x:v>增长韧性</x:v>
      </x:c>
      <x:c r="V160" s="659" t="str">
        <x:v>高</x:v>
      </x:c>
      <x:c r="W160" s="659" t="str">
        <x:v>荣枯线50，当前53.3，处于扩张区间</x:v>
      </x:c>
      <x:c r="X160" s="674" t="str">
        <x:v>是</x:v>
      </x:c>
      <x:c r="Y160" s="659" t="str">
        <x:v>指标权重较高、边际变化明显或具有关键阈值/联动判断价值，进入第一轮候选池。</x:v>
      </x:c>
      <x:c r="Z160" s="659" t="str">
        <x:v>已检查同面反向指标；若出现支撑与压力并存，面级结论按分化或边际变化处理。</x:v>
      </x:c>
      <x:c r="AA160"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0" s="659" t="str">
        <x:v>避免单指标下结论；资金面不轻易表述为紧缩，估值面必须给历史分位。</x:v>
      </x:c>
      <x:c r="AC160" s="659" t="str">
        <x:v>否</x:v>
      </x:c>
      <x:c r="AD160" s="659" t="str">
        <x:v>P2</x:v>
      </x:c>
      <x:c r="AE160" s="659" t="str"/>
      <x:c r="AF160" s="659" t="str"/>
      <x:c r="AG160" s="659" t="str">
        <x:v>已经参与第一轮判断，但不是本期最终展示的最高解释力指标。</x:v>
      </x:c>
      <x:c r="AH160" s="659" t="str"/>
      <x:c r="AI160" s="659" t="str"/>
    </x:row>
    <x:row r="161" ht="54" customHeight="1">
      <x:c r="A161" s="659" t="str">
        <x:v>指标</x:v>
      </x:c>
      <x:c r="B161" s="659" t="str">
        <x:v>境外</x:v>
      </x:c>
      <x:c r="C161" s="659" t="str">
        <x:v>债市</x:v>
      </x:c>
      <x:c r="D161" s="659" t="str">
        <x:v>经济基本面</x:v>
      </x:c>
      <x:c r="E161" s="659" t="str">
        <x:v>供给
（20%）</x:v>
      </x:c>
      <x:c r="F161" s="659" t="n">
        <x:v>155</x:v>
      </x:c>
      <x:c r="G161" s="659" t="str">
        <x:v>非制造业ISM</x:v>
      </x:c>
      <x:c r="H161" s="659" t="str">
        <x:v>月度；日期2026-05-31T00:00:00</x:v>
      </x:c>
      <x:c r="I161" s="659" t="str">
        <x:v>软数据/领先景气指标</x:v>
      </x:c>
      <x:c r="J161" s="659" t="str">
        <x:v>当前54.5；环比0.9；同比增量4.6</x:v>
      </x:c>
      <x:c r="K161" s="659" t="str">
        <x:v>必检</x:v>
      </x:c>
      <x:c r="L161" s="659" t="n">
        <x:v>54.5</x:v>
      </x:c>
      <x:c r="M161" s="659" t="str">
        <x:v>2026-05-31T00:00:00</x:v>
      </x:c>
      <x:c r="N161" s="659" t="n">
        <x:v>0.9</x:v>
      </x:c>
      <x:c r="O161" s="659" t="str">
        <x:v>-</x:v>
      </x:c>
      <x:c r="P161" s="659" t="n">
        <x:v>4.6</x:v>
      </x:c>
      <x:c r="Q161" s="670" t="n">
        <x:v>0.029</x:v>
      </x:c>
      <x:c r="R161" s="659" t="str">
        <x:v>非制造业ISM为54.5且上行，服务业需求韧性较强，是判断美国实际需求的重要证据。</x:v>
      </x:c>
      <x:c r="S161" s="659" t="str">
        <x:v>权重0.029；非制造业ISM覆盖服务业，美国经济服务业占比高，对实际需求韧性的解释力强，权重小幅上调。</x:v>
      </x:c>
      <x:c r="T161" s="681" t="str">
        <x:v>最终展示候选</x:v>
      </x:c>
      <x:c r="U161" s="659" t="str">
        <x:v>增长韧性</x:v>
      </x:c>
      <x:c r="V161" s="659" t="str">
        <x:v>高</x:v>
      </x:c>
      <x:c r="W161" s="659" t="str">
        <x:v>荣枯线50，当前54.5，处于扩张区间</x:v>
      </x:c>
      <x:c r="X161" s="674" t="str">
        <x:v>是</x:v>
      </x:c>
      <x:c r="Y161" s="659" t="str">
        <x:v>权重较高或边际变化/阈值信号明确，且解释力足以支撑面级结论，进入第一轮候选池。</x:v>
      </x:c>
      <x:c r="Z161" s="659" t="str">
        <x:v>已检查同面反向指标；若出现支撑与压力并存，面级结论按分化或边际变化处理。</x:v>
      </x:c>
      <x:c r="AA161"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1" s="659" t="str">
        <x:v>避免单指标下结论；资金面不轻易表述为紧缩，估值面必须给历史分位。</x:v>
      </x:c>
      <x:c r="AC161" s="677" t="str">
        <x:v>是</x:v>
      </x:c>
      <x:c r="AD161" s="659" t="str">
        <x:v>P1</x:v>
      </x:c>
      <x:c r="AE161" s="659" t="str">
        <x:v>第二轮入选：该指标能最直接解释面级判断，且适合放入最终PPT。</x:v>
      </x:c>
      <x:c r="AF161" s="659" t="str">
        <x:v>非制造业ISM为54.5</x:v>
      </x:c>
      <x:c r="AG161" s="659" t="str"/>
      <x:c r="AH161"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I161" s="659" t="str">
        <x:v>需人工复核口径与最终PPT篇幅。</x:v>
      </x:c>
    </x:row>
    <x:row r="162" ht="54" customHeight="1">
      <x:c r="A162" s="659" t="str">
        <x:v>指标</x:v>
      </x:c>
      <x:c r="B162" s="659" t="str">
        <x:v>境外</x:v>
      </x:c>
      <x:c r="C162" s="659" t="str">
        <x:v>债市</x:v>
      </x:c>
      <x:c r="D162" s="659" t="str">
        <x:v>经济基本面</x:v>
      </x:c>
      <x:c r="E162" s="659" t="str">
        <x:v>供给
（20%）</x:v>
      </x:c>
      <x:c r="F162" s="659" t="n">
        <x:v>156</x:v>
      </x:c>
      <x:c r="G162" s="659" t="str">
        <x:v>ISM制造业指数-新订单</x:v>
      </x:c>
      <x:c r="H162" s="659" t="str">
        <x:v>月度；日期—</x:v>
      </x:c>
      <x:c r="I162" s="659" t="str">
        <x:v>软数据/领先景气指标</x:v>
      </x:c>
      <x:c r="J162" s="659" t="str">
        <x:v>缺少有效数据</x:v>
      </x:c>
      <x:c r="K162" s="659" t="str">
        <x:v>背景</x:v>
      </x:c>
      <x:c r="L162" s="659" t="str">
        <x:v>—</x:v>
      </x:c>
      <x:c r="M162" s="659" t="str">
        <x:v>—</x:v>
      </x:c>
      <x:c r="N162" s="659" t="str">
        <x:v>—</x:v>
      </x:c>
      <x:c r="O162" s="659" t="str">
        <x:v>-</x:v>
      </x:c>
      <x:c r="P162" s="659" t="str">
        <x:v>-</x:v>
      </x:c>
      <x:c r="Q162" s="687" t="n">
        <x:v>0.018</x:v>
      </x:c>
      <x:c r="R162" s="659" t="str">
        <x:v>缺少ISM新订单当前数据，暂不下结论。</x:v>
      </x:c>
      <x:c r="S162" s="659" t="str">
        <x:v>权重0.018；ISM新订单领先生产，是制造业转折分项，用于补充确认核心信号。</x:v>
      </x:c>
      <x:c r="T162" s="698" t="str">
        <x:v>缺数据</x:v>
      </x:c>
      <x:c r="U162" s="659" t="str">
        <x:v>增长韧性</x:v>
      </x:c>
      <x:c r="V162" s="659" t="str">
        <x:v>高</x:v>
      </x:c>
      <x:c r="W162" s="659" t="str">
        <x:v>荣枯线50，缺少当前值</x:v>
      </x:c>
      <x:c r="X162" s="659" t="str">
        <x:v>否</x:v>
      </x:c>
      <x:c r="Y162" s="659" t="str">
        <x:v>本期无有效前端数据，不进入候选池。</x:v>
      </x:c>
      <x:c r="Z162" s="659" t="str">
        <x:v>已检查同面反向指标；若出现支撑与压力并存，面级结论按分化或边际变化处理。</x:v>
      </x:c>
      <x:c r="AA162"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2" s="659" t="str">
        <x:v>避免单指标下结论；资金面不轻易表述为紧缩，估值面必须给历史分位。</x:v>
      </x:c>
      <x:c r="AC162" s="659" t="str">
        <x:v>否</x:v>
      </x:c>
      <x:c r="AD162" s="659" t="str">
        <x:v>P3</x:v>
      </x:c>
      <x:c r="AE162" s="659" t="str"/>
      <x:c r="AF162" s="659" t="str"/>
      <x:c r="AG162" s="659" t="str">
        <x:v>作为背景验证，不进入最终PPT。</x:v>
      </x:c>
      <x:c r="AH162" s="659" t="str"/>
      <x:c r="AI162" s="659" t="str"/>
    </x:row>
    <x:row r="163" ht="54" customHeight="1">
      <x:c r="A163" s="659" t="str">
        <x:v>指标</x:v>
      </x:c>
      <x:c r="B163" s="659" t="str">
        <x:v>境外</x:v>
      </x:c>
      <x:c r="C163" s="659" t="str">
        <x:v>债市</x:v>
      </x:c>
      <x:c r="D163" s="659" t="str">
        <x:v>经济基本面</x:v>
      </x:c>
      <x:c r="E163" s="659" t="str">
        <x:v>供给
（20%）</x:v>
      </x:c>
      <x:c r="F163" s="659" t="n">
        <x:v>157</x:v>
      </x:c>
      <x:c r="G163" s="659" t="str">
        <x:v>非农数据：</x:v>
      </x:c>
      <x:c r="H163" s="659" t="str">
        <x:v>月度；日期2026-05-31T00:00:00</x:v>
      </x:c>
      <x:c r="I163" s="659" t="str">
        <x:v>硬数据/同步指标</x:v>
      </x:c>
      <x:c r="J163" s="659" t="str">
        <x:v>当前172；环比57；同比0.237410071942；同比增量33</x:v>
      </x:c>
      <x:c r="K163" s="659" t="str">
        <x:v>必检</x:v>
      </x:c>
      <x:c r="L163" s="659" t="n">
        <x:v>172</x:v>
      </x:c>
      <x:c r="M163" s="659" t="str">
        <x:v>2026-05-31T00:00:00</x:v>
      </x:c>
      <x:c r="N163" s="659" t="n">
        <x:v>57</x:v>
      </x:c>
      <x:c r="O163" s="659" t="n">
        <x:v>0.237410071942</x:v>
      </x:c>
      <x:c r="P163" s="659" t="n">
        <x:v>33</x:v>
      </x:c>
      <x:c r="Q163" s="684" t="n">
        <x:v>0.035</x:v>
      </x:c>
      <x:c r="R163" s="659" t="str">
        <x:v>非农新增17.2万人且环比多5.7万，就业仍具韧性，是美国需求和收入支撑的重要硬数据。</x:v>
      </x:c>
      <x:c r="S163" s="659" t="str">
        <x:v>权重0.035；非农就业是美国经济面核心硬数据，同时影响收入、消费韧性、通胀和美联储政策预期，权重应高于消费者信心等软指标，本版上调。</x:v>
      </x:c>
      <x:c r="T163" s="681" t="str">
        <x:v>最终展示候选</x:v>
      </x:c>
      <x:c r="U163" s="659" t="str">
        <x:v>增长韧性</x:v>
      </x:c>
      <x:c r="V163" s="659" t="str">
        <x:v>高</x:v>
      </x:c>
      <x:c r="W163" s="659" t="str">
        <x:v>重点看环比/同比方向和历史位置</x:v>
      </x:c>
      <x:c r="X163" s="674" t="str">
        <x:v>是</x:v>
      </x:c>
      <x:c r="Y163" s="659" t="str">
        <x:v>权重较高或边际变化/阈值信号明确，且解释力足以支撑面级结论，进入第一轮候选池。</x:v>
      </x:c>
      <x:c r="Z163" s="659" t="str">
        <x:v>已检查同面反向指标；若出现支撑与压力并存，面级结论按分化或边际变化处理。</x:v>
      </x:c>
      <x:c r="AA163"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3" s="659" t="str">
        <x:v>避免单指标下结论；资金面不轻易表述为紧缩，估值面必须给历史分位。</x:v>
      </x:c>
      <x:c r="AC163" s="677" t="str">
        <x:v>是</x:v>
      </x:c>
      <x:c r="AD163" s="659" t="str">
        <x:v>P1</x:v>
      </x:c>
      <x:c r="AE163" s="659" t="str">
        <x:v>第二轮入选：该指标能最直接解释面级判断，且适合放入最终PPT。</x:v>
      </x:c>
      <x:c r="AF163" s="659" t="str">
        <x:v>非农新增17.2万人、较上月增加5.7万人</x:v>
      </x:c>
      <x:c r="AG163" s="659" t="str"/>
      <x:c r="AH163"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I163" s="659" t="str">
        <x:v>需人工复核口径与最终PPT篇幅。</x:v>
      </x:c>
    </x:row>
    <x:row r="164" ht="54" customHeight="1">
      <x:c r="A164" s="659" t="str">
        <x:v>指标</x:v>
      </x:c>
      <x:c r="B164" s="659" t="str">
        <x:v>境外</x:v>
      </x:c>
      <x:c r="C164" s="659" t="str">
        <x:v>债市</x:v>
      </x:c>
      <x:c r="D164" s="659" t="str">
        <x:v>经济基本面</x:v>
      </x:c>
      <x:c r="E164" s="659" t="str">
        <x:v>供给
（20%）</x:v>
      </x:c>
      <x:c r="F164" s="659" t="n">
        <x:v>158</x:v>
      </x:c>
      <x:c r="G164" s="659" t="str">
        <x:v>美国中小企业乐观指数</x:v>
      </x:c>
      <x:c r="H164" s="659" t="str">
        <x:v>月度；日期2026-05-31T00:00:00</x:v>
      </x:c>
      <x:c r="I164" s="659" t="str">
        <x:v>软数据/领先景气指标</x:v>
      </x:c>
      <x:c r="J164" s="659" t="str">
        <x:v>当前95.3；环比-0.6；同比-0.0354251012146；同比增量-3.5</x:v>
      </x:c>
      <x:c r="K164" s="659" t="str">
        <x:v>背景</x:v>
      </x:c>
      <x:c r="L164" s="659" t="n">
        <x:v>95.3</x:v>
      </x:c>
      <x:c r="M164" s="659" t="str">
        <x:v>2026-05-31T00:00:00</x:v>
      </x:c>
      <x:c r="N164" s="659" t="n">
        <x:v>-0.6</x:v>
      </x:c>
      <x:c r="O164" s="659" t="n">
        <x:v>-0.0354251012146</x:v>
      </x:c>
      <x:c r="P164" s="659" t="n">
        <x:v>-3.5</x:v>
      </x:c>
      <x:c r="Q164" s="687" t="n">
        <x:v>0.014</x:v>
      </x:c>
      <x:c r="R164" s="659" t="str">
        <x:v>中小企业乐观指数95.3且回落，经营预期偏弱，但属于软数据，需与ISM、非农、零售交叉验证。</x:v>
      </x:c>
      <x:c r="S164" s="659" t="str">
        <x:v>权重0.014；NFIB反映企业预期和扩张意愿，但属于软数据，不能单独决定实际需求，权重下调为辅助验证。</x:v>
      </x:c>
      <x:c r="T164" s="659" t="str">
        <x:v>背景验证</x:v>
      </x:c>
      <x:c r="U164" s="659" t="str">
        <x:v>中性</x:v>
      </x:c>
      <x:c r="V164" s="659" t="str">
        <x:v>中</x:v>
      </x:c>
      <x:c r="W164" s="659" t="str">
        <x:v>重点看环比/同比方向和历史位置</x:v>
      </x:c>
      <x:c r="X164" s="659" t="str">
        <x:v>否</x:v>
      </x:c>
      <x:c r="Y164" s="659" t="str">
        <x:v>权重或边际变化不足以改变面级判断，本期作为背景验证。</x:v>
      </x:c>
      <x:c r="Z164" s="659" t="str">
        <x:v>已检查同面反向指标；若出现支撑与压力并存，面级结论按分化或边际变化处理。</x:v>
      </x:c>
      <x:c r="AA164"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4" s="659" t="str">
        <x:v>避免单指标下结论；资金面不轻易表述为紧缩，估值面必须给历史分位。</x:v>
      </x:c>
      <x:c r="AC164" s="659" t="str">
        <x:v>否</x:v>
      </x:c>
      <x:c r="AD164" s="659" t="str">
        <x:v>P3</x:v>
      </x:c>
      <x:c r="AE164" s="659" t="str"/>
      <x:c r="AF164" s="659" t="str"/>
      <x:c r="AG164" s="659" t="str">
        <x:v>作为背景验证，不进入最终PPT。</x:v>
      </x:c>
      <x:c r="AH164" s="659" t="str"/>
      <x:c r="AI164" s="659" t="str"/>
    </x:row>
    <x:row r="165" ht="54" customHeight="1">
      <x:c r="A165" s="659" t="str">
        <x:v>指标</x:v>
      </x:c>
      <x:c r="B165" s="659" t="str">
        <x:v>境外</x:v>
      </x:c>
      <x:c r="C165" s="659" t="str">
        <x:v>债市</x:v>
      </x:c>
      <x:c r="D165" s="659" t="str">
        <x:v>经济基本面</x:v>
      </x:c>
      <x:c r="E165" s="659" t="str">
        <x:v>供给
（20%）</x:v>
      </x:c>
      <x:c r="F165" s="659" t="n">
        <x:v>159</x:v>
      </x:c>
      <x:c r="G165" s="659" t="str">
        <x:v>失业率：</x:v>
      </x:c>
      <x:c r="H165" s="659" t="str">
        <x:v>月度；日期2026-05-31T00:00:00</x:v>
      </x:c>
      <x:c r="I165" s="659" t="str">
        <x:v>硬数据/同步指标</x:v>
      </x:c>
      <x:c r="J165" s="659" t="str">
        <x:v>当前0.043；环比0；同比0；同比增量0</x:v>
      </x:c>
      <x:c r="K165" s="659" t="str">
        <x:v>必检</x:v>
      </x:c>
      <x:c r="L165" s="659" t="n">
        <x:v>0.043</x:v>
      </x:c>
      <x:c r="M165" s="659" t="str">
        <x:v>2026-05-31T00:00:00</x:v>
      </x:c>
      <x:c r="N165" s="659" t="n">
        <x:v>0</x:v>
      </x:c>
      <x:c r="O165" s="659" t="n">
        <x:v>0</x:v>
      </x:c>
      <x:c r="P165" s="659" t="n">
        <x:v>0</x:v>
      </x:c>
      <x:c r="Q165" s="687" t="n">
        <x:v>0.016</x:v>
      </x:c>
      <x:c r="R165" s="659" t="str">
        <x:v>失业率4.3%持平，劳动力市场稳定但已不算过热。</x:v>
      </x:c>
      <x:c r="S165" s="659" t="str">
        <x:v>权重0.016；失业率是劳动力市场状态的核心验证指标，与非农共同判断就业韧性，权重小幅上调。</x:v>
      </x:c>
      <x:c r="T165" s="691" t="str">
        <x:v>关键候选</x:v>
      </x:c>
      <x:c r="U165" s="659" t="str">
        <x:v>中性</x:v>
      </x:c>
      <x:c r="V165" s="659" t="str">
        <x:v>中</x:v>
      </x:c>
      <x:c r="W165" s="659" t="str">
        <x:v>重点看环比/同比方向和历史位置</x:v>
      </x:c>
      <x:c r="X165" s="674" t="str">
        <x:v>是</x:v>
      </x:c>
      <x:c r="Y165" s="659" t="str">
        <x:v>指标权重较高、边际变化明显或具有关键阈值/联动判断价值，进入第一轮候选池。</x:v>
      </x:c>
      <x:c r="Z165" s="659" t="str">
        <x:v>已检查同面反向指标；若出现支撑与压力并存，面级结论按分化或边际变化处理。</x:v>
      </x:c>
      <x:c r="AA165"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5" s="659" t="str">
        <x:v>避免单指标下结论；资金面不轻易表述为紧缩，估值面必须给历史分位。</x:v>
      </x:c>
      <x:c r="AC165" s="659" t="str">
        <x:v>否</x:v>
      </x:c>
      <x:c r="AD165" s="659" t="str">
        <x:v>P2</x:v>
      </x:c>
      <x:c r="AE165" s="659" t="str"/>
      <x:c r="AF165" s="659" t="str"/>
      <x:c r="AG165" s="659" t="str">
        <x:v>已经参与第一轮判断，但不是本期最终展示的最高解释力指标。</x:v>
      </x:c>
      <x:c r="AH165" s="659" t="str"/>
      <x:c r="AI165" s="659" t="str"/>
    </x:row>
    <x:row r="166" ht="54" customHeight="1">
      <x:c r="A166" s="659" t="str">
        <x:v>指标</x:v>
      </x:c>
      <x:c r="B166" s="659" t="str">
        <x:v>境外</x:v>
      </x:c>
      <x:c r="C166" s="659" t="str">
        <x:v>债市</x:v>
      </x:c>
      <x:c r="D166" s="659" t="str">
        <x:v>经济基本面</x:v>
      </x:c>
      <x:c r="E166" s="659" t="str">
        <x:v>供给
（20%）</x:v>
      </x:c>
      <x:c r="F166" s="659" t="n">
        <x:v>160</x:v>
      </x:c>
      <x:c r="G166" s="659" t="str">
        <x:v>工业生产总值同比</x:v>
      </x:c>
      <x:c r="H166" s="659" t="str">
        <x:v>月度；日期2026-05-31T00:00:00</x:v>
      </x:c>
      <x:c r="I166" s="659" t="str">
        <x:v>硬数据/同步指标</x:v>
      </x:c>
      <x:c r="J166" s="659" t="str">
        <x:v>当前0.0163；环比0.0048；同比0.0163；同比增量0.016</x:v>
      </x:c>
      <x:c r="K166" s="659" t="str">
        <x:v>背景</x:v>
      </x:c>
      <x:c r="L166" s="659" t="n">
        <x:v>0.0163</x:v>
      </x:c>
      <x:c r="M166" s="659" t="str">
        <x:v>2026-05-31T00:00:00</x:v>
      </x:c>
      <x:c r="N166" s="659" t="n">
        <x:v>0.0048</x:v>
      </x:c>
      <x:c r="O166" s="659" t="n">
        <x:v>0.0163</x:v>
      </x:c>
      <x:c r="P166" s="659" t="n">
        <x:v>0.016</x:v>
      </x:c>
      <x:c r="Q166" s="687" t="n">
        <x:v>0.01</x:v>
      </x:c>
      <x:c r="R166" s="659" t="str">
        <x:v>工业生产同比1.15%且改善，供给端温和修复。</x:v>
      </x:c>
      <x:c r="S166" s="659" t="str">
        <x:v>权重0.01；工业生产是供给侧硬数据，但代表性弱于服务业和ISM，主要作为辅助验证，避免与核心指标重复计数。</x:v>
      </x:c>
      <x:c r="T166" s="659" t="str">
        <x:v>背景验证</x:v>
      </x:c>
      <x:c r="U166" s="659" t="str">
        <x:v>中性</x:v>
      </x:c>
      <x:c r="V166" s="659" t="str">
        <x:v>中</x:v>
      </x:c>
      <x:c r="W166" s="659" t="str">
        <x:v>重点看环比/同比方向和历史位置</x:v>
      </x:c>
      <x:c r="X166" s="659" t="str">
        <x:v>否</x:v>
      </x:c>
      <x:c r="Y166" s="659" t="str">
        <x:v>权重或边际变化不足以改变面级判断，本期作为背景验证。</x:v>
      </x:c>
      <x:c r="Z166" s="659" t="str">
        <x:v>已检查同面反向指标；若出现支撑与压力并存，面级结论按分化或边际变化处理。</x:v>
      </x:c>
      <x:c r="AA166"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6" s="659" t="str">
        <x:v>避免单指标下结论；资金面不轻易表述为紧缩，估值面必须给历史分位。</x:v>
      </x:c>
      <x:c r="AC166" s="659" t="str">
        <x:v>否</x:v>
      </x:c>
      <x:c r="AD166" s="659" t="str">
        <x:v>P3</x:v>
      </x:c>
      <x:c r="AE166" s="659" t="str"/>
      <x:c r="AF166" s="659" t="str"/>
      <x:c r="AG166" s="659" t="str">
        <x:v>作为背景验证，不进入最终PPT。</x:v>
      </x:c>
      <x:c r="AH166" s="659" t="str"/>
      <x:c r="AI166" s="659" t="str"/>
    </x:row>
    <x:row r="167" ht="54" customHeight="1">
      <x:c r="A167" s="659" t="str">
        <x:v>指标</x:v>
      </x:c>
      <x:c r="B167" s="659" t="str">
        <x:v>境外</x:v>
      </x:c>
      <x:c r="C167" s="659" t="str">
        <x:v>债市</x:v>
      </x:c>
      <x:c r="D167" s="659" t="str">
        <x:v>经济基本面</x:v>
      </x:c>
      <x:c r="E167" s="659" t="str">
        <x:v>需求
（30%）</x:v>
      </x:c>
      <x:c r="F167" s="659" t="n">
        <x:v>161</x:v>
      </x:c>
      <x:c r="G167" s="659" t="str">
        <x:v>密歇根大学消费者信心指数</x:v>
      </x:c>
      <x:c r="H167" s="659" t="str">
        <x:v>月度；日期2026-06-30T00:00:00</x:v>
      </x:c>
      <x:c r="I167" s="659" t="str">
        <x:v>软数据/领先景气指标</x:v>
      </x:c>
      <x:c r="J167" s="659" t="str">
        <x:v>当前49.5；环比4.7；同比-0.184514003295；同比增量-11.2</x:v>
      </x:c>
      <x:c r="K167" s="659" t="str">
        <x:v>必检</x:v>
      </x:c>
      <x:c r="L167" s="659" t="n">
        <x:v>49.5</x:v>
      </x:c>
      <x:c r="M167" s="659" t="str">
        <x:v>2026-06-30T00:00:00</x:v>
      </x:c>
      <x:c r="N167" s="659" t="n">
        <x:v>4.7</x:v>
      </x:c>
      <x:c r="O167" s="659" t="n">
        <x:v>-0.184514003295</x:v>
      </x:c>
      <x:c r="P167" s="659" t="n">
        <x:v>-11.2</x:v>
      </x:c>
      <x:c r="Q167" s="687" t="n">
        <x:v>0.012</x:v>
      </x:c>
      <x:c r="R167" s="659" t="str">
        <x:v>密歇根消费者信心44.8且大幅回落，说明消费预期降温，但不能单独证明实际需求明显转弱。</x:v>
      </x:c>
      <x:c r="S167" s="659" t="str">
        <x:v>权重0.012；消费者信心是居民预期指标，边际变化重要但不能单独代表实际需求，权重下调并作为预期约束指标。</x:v>
      </x:c>
      <x:c r="T167" s="691" t="str">
        <x:v>关键候选</x:v>
      </x:c>
      <x:c r="U167" s="659" t="str">
        <x:v>中性</x:v>
      </x:c>
      <x:c r="V167" s="659" t="str">
        <x:v>中</x:v>
      </x:c>
      <x:c r="W167" s="659" t="str">
        <x:v>重点看环比/同比方向和历史位置</x:v>
      </x:c>
      <x:c r="X167" s="674" t="str">
        <x:v>是</x:v>
      </x:c>
      <x:c r="Y167" s="659" t="str">
        <x:v>指标权重较高、边际变化明显或具有关键阈值/联动判断价值，进入第一轮候选池。</x:v>
      </x:c>
      <x:c r="Z167" s="659" t="str">
        <x:v>已检查同面反向指标；若出现支撑与压力并存，面级结论按分化或边际变化处理。</x:v>
      </x:c>
      <x:c r="AA167"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7" s="659" t="str">
        <x:v>避免单指标下结论；资金面不轻易表述为紧缩，估值面必须给历史分位。</x:v>
      </x:c>
      <x:c r="AC167" s="659" t="str">
        <x:v>否</x:v>
      </x:c>
      <x:c r="AD167" s="659" t="str">
        <x:v>P2</x:v>
      </x:c>
      <x:c r="AE167" s="659" t="str"/>
      <x:c r="AF167" s="659" t="str"/>
      <x:c r="AG167" s="659" t="str">
        <x:v>已经参与第一轮判断，但不是本期最终展示的最高解释力指标。</x:v>
      </x:c>
      <x:c r="AH167" s="659" t="str"/>
      <x:c r="AI167" s="659" t="str"/>
    </x:row>
    <x:row r="168" ht="54" customHeight="1">
      <x:c r="A168" s="659" t="str">
        <x:v>指标</x:v>
      </x:c>
      <x:c r="B168" s="659" t="str">
        <x:v>境外</x:v>
      </x:c>
      <x:c r="C168" s="659" t="str">
        <x:v>债市</x:v>
      </x:c>
      <x:c r="D168" s="659" t="str">
        <x:v>经济基本面</x:v>
      </x:c>
      <x:c r="E168" s="659" t="str">
        <x:v>需求
（30%）</x:v>
      </x:c>
      <x:c r="F168" s="659" t="n">
        <x:v>162</x:v>
      </x:c>
      <x:c r="G168" s="659" t="str">
        <x:v>GDP总量：美国</x:v>
      </x:c>
      <x:c r="H168" s="659" t="str">
        <x:v>季度；日期2026-03-31T00:00:00</x:v>
      </x:c>
      <x:c r="I168" s="659" t="str">
        <x:v>硬数据/低频滞后指标</x:v>
      </x:c>
      <x:c r="J168" s="659" t="str">
        <x:v>当前31819.5；环比397；同比0.059163640358；同比增量1777.4</x:v>
      </x:c>
      <x:c r="K168" s="659" t="str">
        <x:v>背景</x:v>
      </x:c>
      <x:c r="L168" s="659" t="n">
        <x:v>31819.5</x:v>
      </x:c>
      <x:c r="M168" s="659" t="str">
        <x:v>2026-03-31T00:00:00</x:v>
      </x:c>
      <x:c r="N168" s="659" t="n">
        <x:v>397</x:v>
      </x:c>
      <x:c r="O168" s="659" t="n">
        <x:v>0.059163640358</x:v>
      </x:c>
      <x:c r="P168" s="659" t="n">
        <x:v>1777.4</x:v>
      </x:c>
      <x:c r="Q168" s="687" t="n">
        <x:v>0.006</x:v>
      </x:c>
      <x:c r="R168" s="659" t="str">
        <x:v>名义GDP同比5.9%且增加，需求和价格合计仍扩张。</x:v>
      </x:c>
      <x:c r="S168" s="659" t="str">
        <x:v>权重0.006；名义GDP为季度滞后总量，且同时受价格影响，主要作背景验证，权重下调。</x:v>
      </x:c>
      <x:c r="T168" s="659" t="str">
        <x:v>背景验证</x:v>
      </x:c>
      <x:c r="U168" s="659" t="str">
        <x:v>中性</x:v>
      </x:c>
      <x:c r="V168" s="659" t="str">
        <x:v>中</x:v>
      </x:c>
      <x:c r="W168" s="659" t="str">
        <x:v>重点看环比/同比方向和历史位置</x:v>
      </x:c>
      <x:c r="X168" s="659" t="str">
        <x:v>否</x:v>
      </x:c>
      <x:c r="Y168" s="659" t="str">
        <x:v>权重或边际变化不足以改变面级判断，本期作为背景验证。</x:v>
      </x:c>
      <x:c r="Z168" s="659" t="str">
        <x:v>已检查同面反向指标；若出现支撑与压力并存，面级结论按分化或边际变化处理。</x:v>
      </x:c>
      <x:c r="AA168"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8" s="659" t="str">
        <x:v>避免单指标下结论；资金面不轻易表述为紧缩，估值面必须给历史分位。</x:v>
      </x:c>
      <x:c r="AC168" s="659" t="str">
        <x:v>否</x:v>
      </x:c>
      <x:c r="AD168" s="659" t="str">
        <x:v>P3</x:v>
      </x:c>
      <x:c r="AE168" s="659" t="str"/>
      <x:c r="AF168" s="659" t="str"/>
      <x:c r="AG168" s="659" t="str">
        <x:v>作为背景验证，不进入最终PPT。</x:v>
      </x:c>
      <x:c r="AH168" s="659" t="str"/>
      <x:c r="AI168" s="659" t="str"/>
    </x:row>
    <x:row r="169" ht="54" customHeight="1">
      <x:c r="A169" s="659" t="str">
        <x:v>指标</x:v>
      </x:c>
      <x:c r="B169" s="659" t="str">
        <x:v>境外</x:v>
      </x:c>
      <x:c r="C169" s="659" t="str">
        <x:v>债市</x:v>
      </x:c>
      <x:c r="D169" s="659" t="str">
        <x:v>经济基本面</x:v>
      </x:c>
      <x:c r="E169" s="659" t="str">
        <x:v>需求
（30%）</x:v>
      </x:c>
      <x:c r="F169" s="659" t="n">
        <x:v>163</x:v>
      </x:c>
      <x:c r="G169" s="659" t="str">
        <x:v>GDP同比：美国</x:v>
      </x:c>
      <x:c r="H169" s="659" t="str">
        <x:v>季度；日期2026-03-31T00:00:00</x:v>
      </x:c>
      <x:c r="I169" s="659" t="str">
        <x:v>硬数据/低频滞后指标</x:v>
      </x:c>
      <x:c r="J169" s="659" t="str">
        <x:v>当前0.026847；环比0.006954；同比0.026847；同比增量0.006654</x:v>
      </x:c>
      <x:c r="K169" s="659" t="str">
        <x:v>背景</x:v>
      </x:c>
      <x:c r="L169" s="659" t="n">
        <x:v>0.026847</x:v>
      </x:c>
      <x:c r="M169" s="659" t="str">
        <x:v>2026-03-31T00:00:00</x:v>
      </x:c>
      <x:c r="N169" s="659" t="n">
        <x:v>0.006954</x:v>
      </x:c>
      <x:c r="O169" s="659" t="n">
        <x:v>0.026847</x:v>
      </x:c>
      <x:c r="P169" s="659" t="n">
        <x:v>0.006654</x:v>
      </x:c>
      <x:c r="Q169" s="687" t="n">
        <x:v>0.014</x:v>
      </x:c>
      <x:c r="R169" s="659" t="str">
        <x:v>实际GDP同比约2.57%且改善，美国经济韧性较强。</x:v>
      </x:c>
      <x:c r="S169" s="659" t="str">
        <x:v>权重0.014；GDP同比为季度滞后数据，和GDP年化、ISM、零售等信息重复，主要用于背景验证，权重下调。</x:v>
      </x:c>
      <x:c r="T169" s="659" t="str">
        <x:v>背景验证</x:v>
      </x:c>
      <x:c r="U169" s="659" t="str">
        <x:v>中性</x:v>
      </x:c>
      <x:c r="V169" s="659" t="str">
        <x:v>中</x:v>
      </x:c>
      <x:c r="W169" s="659" t="str">
        <x:v>重点看环比/同比方向和历史位置</x:v>
      </x:c>
      <x:c r="X169" s="659" t="str">
        <x:v>否</x:v>
      </x:c>
      <x:c r="Y169" s="659" t="str">
        <x:v>权重或边际变化不足以改变面级判断，本期作为背景验证。</x:v>
      </x:c>
      <x:c r="Z169" s="659" t="str">
        <x:v>已检查同面反向指标；若出现支撑与压力并存，面级结论按分化或边际变化处理。</x:v>
      </x:c>
      <x:c r="AA169"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69" s="659" t="str">
        <x:v>避免单指标下结论；资金面不轻易表述为紧缩，估值面必须给历史分位。</x:v>
      </x:c>
      <x:c r="AC169" s="659" t="str">
        <x:v>否</x:v>
      </x:c>
      <x:c r="AD169" s="659" t="str">
        <x:v>P3</x:v>
      </x:c>
      <x:c r="AE169" s="659" t="str"/>
      <x:c r="AF169" s="659" t="str"/>
      <x:c r="AG169" s="659" t="str">
        <x:v>作为背景验证，不进入最终PPT。</x:v>
      </x:c>
      <x:c r="AH169" s="659" t="str"/>
      <x:c r="AI169" s="659" t="str"/>
    </x:row>
    <x:row r="170" ht="54" customHeight="1">
      <x:c r="A170" s="659" t="str">
        <x:v>指标</x:v>
      </x:c>
      <x:c r="B170" s="659" t="str">
        <x:v>境外</x:v>
      </x:c>
      <x:c r="C170" s="659" t="str">
        <x:v>债市</x:v>
      </x:c>
      <x:c r="D170" s="659" t="str">
        <x:v>经济基本面</x:v>
      </x:c>
      <x:c r="E170" s="659" t="str">
        <x:v>需求
（30%）</x:v>
      </x:c>
      <x:c r="F170" s="659" t="n">
        <x:v>164</x:v>
      </x:c>
      <x:c r="G170" s="659" t="str">
        <x:v>GDP年化增速：</x:v>
      </x:c>
      <x:c r="H170" s="659" t="str">
        <x:v>季度；日期2026-03-31T00:00:00</x:v>
      </x:c>
      <x:c r="I170" s="659" t="str">
        <x:v>硬数据/低频滞后指标</x:v>
      </x:c>
      <x:c r="J170" s="659" t="str">
        <x:v>当前0.026847；环比0.006954；同比0.026847；同比增量0.006654</x:v>
      </x:c>
      <x:c r="K170" s="659" t="str">
        <x:v>背景</x:v>
      </x:c>
      <x:c r="L170" s="659" t="n">
        <x:v>0.026847</x:v>
      </x:c>
      <x:c r="M170" s="659" t="str">
        <x:v>2026-03-31T00:00:00</x:v>
      </x:c>
      <x:c r="N170" s="659" t="n">
        <x:v>0.006954</x:v>
      </x:c>
      <x:c r="O170" s="659" t="n">
        <x:v>0.026847</x:v>
      </x:c>
      <x:c r="P170" s="659" t="n">
        <x:v>0.006654</x:v>
      </x:c>
      <x:c r="Q170" s="670" t="n">
        <x:v>0.02</x:v>
      </x:c>
      <x:c r="R170" s="659" t="str">
        <x:v>按表内口径GDP增速约2.57%，仍高于2%健康区间。</x:v>
      </x:c>
      <x:c r="S170" s="659" t="str">
        <x:v>权重0.02；GDP年化增速仍可验证增长韧性，但更新频率低于月度硬数据，权重下调。</x:v>
      </x:c>
      <x:c r="T170" s="659" t="str">
        <x:v>背景验证</x:v>
      </x:c>
      <x:c r="U170" s="659" t="str">
        <x:v>中性</x:v>
      </x:c>
      <x:c r="V170" s="659" t="str">
        <x:v>中</x:v>
      </x:c>
      <x:c r="W170" s="659" t="str">
        <x:v>重点看环比/同比方向和历史位置</x:v>
      </x:c>
      <x:c r="X170" s="659" t="str">
        <x:v>否</x:v>
      </x:c>
      <x:c r="Y170" s="659" t="str">
        <x:v>权重或边际变化不足以改变面级判断，本期作为背景验证。</x:v>
      </x:c>
      <x:c r="Z170" s="659" t="str">
        <x:v>已检查同面反向指标；若出现支撑与压力并存，面级结论按分化或边际变化处理。</x:v>
      </x:c>
      <x:c r="AA170"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0" s="659" t="str">
        <x:v>避免单指标下结论；资金面不轻易表述为紧缩，估值面必须给历史分位。</x:v>
      </x:c>
      <x:c r="AC170" s="659" t="str">
        <x:v>否</x:v>
      </x:c>
      <x:c r="AD170" s="659" t="str">
        <x:v>P3</x:v>
      </x:c>
      <x:c r="AE170" s="659" t="str"/>
      <x:c r="AF170" s="659" t="str"/>
      <x:c r="AG170" s="659" t="str">
        <x:v>作为背景验证，不进入最终PPT。</x:v>
      </x:c>
      <x:c r="AH170" s="659" t="str"/>
      <x:c r="AI170" s="659" t="str"/>
    </x:row>
    <x:row r="171" ht="54" customHeight="1">
      <x:c r="A171" s="659" t="str">
        <x:v>指标</x:v>
      </x:c>
      <x:c r="B171" s="659" t="str">
        <x:v>境外</x:v>
      </x:c>
      <x:c r="C171" s="659" t="str">
        <x:v>债市</x:v>
      </x:c>
      <x:c r="D171" s="659" t="str">
        <x:v>经济基本面</x:v>
      </x:c>
      <x:c r="E171" s="659" t="str">
        <x:v>需求
（30%）</x:v>
      </x:c>
      <x:c r="F171" s="659" t="n">
        <x:v>165</x:v>
      </x:c>
      <x:c r="G171" s="659" t="str">
        <x:v>零售销售环比</x:v>
      </x:c>
      <x:c r="H171" s="659" t="str">
        <x:v>月度；日期2026-05-31T00:00:00</x:v>
      </x:c>
      <x:c r="I171" s="659" t="str">
        <x:v>硬数据/同步指标</x:v>
      </x:c>
      <x:c r="J171" s="659" t="str">
        <x:v>当前0.00880936；环比0.00480015；同比1.80826193626；同比增量0.0197085</x:v>
      </x:c>
      <x:c r="K171" s="659" t="str">
        <x:v>必检</x:v>
      </x:c>
      <x:c r="L171" s="659" t="n">
        <x:v>0.00880936</x:v>
      </x:c>
      <x:c r="M171" s="659" t="str">
        <x:v>2026-05-31T00:00:00</x:v>
      </x:c>
      <x:c r="N171" s="659" t="n">
        <x:v>0.00480015</x:v>
      </x:c>
      <x:c r="O171" s="659" t="n">
        <x:v>1.80826193626</x:v>
      </x:c>
      <x:c r="P171" s="659" t="n">
        <x:v>0.0197085</x:v>
      </x:c>
      <x:c r="Q171" s="684" t="n">
        <x:v>0.04</x:v>
      </x:c>
      <x:c r="R171" s="659" t="str">
        <x:v>零售环比仍为正但较前期明显回落，消费实际需求仍有韧性但边际降温。</x:v>
      </x:c>
      <x:c r="S171" s="659" t="str">
        <x:v>权重0.04；零售销售是美国消费的高频核心代理，在本项中更能代表方向。</x:v>
      </x:c>
      <x:c r="T171" s="681" t="str">
        <x:v>最终展示候选</x:v>
      </x:c>
      <x:c r="U171" s="659" t="str">
        <x:v>增长韧性</x:v>
      </x:c>
      <x:c r="V171" s="659" t="str">
        <x:v>高</x:v>
      </x:c>
      <x:c r="W171" s="659" t="str">
        <x:v>重点看环比/同比方向和历史位置</x:v>
      </x:c>
      <x:c r="X171" s="674" t="str">
        <x:v>是</x:v>
      </x:c>
      <x:c r="Y171" s="659" t="str">
        <x:v>权重较高或边际变化/阈值信号明确，且解释力足以支撑面级结论，进入第一轮候选池。</x:v>
      </x:c>
      <x:c r="Z171" s="659" t="str">
        <x:v>已检查同面反向指标；若出现支撑与压力并存，面级结论按分化或边际变化处理。</x:v>
      </x:c>
      <x:c r="AA171"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1" s="659" t="str">
        <x:v>避免单指标下结论；资金面不轻易表述为紧缩，估值面必须给历史分位。</x:v>
      </x:c>
      <x:c r="AC171" s="677" t="str">
        <x:v>是</x:v>
      </x:c>
      <x:c r="AD171" s="659" t="str">
        <x:v>P1</x:v>
      </x:c>
      <x:c r="AE171" s="659" t="str">
        <x:v>第二轮入选：该指标能最直接解释面级判断，且适合放入最终PPT。</x:v>
      </x:c>
      <x:c r="AF171" s="659" t="str">
        <x:v>零售环比0.9%</x:v>
      </x:c>
      <x:c r="AG171" s="659" t="str"/>
      <x:c r="AH171"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I171" s="659" t="str">
        <x:v>需人工复核口径与最终PPT篇幅。</x:v>
      </x:c>
    </x:row>
    <x:row r="172" ht="54" customHeight="1">
      <x:c r="A172" s="659" t="str">
        <x:v>指标</x:v>
      </x:c>
      <x:c r="B172" s="659" t="str">
        <x:v>境外</x:v>
      </x:c>
      <x:c r="C172" s="659" t="str">
        <x:v>债市</x:v>
      </x:c>
      <x:c r="D172" s="659" t="str">
        <x:v>经济基本面</x:v>
      </x:c>
      <x:c r="E172" s="659" t="str">
        <x:v>需求
（30%）</x:v>
      </x:c>
      <x:c r="F172" s="659" t="n">
        <x:v>166</x:v>
      </x:c>
      <x:c r="G172" s="659" t="str">
        <x:v>美国:零售和食品服务销售额:季调:当月同比</x:v>
      </x:c>
      <x:c r="H172" s="659" t="str">
        <x:v>月度；日期2026-04-30T00:00:00</x:v>
      </x:c>
      <x:c r="I172" s="659" t="str">
        <x:v>硬数据/同步指标</x:v>
      </x:c>
      <x:c r="J172" s="659" t="str">
        <x:v>当前0.04873508；环比0.00721789；同比0.04873508；同比增量-0.00114987999999999</x:v>
      </x:c>
      <x:c r="K172" s="659" t="str">
        <x:v>必检</x:v>
      </x:c>
      <x:c r="L172" s="659" t="n">
        <x:v>0.04873508</x:v>
      </x:c>
      <x:c r="M172" s="659" t="str">
        <x:v>2026-04-30T00:00:00</x:v>
      </x:c>
      <x:c r="N172" s="659" t="n">
        <x:v>0.00721789</x:v>
      </x:c>
      <x:c r="O172" s="659" t="n">
        <x:v>0.04873508</x:v>
      </x:c>
      <x:c r="P172" s="659" t="n">
        <x:v>-0.00114987999999999</x:v>
      </x:c>
      <x:c r="Q172" s="670" t="n">
        <x:v>0.026</x:v>
      </x:c>
      <x:c r="R172" s="659" t="str">
        <x:v>零售和食品服务同比4.87%且环比改善，消费仍有韧性。</x:v>
      </x:c>
      <x:c r="S172" s="659" t="str">
        <x:v>权重0.026；美国零售和食品服务销售额同比是美国消费需求的核心月度指标，能补充环比数据判断消费趋势；但它仍受价格和基数影响，需结合实际收入、消费者信心和通胀数据验证。</x:v>
      </x:c>
      <x:c r="T172" s="691" t="str">
        <x:v>关键候选</x:v>
      </x:c>
      <x:c r="U172" s="659" t="str">
        <x:v>增长韧性</x:v>
      </x:c>
      <x:c r="V172" s="659" t="str">
        <x:v>高</x:v>
      </x:c>
      <x:c r="W172" s="659" t="str">
        <x:v>重点看环比/同比方向和历史位置</x:v>
      </x:c>
      <x:c r="X172" s="674" t="str">
        <x:v>是</x:v>
      </x:c>
      <x:c r="Y172" s="659" t="str">
        <x:v>指标权重较高、边际变化明显或具有关键阈值/联动判断价值，进入第一轮候选池。</x:v>
      </x:c>
      <x:c r="Z172" s="659" t="str">
        <x:v>已检查同面反向指标；若出现支撑与压力并存，面级结论按分化或边际变化处理。</x:v>
      </x:c>
      <x:c r="AA172"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2" s="659" t="str">
        <x:v>避免单指标下结论；资金面不轻易表述为紧缩，估值面必须给历史分位。</x:v>
      </x:c>
      <x:c r="AC172" s="659" t="str">
        <x:v>否</x:v>
      </x:c>
      <x:c r="AD172" s="659" t="str">
        <x:v>P2</x:v>
      </x:c>
      <x:c r="AE172" s="659" t="str"/>
      <x:c r="AF172" s="659" t="str"/>
      <x:c r="AG172" s="659" t="str">
        <x:v>已经参与第一轮判断，但不是本期最终展示的最高解释力指标。</x:v>
      </x:c>
      <x:c r="AH172" s="659" t="str"/>
      <x:c r="AI172" s="659" t="str"/>
    </x:row>
    <x:row r="173" ht="54" customHeight="1">
      <x:c r="A173" s="659" t="str">
        <x:v>指标</x:v>
      </x:c>
      <x:c r="B173" s="659" t="str">
        <x:v>境外</x:v>
      </x:c>
      <x:c r="C173" s="659" t="str">
        <x:v>债市</x:v>
      </x:c>
      <x:c r="D173" s="659" t="str">
        <x:v>经济基本面</x:v>
      </x:c>
      <x:c r="E173" s="659" t="str">
        <x:v>需求
（30%）</x:v>
      </x:c>
      <x:c r="F173" s="659" t="n">
        <x:v>167</x:v>
      </x:c>
      <x:c r="G173" s="659" t="str">
        <x:v>房屋销售同比</x:v>
      </x:c>
      <x:c r="H173" s="659" t="str">
        <x:v>月度；日期2026-05-31T00:00:00</x:v>
      </x:c>
      <x:c r="I173" s="659" t="str">
        <x:v>硬数据/同步指标</x:v>
      </x:c>
      <x:c r="J173" s="659" t="str">
        <x:v>当前0.51；环比-0.08；同比0.51；同比增量-0.05</x:v>
      </x:c>
      <x:c r="K173" s="659" t="str">
        <x:v>背景</x:v>
      </x:c>
      <x:c r="L173" s="659" t="n">
        <x:v>0.51</x:v>
      </x:c>
      <x:c r="M173" s="659" t="str">
        <x:v>2026-05-31T00:00:00</x:v>
      </x:c>
      <x:c r="N173" s="659" t="n">
        <x:v>-0.08</x:v>
      </x:c>
      <x:c r="O173" s="659" t="n">
        <x:v>0.51</x:v>
      </x:c>
      <x:c r="P173" s="659" t="n">
        <x:v>-0.05</x:v>
      </x:c>
      <x:c r="Q173" s="687" t="n">
        <x:v>0.018</x:v>
      </x:c>
      <x:c r="R173" s="659" t="str">
        <x:v>房屋销售指标环比下降5，地产需求边际走弱，单位口径需复核。</x:v>
      </x:c>
      <x:c r="S173" s="659" t="str">
        <x:v>权重0.018；房屋销售是利率传导至实体经济的领先窗口，主要作为辅助验证，避免与核心指标重复计数。</x:v>
      </x:c>
      <x:c r="T173" s="659" t="str">
        <x:v>背景验证</x:v>
      </x:c>
      <x:c r="U173" s="659" t="str">
        <x:v>中性</x:v>
      </x:c>
      <x:c r="V173" s="659" t="str">
        <x:v>中</x:v>
      </x:c>
      <x:c r="W173" s="659" t="str">
        <x:v>重点看环比/同比方向和历史位置</x:v>
      </x:c>
      <x:c r="X173" s="659" t="str">
        <x:v>否</x:v>
      </x:c>
      <x:c r="Y173" s="659" t="str">
        <x:v>权重或边际变化不足以改变面级判断，本期作为背景验证。</x:v>
      </x:c>
      <x:c r="Z173" s="659" t="str">
        <x:v>已检查同面反向指标；若出现支撑与压力并存，面级结论按分化或边际变化处理。</x:v>
      </x:c>
      <x:c r="AA173"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3" s="659" t="str">
        <x:v>避免单指标下结论；资金面不轻易表述为紧缩，估值面必须给历史分位。</x:v>
      </x:c>
      <x:c r="AC173" s="659" t="str">
        <x:v>否</x:v>
      </x:c>
      <x:c r="AD173" s="659" t="str">
        <x:v>P3</x:v>
      </x:c>
      <x:c r="AE173" s="659" t="str"/>
      <x:c r="AF173" s="659" t="str"/>
      <x:c r="AG173" s="659" t="str">
        <x:v>作为背景验证，不进入最终PPT。</x:v>
      </x:c>
      <x:c r="AH173" s="659" t="str"/>
      <x:c r="AI173" s="659" t="str"/>
    </x:row>
    <x:row r="174" ht="54" customHeight="1">
      <x:c r="A174" s="659" t="str">
        <x:v>指标</x:v>
      </x:c>
      <x:c r="B174" s="659" t="str">
        <x:v>境外</x:v>
      </x:c>
      <x:c r="C174" s="659" t="str">
        <x:v>债市</x:v>
      </x:c>
      <x:c r="D174" s="659" t="str">
        <x:v>经济基本面</x:v>
      </x:c>
      <x:c r="E174" s="659" t="str">
        <x:v>需求
（30%）</x:v>
      </x:c>
      <x:c r="F174" s="659" t="n">
        <x:v>168</x:v>
      </x:c>
      <x:c r="G174" s="659" t="str">
        <x:v>时薪同比</x:v>
      </x:c>
      <x:c r="H174" s="659" t="str">
        <x:v>月度；日期2026-05-31T00:00:00</x:v>
      </x:c>
      <x:c r="I174" s="659" t="str">
        <x:v>硬数据/同步指标</x:v>
      </x:c>
      <x:c r="J174" s="659" t="str">
        <x:v>当前0.034；环比-0.002；同比0.034；同比增量-0.006</x:v>
      </x:c>
      <x:c r="K174" s="659" t="str">
        <x:v>背景</x:v>
      </x:c>
      <x:c r="L174" s="659" t="n">
        <x:v>0.034</x:v>
      </x:c>
      <x:c r="M174" s="659" t="str">
        <x:v>2026-05-31T00:00:00</x:v>
      </x:c>
      <x:c r="N174" s="659" t="n">
        <x:v>-0.002</x:v>
      </x:c>
      <x:c r="O174" s="659" t="n">
        <x:v>0.034</x:v>
      </x:c>
      <x:c r="P174" s="659" t="n">
        <x:v>-0.006</x:v>
      </x:c>
      <x:c r="Q174" s="687" t="n">
        <x:v>0.018</x:v>
      </x:c>
      <x:c r="R174" s="659" t="str">
        <x:v>时薪同比3.4%且回落，工资收入支撑边际减弱，同时也缓和工资通胀压力。</x:v>
      </x:c>
      <x:c r="S174" s="659" t="str">
        <x:v>权重0.018；时薪增速影响消费能力和服务通胀压力，主要作为辅助验证，避免与核心指标重复计数。</x:v>
      </x:c>
      <x:c r="T174" s="659" t="str">
        <x:v>背景验证</x:v>
      </x:c>
      <x:c r="U174" s="659" t="str">
        <x:v>中性</x:v>
      </x:c>
      <x:c r="V174" s="659" t="str">
        <x:v>中</x:v>
      </x:c>
      <x:c r="W174" s="659" t="str">
        <x:v>重点看环比/同比方向和历史位置</x:v>
      </x:c>
      <x:c r="X174" s="659" t="str">
        <x:v>否</x:v>
      </x:c>
      <x:c r="Y174" s="659" t="str">
        <x:v>权重或边际变化不足以改变面级判断，本期作为背景验证。</x:v>
      </x:c>
      <x:c r="Z174" s="659" t="str">
        <x:v>已检查同面反向指标；若出现支撑与压力并存，面级结论按分化或边际变化处理。</x:v>
      </x:c>
      <x:c r="AA174"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4" s="659" t="str">
        <x:v>避免单指标下结论；资金面不轻易表述为紧缩，估值面必须给历史分位。</x:v>
      </x:c>
      <x:c r="AC174" s="659" t="str">
        <x:v>否</x:v>
      </x:c>
      <x:c r="AD174" s="659" t="str">
        <x:v>P3</x:v>
      </x:c>
      <x:c r="AE174" s="659" t="str"/>
      <x:c r="AF174" s="659" t="str"/>
      <x:c r="AG174" s="659" t="str">
        <x:v>作为背景验证，不进入最终PPT。</x:v>
      </x:c>
      <x:c r="AH174" s="659" t="str"/>
      <x:c r="AI174" s="659" t="str"/>
    </x:row>
    <x:row r="175" ht="54" customHeight="1">
      <x:c r="A175" s="659" t="str">
        <x:v>指标</x:v>
      </x:c>
      <x:c r="B175" s="659" t="str">
        <x:v>境外</x:v>
      </x:c>
      <x:c r="C175" s="659" t="str">
        <x:v>债市</x:v>
      </x:c>
      <x:c r="D175" s="659" t="str">
        <x:v>经济基本面</x:v>
      </x:c>
      <x:c r="E175" s="659" t="str">
        <x:v>需求
（30%）</x:v>
      </x:c>
      <x:c r="F175" s="659" t="n">
        <x:v>169</x:v>
      </x:c>
      <x:c r="G175" s="659" t="str">
        <x:v>个人可支配收入同比</x:v>
      </x:c>
      <x:c r="H175" s="659" t="str">
        <x:v>季度；日期2026-03-31T00:00:00</x:v>
      </x:c>
      <x:c r="I175" s="659" t="str">
        <x:v>硬数据/低频滞后指标</x:v>
      </x:c>
      <x:c r="J175" s="659" t="str">
        <x:v>当前0.007；环比-0.003；同比0.007；同比增量-0.013</x:v>
      </x:c>
      <x:c r="K175" s="659" t="str">
        <x:v>背景</x:v>
      </x:c>
      <x:c r="L175" s="659" t="n">
        <x:v>0.007</x:v>
      </x:c>
      <x:c r="M175" s="659" t="str">
        <x:v>2026-03-31T00:00:00</x:v>
      </x:c>
      <x:c r="N175" s="659" t="n">
        <x:v>-0.003</x:v>
      </x:c>
      <x:c r="O175" s="659" t="n">
        <x:v>0.007</x:v>
      </x:c>
      <x:c r="P175" s="659" t="n">
        <x:v>-0.013</x:v>
      </x:c>
      <x:c r="Q175" s="670" t="n">
        <x:v>0.025</x:v>
      </x:c>
      <x:c r="R175" s="659" t="str">
        <x:v>个人可支配收入同比0.7%且回落，消费能力边际承压，作为收入端背景验证。</x:v>
      </x:c>
      <x:c r="S175" s="659" t="str">
        <x:v>权重0.025；可支配收入是消费能力的根本来源，用于补充确认核心信号。</x:v>
      </x:c>
      <x:c r="T175" s="659" t="str">
        <x:v>背景验证</x:v>
      </x:c>
      <x:c r="U175" s="659" t="str">
        <x:v>中性</x:v>
      </x:c>
      <x:c r="V175" s="659" t="str">
        <x:v>中</x:v>
      </x:c>
      <x:c r="W175" s="659" t="str">
        <x:v>重点看环比/同比方向和历史位置</x:v>
      </x:c>
      <x:c r="X175" s="659" t="str">
        <x:v>否</x:v>
      </x:c>
      <x:c r="Y175" s="659" t="str">
        <x:v>权重或边际变化不足以改变面级判断，本期作为背景验证。</x:v>
      </x:c>
      <x:c r="Z175" s="659" t="str">
        <x:v>已检查同面反向指标；若出现支撑与压力并存，面级结论按分化或边际变化处理。</x:v>
      </x:c>
      <x:c r="AA175"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5" s="659" t="str">
        <x:v>避免单指标下结论；资金面不轻易表述为紧缩，估值面必须给历史分位。</x:v>
      </x:c>
      <x:c r="AC175" s="659" t="str">
        <x:v>否</x:v>
      </x:c>
      <x:c r="AD175" s="659" t="str">
        <x:v>P3</x:v>
      </x:c>
      <x:c r="AE175" s="659" t="str"/>
      <x:c r="AF175" s="659" t="str"/>
      <x:c r="AG175" s="659" t="str">
        <x:v>作为背景验证，不进入最终PPT。</x:v>
      </x:c>
      <x:c r="AH175" s="659" t="str"/>
      <x:c r="AI175" s="659" t="str"/>
    </x:row>
    <x:row r="176" ht="54" customHeight="1">
      <x:c r="A176" s="659" t="str">
        <x:v>指标</x:v>
      </x:c>
      <x:c r="B176" s="659" t="str">
        <x:v>境外</x:v>
      </x:c>
      <x:c r="C176" s="659" t="str">
        <x:v>债市</x:v>
      </x:c>
      <x:c r="D176" s="659" t="str">
        <x:v>经济基本面</x:v>
      </x:c>
      <x:c r="E176" s="659" t="str">
        <x:v>价格
(50%)</x:v>
      </x:c>
      <x:c r="F176" s="659" t="n">
        <x:v>170</x:v>
      </x:c>
      <x:c r="G176" s="659" t="str">
        <x:v>CPI同比：</x:v>
      </x:c>
      <x:c r="H176" s="659" t="str">
        <x:v>月度；日期2026-05-31T00:00:00</x:v>
      </x:c>
      <x:c r="I176" s="659" t="str">
        <x:v>价格/通胀指标</x:v>
      </x:c>
      <x:c r="J176" s="659" t="str">
        <x:v>当前0.042；环比0.004；同比0.042；同比增量0.018</x:v>
      </x:c>
      <x:c r="K176" s="659" t="str">
        <x:v>必检</x:v>
      </x:c>
      <x:c r="L176" s="659" t="n">
        <x:v>0.042</x:v>
      </x:c>
      <x:c r="M176" s="659" t="str">
        <x:v>2026-05-31T00:00:00</x:v>
      </x:c>
      <x:c r="N176" s="659" t="n">
        <x:v>0.004</x:v>
      </x:c>
      <x:c r="O176" s="659" t="n">
        <x:v>0.042</x:v>
      </x:c>
      <x:c r="P176" s="659" t="n">
        <x:v>0.018</x:v>
      </x:c>
      <x:c r="Q176" s="694" t="n">
        <x:v>0.08</x:v>
      </x:c>
      <x:c r="R176" s="659" t="str">
        <x:v>CPI同比4.2%且上行，标题通胀偏高，主要约束降息预期。</x:v>
      </x:c>
      <x:c r="S176" s="659" t="str">
        <x:v>权重0.08；CPI是终端通胀核心指标，直接影响政策和估值，在本项中更能代表方向。</x:v>
      </x:c>
      <x:c r="T176" s="681" t="str">
        <x:v>最终展示候选</x:v>
      </x:c>
      <x:c r="U176" s="659" t="str">
        <x:v>通胀压力上行</x:v>
      </x:c>
      <x:c r="V176" s="659" t="str">
        <x:v>高</x:v>
      </x:c>
      <x:c r="W176" s="659" t="str">
        <x:v>重点看环比/同比方向和历史位置</x:v>
      </x:c>
      <x:c r="X176" s="674" t="str">
        <x:v>是</x:v>
      </x:c>
      <x:c r="Y176" s="659" t="str">
        <x:v>权重较高或边际变化/阈值信号明确，且解释力足以支撑面级结论，进入第一轮候选池。</x:v>
      </x:c>
      <x:c r="Z176" s="659" t="str">
        <x:v>已检查同面反向指标；若出现支撑与压力并存，面级结论按分化或边际变化处理。</x:v>
      </x:c>
      <x:c r="AA176"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6" s="659" t="str">
        <x:v>避免单指标下结论；资金面不轻易表述为紧缩，估值面必须给历史分位。</x:v>
      </x:c>
      <x:c r="AC176" s="677" t="str">
        <x:v>是</x:v>
      </x:c>
      <x:c r="AD176" s="659" t="str">
        <x:v>P1</x:v>
      </x:c>
      <x:c r="AE176" s="659" t="str">
        <x:v>第二轮入选：该指标能最直接解释面级判断，且适合放入最终PPT。</x:v>
      </x:c>
      <x:c r="AF176" s="659" t="str">
        <x:v>CPI同比4.2%</x:v>
      </x:c>
      <x:c r="AG176" s="659" t="str"/>
      <x:c r="AH176"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I176" s="659" t="str">
        <x:v>需人工复核口径与最终PPT篇幅。</x:v>
      </x:c>
    </x:row>
    <x:row r="177" ht="54" customHeight="1">
      <x:c r="A177" s="659" t="str">
        <x:v>指标</x:v>
      </x:c>
      <x:c r="B177" s="659" t="str">
        <x:v>境外</x:v>
      </x:c>
      <x:c r="C177" s="659" t="str">
        <x:v>债市</x:v>
      </x:c>
      <x:c r="D177" s="659" t="str">
        <x:v>经济基本面</x:v>
      </x:c>
      <x:c r="E177" s="659" t="str">
        <x:v>价格
(50%)</x:v>
      </x:c>
      <x:c r="F177" s="659" t="n">
        <x:v>171</x:v>
      </x:c>
      <x:c r="G177" s="659" t="str">
        <x:v>美国:核心CPI:季调:同比</x:v>
      </x:c>
      <x:c r="H177" s="659" t="str">
        <x:v>月度；日期2026-05-31T00:00:00</x:v>
      </x:c>
      <x:c r="I177" s="659" t="str">
        <x:v>价格/通胀指标</x:v>
      </x:c>
      <x:c r="J177" s="659" t="str">
        <x:v>当前0.028；环比0.001；同比0.028；同比增量0</x:v>
      </x:c>
      <x:c r="K177" s="659" t="str">
        <x:v>必检</x:v>
      </x:c>
      <x:c r="L177" s="659" t="n">
        <x:v>0.028</x:v>
      </x:c>
      <x:c r="M177" s="659" t="str">
        <x:v>2026-05-31T00:00:00</x:v>
      </x:c>
      <x:c r="N177" s="659" t="n">
        <x:v>0.001</x:v>
      </x:c>
      <x:c r="O177" s="659" t="n">
        <x:v>0.028</x:v>
      </x:c>
      <x:c r="P177" s="659" t="n">
        <x:v>0</x:v>
      </x:c>
      <x:c r="Q177" s="694" t="n">
        <x:v>0.08</x:v>
      </x:c>
      <x:c r="R177" s="659" t="str">
        <x:v>核心CPI同比2.8%且小幅回升，核心通胀有粘性但未出现失控式上行。</x:v>
      </x:c>
      <x:c r="S177" s="659" t="str">
        <x:v>权重0.08；核心CPI剔除了食品和能源的短期扰动，更能反映美国内生通胀粘性，是判断美联储政策路径和利率预期的核心指标之一；与CPI、PCE共同构成通胀模块，因此给予较高权重。</x:v>
      </x:c>
      <x:c r="T177" s="691" t="str">
        <x:v>关键候选</x:v>
      </x:c>
      <x:c r="U177" s="659" t="str">
        <x:v>通胀压力上行</x:v>
      </x:c>
      <x:c r="V177" s="659" t="str">
        <x:v>高</x:v>
      </x:c>
      <x:c r="W177" s="659" t="str">
        <x:v>重点看环比/同比方向和历史位置</x:v>
      </x:c>
      <x:c r="X177" s="674" t="str">
        <x:v>是</x:v>
      </x:c>
      <x:c r="Y177" s="659" t="str">
        <x:v>指标权重较高、边际变化明显或具有关键阈值/联动判断价值，进入第一轮候选池。</x:v>
      </x:c>
      <x:c r="Z177" s="659" t="str">
        <x:v>已检查同面反向指标；若出现支撑与压力并存，面级结论按分化或边际变化处理。</x:v>
      </x:c>
      <x:c r="AA177"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7" s="659" t="str">
        <x:v>避免单指标下结论；资金面不轻易表述为紧缩，估值面必须给历史分位。</x:v>
      </x:c>
      <x:c r="AC177" s="659" t="str">
        <x:v>否</x:v>
      </x:c>
      <x:c r="AD177" s="659" t="str">
        <x:v>P2</x:v>
      </x:c>
      <x:c r="AE177" s="659" t="str"/>
      <x:c r="AF177" s="659" t="str"/>
      <x:c r="AG177" s="659" t="str">
        <x:v>已经参与第一轮判断，但不是本期最终展示的最高解释力指标。</x:v>
      </x:c>
      <x:c r="AH177" s="659" t="str"/>
      <x:c r="AI177" s="659" t="str"/>
    </x:row>
    <x:row r="178" ht="54" customHeight="1">
      <x:c r="A178" s="659" t="str">
        <x:v>指标</x:v>
      </x:c>
      <x:c r="B178" s="659" t="str">
        <x:v>境外</x:v>
      </x:c>
      <x:c r="C178" s="659" t="str">
        <x:v>债市</x:v>
      </x:c>
      <x:c r="D178" s="659" t="str">
        <x:v>经济基本面</x:v>
      </x:c>
      <x:c r="E178" s="659" t="str">
        <x:v>价格
(50%)</x:v>
      </x:c>
      <x:c r="F178" s="659" t="n">
        <x:v>172</x:v>
      </x:c>
      <x:c r="G178" s="659" t="str">
        <x:v>PPI同比：</x:v>
      </x:c>
      <x:c r="H178" s="659" t="str">
        <x:v>月度；日期2026-05-31T00:00:00</x:v>
      </x:c>
      <x:c r="I178" s="659" t="str">
        <x:v>价格/通胀指标</x:v>
      </x:c>
      <x:c r="J178" s="659" t="str">
        <x:v>当前0.065；环比0.008；同比0.065；同比增量0.038</x:v>
      </x:c>
      <x:c r="K178" s="659" t="str">
        <x:v>必检</x:v>
      </x:c>
      <x:c r="L178" s="659" t="n">
        <x:v>0.065</x:v>
      </x:c>
      <x:c r="M178" s="659" t="str">
        <x:v>2026-05-31T00:00:00</x:v>
      </x:c>
      <x:c r="N178" s="659" t="n">
        <x:v>0.008</x:v>
      </x:c>
      <x:c r="O178" s="659" t="n">
        <x:v>0.065</x:v>
      </x:c>
      <x:c r="P178" s="659" t="n">
        <x:v>0.038</x:v>
      </x:c>
      <x:c r="Q178" s="684" t="n">
        <x:v>0.05</x:v>
      </x:c>
      <x:c r="R178" s="659" t="str">
        <x:v>PPI同比6.0%且明显上行，上游通胀压力增强，需观察向终端传导。</x:v>
      </x:c>
      <x:c r="S178" s="659" t="str">
        <x:v>权重0.05；PPI反映上游价格和成本传导，在本项中更能代表方向。</x:v>
      </x:c>
      <x:c r="T178" s="681" t="str">
        <x:v>最终展示候选</x:v>
      </x:c>
      <x:c r="U178" s="659" t="str">
        <x:v>通胀压力上行</x:v>
      </x:c>
      <x:c r="V178" s="659" t="str">
        <x:v>高</x:v>
      </x:c>
      <x:c r="W178" s="659" t="str">
        <x:v>重点看环比/同比方向和历史位置</x:v>
      </x:c>
      <x:c r="X178" s="674" t="str">
        <x:v>是</x:v>
      </x:c>
      <x:c r="Y178" s="659" t="str">
        <x:v>权重较高或边际变化/阈值信号明确，且解释力足以支撑面级结论，进入第一轮候选池。</x:v>
      </x:c>
      <x:c r="Z178" s="659" t="str">
        <x:v>已检查同面反向指标；若出现支撑与压力并存，面级结论按分化或边际变化处理。</x:v>
      </x:c>
      <x:c r="AA178"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8" s="659" t="str">
        <x:v>避免单指标下结论；资金面不轻易表述为紧缩，估值面必须给历史分位。</x:v>
      </x:c>
      <x:c r="AC178" s="677" t="str">
        <x:v>是</x:v>
      </x:c>
      <x:c r="AD178" s="659" t="str">
        <x:v>P1</x:v>
      </x:c>
      <x:c r="AE178" s="659" t="str">
        <x:v>第二轮入选：该指标能最直接解释面级判断，且适合放入最终PPT。</x:v>
      </x:c>
      <x:c r="AF178" s="659" t="str">
        <x:v>PPI同比6.5%</x:v>
      </x:c>
      <x:c r="AG178" s="659" t="str"/>
      <x:c r="AH178"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I178" s="659" t="str">
        <x:v>需人工复核口径与最终PPT篇幅。</x:v>
      </x:c>
    </x:row>
    <x:row r="179" ht="54" customHeight="1">
      <x:c r="A179" s="659" t="str">
        <x:v>指标</x:v>
      </x:c>
      <x:c r="B179" s="659" t="str">
        <x:v>境外</x:v>
      </x:c>
      <x:c r="C179" s="659" t="str">
        <x:v>债市</x:v>
      </x:c>
      <x:c r="D179" s="659" t="str">
        <x:v>经济基本面</x:v>
      </x:c>
      <x:c r="E179" s="659" t="str">
        <x:v>价格
(50%)</x:v>
      </x:c>
      <x:c r="F179" s="659" t="n">
        <x:v>173</x:v>
      </x:c>
      <x:c r="G179" s="659" t="str">
        <x:v>P核心CE同比:</x:v>
      </x:c>
      <x:c r="H179" s="659" t="str">
        <x:v>月度；日期2026-05-31T00:00:00</x:v>
      </x:c>
      <x:c r="I179" s="659" t="str">
        <x:v>硬数据/同步指标</x:v>
      </x:c>
      <x:c r="J179" s="659" t="str">
        <x:v>当前0.03412；环比0.000933；同比0.03412；同比增量0.006281</x:v>
      </x:c>
      <x:c r="K179" s="659" t="str">
        <x:v>必检</x:v>
      </x:c>
      <x:c r="L179" s="659" t="n">
        <x:v>0.03412</x:v>
      </x:c>
      <x:c r="M179" s="659" t="str">
        <x:v>2026-05-31T00:00:00</x:v>
      </x:c>
      <x:c r="N179" s="659" t="n">
        <x:v>0.000933</x:v>
      </x:c>
      <x:c r="O179" s="659" t="n">
        <x:v>0.03412</x:v>
      </x:c>
      <x:c r="P179" s="659" t="n">
        <x:v>0.006281</x:v>
      </x:c>
      <x:c r="Q179" s="694" t="n">
        <x:v>0.08</x:v>
      </x:c>
      <x:c r="R179" s="659" t="str">
        <x:v>核心PCE同比3.29%且小幅上行，仍高于舒适区间，降息空间受限但并非失控。</x:v>
      </x:c>
      <x:c r="S179" s="659" t="str">
        <x:v>权重0.08；PCE通胀是美联储更关注的通胀口径，在本项中更能代表方向。</x:v>
      </x:c>
      <x:c r="T179" s="681" t="str">
        <x:v>最终展示候选</x:v>
      </x:c>
      <x:c r="U179" s="659" t="str">
        <x:v>通胀压力上行</x:v>
      </x:c>
      <x:c r="V179" s="659" t="str">
        <x:v>高</x:v>
      </x:c>
      <x:c r="W179" s="659" t="str">
        <x:v>重点看环比/同比方向和历史位置</x:v>
      </x:c>
      <x:c r="X179" s="674" t="str">
        <x:v>是</x:v>
      </x:c>
      <x:c r="Y179" s="659" t="str">
        <x:v>权重较高或边际变化/阈值信号明确，且解释力足以支撑面级结论，进入第一轮候选池。</x:v>
      </x:c>
      <x:c r="Z179" s="659" t="str">
        <x:v>已检查同面反向指标；若出现支撑与压力并存，面级结论按分化或边际变化处理。</x:v>
      </x:c>
      <x:c r="AA179"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B179" s="659" t="str">
        <x:v>避免单指标下结论；资金面不轻易表述为紧缩，估值面必须给历史分位。</x:v>
      </x:c>
      <x:c r="AC179" s="677" t="str">
        <x:v>是</x:v>
      </x:c>
      <x:c r="AD179" s="659" t="str">
        <x:v>P1</x:v>
      </x:c>
      <x:c r="AE179" s="659" t="str">
        <x:v>第二轮入选：该指标能最直接解释面级判断，且适合放入最终PPT。</x:v>
      </x:c>
      <x:c r="AF179" s="659" t="str">
        <x:v>核心PCE同比3.4%</x:v>
      </x:c>
      <x:c r="AG179" s="659" t="str"/>
      <x:c r="AH179" s="659" t="str">
        <x:v>经济基本面：中性偏强：就业、消费和服务业仍有韧性，通胀压力继续上行：就业保持韧性（非农新增17.2万人、较上月增加5.7万人）；需求仍在扩张（零售环比0.9%、非制造业ISM为54.5）；通胀压力上行（CPI同比4.2%、PPI同比6.5%、核心PCE同比3.4%）。</x:v>
      </x:c>
      <x:c r="AI179" s="659" t="str">
        <x:v>需人工复核口径与最终PPT篇幅。</x:v>
      </x:c>
    </x:row>
    <x:row r="180" ht="54" customHeight="1">
      <x:c r="A180" s="659" t="str">
        <x:v>指标</x:v>
      </x:c>
      <x:c r="B180" s="659" t="str">
        <x:v>境外</x:v>
      </x:c>
      <x:c r="C180" s="659" t="str">
        <x:v>债市</x:v>
      </x:c>
      <x:c r="D180" s="659" t="str">
        <x:v>资金面</x:v>
      </x:c>
      <x:c r="E180" s="659" t="str">
        <x:v>联邦流动性
（40%）</x:v>
      </x:c>
      <x:c r="F180" s="659" t="n">
        <x:v>174</x:v>
      </x:c>
      <x:c r="G180" s="659" t="str">
        <x:v>联邦基金利率</x:v>
      </x:c>
      <x:c r="H180" s="659" t="str">
        <x:v>季度；日期2026-06-30T00:00:00</x:v>
      </x:c>
      <x:c r="I180" s="659" t="str">
        <x:v>资金价格/政策利率指标</x:v>
      </x:c>
      <x:c r="J180" s="659" t="str">
        <x:v>当前0.0363；环比0；同比增量-0.007</x:v>
      </x:c>
      <x:c r="K180" s="659" t="str">
        <x:v>必检</x:v>
      </x:c>
      <x:c r="L180" s="659" t="n">
        <x:v>0.0363</x:v>
      </x:c>
      <x:c r="M180" s="659" t="str">
        <x:v>2026-06-30T00:00:00</x:v>
      </x:c>
      <x:c r="N180" s="659" t="n">
        <x:v>0</x:v>
      </x:c>
      <x:c r="O180" s="659" t="str">
        <x:v>-</x:v>
      </x:c>
      <x:c r="P180" s="659" t="n">
        <x:v>-0.007</x:v>
      </x:c>
      <x:c r="Q180" s="684" t="n">
        <x:v>0.05</x:v>
      </x:c>
      <x:c r="R180" s="659" t="str">
        <x:v>联邦基金利率3.62%持平但同比下行，政策限制性较去年下降。</x:v>
      </x:c>
      <x:c r="S180" s="659" t="str">
        <x:v>权重0.05；联邦基金利率是美元政策立场和资金成本核心锚，在本项中更能代表方向。</x:v>
      </x:c>
      <x:c r="T180" s="681" t="str">
        <x:v>最终展示候选</x:v>
      </x:c>
      <x:c r="U180" s="659" t="str">
        <x:v>中性</x:v>
      </x:c>
      <x:c r="V180" s="659" t="str">
        <x:v>中</x:v>
      </x:c>
      <x:c r="W180" s="659" t="str">
        <x:v>重点看环比/同比方向和历史位置</x:v>
      </x:c>
      <x:c r="X180" s="674" t="str">
        <x:v>是</x:v>
      </x:c>
      <x:c r="Y180" s="659" t="str">
        <x:v>权重较高或边际变化/阈值信号明确，且解释力足以支撑面级结论，进入第一轮候选池。</x:v>
      </x:c>
      <x:c r="Z180" s="659" t="str">
        <x:v>已检查同面反向指标；若出现支撑与压力并存，面级结论按分化或边际变化处理。</x:v>
      </x:c>
      <x:c r="AA180"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0" s="659" t="str">
        <x:v>避免单指标下结论；资金面不轻易表述为紧缩，估值面必须给历史分位。</x:v>
      </x:c>
      <x:c r="AC180" s="677" t="str">
        <x:v>是</x:v>
      </x:c>
      <x:c r="AD180" s="659" t="str">
        <x:v>P1</x:v>
      </x:c>
      <x:c r="AE180" s="659" t="str">
        <x:v>第二轮入选：该指标能最直接解释面级判断，且适合放入最终PPT。</x:v>
      </x:c>
      <x:c r="AF180" s="659" t="str">
        <x:v>联邦基金利率3.63%</x:v>
      </x:c>
      <x:c r="AG180" s="659" t="str"/>
      <x:c r="AH180"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I180" s="659" t="str">
        <x:v>需人工复核口径与最终PPT篇幅。</x:v>
      </x:c>
    </x:row>
    <x:row r="181" ht="54" customHeight="1">
      <x:c r="A181" s="659" t="str">
        <x:v>指标</x:v>
      </x:c>
      <x:c r="B181" s="659" t="str">
        <x:v>境外</x:v>
      </x:c>
      <x:c r="C181" s="659" t="str">
        <x:v>债市</x:v>
      </x:c>
      <x:c r="D181" s="659" t="str">
        <x:v>资金面</x:v>
      </x:c>
      <x:c r="E181" s="659" t="str">
        <x:v>联邦流动性
（40%）</x:v>
      </x:c>
      <x:c r="F181" s="659" t="n">
        <x:v>175</x:v>
      </x:c>
      <x:c r="G181" s="659" t="str">
        <x:v>美联储资产负债表（缩表 / 扩表规模）</x:v>
      </x:c>
      <x:c r="H181" s="659" t="str">
        <x:v>周度；日期2026-06-24T00:00:00</x:v>
      </x:c>
      <x:c r="I181" s="659" t="str">
        <x:v>硬数据/同步指标</x:v>
      </x:c>
      <x:c r="J181" s="659" t="str">
        <x:v>当前6735645；环比-779；同比0.0110241361712；同比增量73445</x:v>
      </x:c>
      <x:c r="K181" s="659" t="str">
        <x:v>必检</x:v>
      </x:c>
      <x:c r="L181" s="659" t="n">
        <x:v>6735645</x:v>
      </x:c>
      <x:c r="M181" s="659" t="str">
        <x:v>2026-06-24T00:00:00</x:v>
      </x:c>
      <x:c r="N181" s="659" t="n">
        <x:v>-779</x:v>
      </x:c>
      <x:c r="O181" s="659" t="n">
        <x:v>0.0110241361712</x:v>
      </x:c>
      <x:c r="P181" s="659" t="n">
        <x:v>73445</x:v>
      </x:c>
      <x:c r="Q181" s="684" t="n">
        <x:v>0.035</x:v>
      </x:c>
      <x:c r="R181" s="659" t="str">
        <x:v>美联储资产负债表环比增加13902（原表口径），流动性供给边际改善。</x:v>
      </x:c>
      <x:c r="S181" s="659" t="str">
        <x:v>权重0.035；美联储资产负债表体现QE/QT总量影响，在本项中更能代表方向。</x:v>
      </x:c>
      <x:c r="T181" s="691" t="str">
        <x:v>关键候选</x:v>
      </x:c>
      <x:c r="U181" s="659" t="str">
        <x:v>中性</x:v>
      </x:c>
      <x:c r="V181" s="659" t="str">
        <x:v>中</x:v>
      </x:c>
      <x:c r="W181" s="659" t="str">
        <x:v>重点看环比/同比方向和历史位置</x:v>
      </x:c>
      <x:c r="X181" s="674" t="str">
        <x:v>是</x:v>
      </x:c>
      <x:c r="Y181" s="659" t="str">
        <x:v>指标权重较高、边际变化明显或具有关键阈值/联动判断价值，进入第一轮候选池。</x:v>
      </x:c>
      <x:c r="Z181" s="659" t="str">
        <x:v>已检查同面反向指标；若出现支撑与压力并存，面级结论按分化或边际变化处理。</x:v>
      </x:c>
      <x:c r="AA181"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1" s="659" t="str">
        <x:v>避免单指标下结论；资金面不轻易表述为紧缩，估值面必须给历史分位。</x:v>
      </x:c>
      <x:c r="AC181" s="659" t="str">
        <x:v>否</x:v>
      </x:c>
      <x:c r="AD181" s="659" t="str">
        <x:v>P2</x:v>
      </x:c>
      <x:c r="AE181" s="659" t="str"/>
      <x:c r="AF181" s="659" t="str"/>
      <x:c r="AG181" s="659" t="str">
        <x:v>已经参与第一轮判断，但不是本期最终展示的最高解释力指标。</x:v>
      </x:c>
      <x:c r="AH181" s="659" t="str"/>
      <x:c r="AI181" s="659" t="str"/>
    </x:row>
    <x:row r="182" ht="54" customHeight="1">
      <x:c r="A182" s="659" t="str">
        <x:v>指标</x:v>
      </x:c>
      <x:c r="B182" s="659" t="str">
        <x:v>境外</x:v>
      </x:c>
      <x:c r="C182" s="659" t="str">
        <x:v>债市</x:v>
      </x:c>
      <x:c r="D182" s="659" t="str">
        <x:v>资金面</x:v>
      </x:c>
      <x:c r="E182" s="659" t="str">
        <x:v>联邦流动性
（40%）</x:v>
      </x:c>
      <x:c r="F182" s="659" t="n">
        <x:v>176</x:v>
      </x:c>
      <x:c r="G182" s="659" t="str">
        <x:v>准备余额利率（IORB）</x:v>
      </x:c>
      <x:c r="H182" s="659" t="str">
        <x:v>日度；日期2026-07-02T00:00:00</x:v>
      </x:c>
      <x:c r="I182" s="659" t="str">
        <x:v>硬数据/同步指标</x:v>
      </x:c>
      <x:c r="J182" s="659" t="str">
        <x:v>当前0.0365；环比0；同比增量-0.0075</x:v>
      </x:c>
      <x:c r="K182" s="659" t="str">
        <x:v>背景</x:v>
      </x:c>
      <x:c r="L182" s="659" t="n">
        <x:v>0.0365</x:v>
      </x:c>
      <x:c r="M182" s="659" t="str">
        <x:v>2026-07-02T00:00:00</x:v>
      </x:c>
      <x:c r="N182" s="659" t="n">
        <x:v>0</x:v>
      </x:c>
      <x:c r="O182" s="659" t="str">
        <x:v>-</x:v>
      </x:c>
      <x:c r="P182" s="659" t="n">
        <x:v>-0.0075</x:v>
      </x:c>
      <x:c r="Q182" s="670" t="n">
        <x:v>0.02</x:v>
      </x:c>
      <x:c r="R182" s="659" t="str">
        <x:v>IORB为3.65%持平但同比下调，准备金机会成本较去年降低。</x:v>
      </x:c>
      <x:c r="S182" s="659" t="str">
        <x:v>权重0.02；IORB约束银行准备金收益，是利率走廊重要变量，用于补充确认核心信号。</x:v>
      </x:c>
      <x:c r="T182" s="659" t="str">
        <x:v>背景验证</x:v>
      </x:c>
      <x:c r="U182" s="659" t="str">
        <x:v>中性</x:v>
      </x:c>
      <x:c r="V182" s="659" t="str">
        <x:v>中</x:v>
      </x:c>
      <x:c r="W182" s="659" t="str">
        <x:v>重点看环比/同比方向和历史位置</x:v>
      </x:c>
      <x:c r="X182" s="659" t="str">
        <x:v>否</x:v>
      </x:c>
      <x:c r="Y182" s="659" t="str">
        <x:v>权重或边际变化不足以改变面级判断，本期作为背景验证。</x:v>
      </x:c>
      <x:c r="Z182" s="659" t="str">
        <x:v>已检查同面反向指标；若出现支撑与压力并存，面级结论按分化或边际变化处理。</x:v>
      </x:c>
      <x:c r="AA182"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2" s="659" t="str">
        <x:v>避免单指标下结论；资金面不轻易表述为紧缩，估值面必须给历史分位。</x:v>
      </x:c>
      <x:c r="AC182" s="659" t="str">
        <x:v>否</x:v>
      </x:c>
      <x:c r="AD182" s="659" t="str">
        <x:v>P3</x:v>
      </x:c>
      <x:c r="AE182" s="659" t="str"/>
      <x:c r="AF182" s="659" t="str"/>
      <x:c r="AG182" s="659" t="str">
        <x:v>作为背景验证，不进入最终PPT。</x:v>
      </x:c>
      <x:c r="AH182" s="659" t="str"/>
      <x:c r="AI182" s="659" t="str"/>
    </x:row>
    <x:row r="183" ht="54" customHeight="1">
      <x:c r="A183" s="659" t="str">
        <x:v>指标</x:v>
      </x:c>
      <x:c r="B183" s="659" t="str">
        <x:v>境外</x:v>
      </x:c>
      <x:c r="C183" s="659" t="str">
        <x:v>债市</x:v>
      </x:c>
      <x:c r="D183" s="659" t="str">
        <x:v>资金面</x:v>
      </x:c>
      <x:c r="E183" s="659" t="str">
        <x:v>联邦流动性
（40%）</x:v>
      </x:c>
      <x:c r="F183" s="659" t="n">
        <x:v>177</x:v>
      </x:c>
      <x:c r="G183" s="659" t="str">
        <x:v>隔夜逆回购利率</x:v>
      </x:c>
      <x:c r="H183" s="659" t="str">
        <x:v>季度；日期—</x:v>
      </x:c>
      <x:c r="I183" s="659" t="str">
        <x:v>资金价格/政策利率指标</x:v>
      </x:c>
      <x:c r="J183" s="659" t="str">
        <x:v>缺少有效数据</x:v>
      </x:c>
      <x:c r="K183" s="659" t="str">
        <x:v>背景</x:v>
      </x:c>
      <x:c r="L183" s="659" t="str">
        <x:v>—</x:v>
      </x:c>
      <x:c r="M183" s="659" t="str">
        <x:v>—</x:v>
      </x:c>
      <x:c r="N183" s="659" t="str">
        <x:v>—</x:v>
      </x:c>
      <x:c r="O183" s="659" t="str">
        <x:v>-</x:v>
      </x:c>
      <x:c r="P183" s="659" t="str">
        <x:v>-</x:v>
      </x:c>
      <x:c r="Q183" s="687" t="n">
        <x:v>0.012</x:v>
      </x:c>
      <x:c r="R183" s="659" t="str">
        <x:v>缺少隔夜逆回购利率当前数据，暂不下结论。</x:v>
      </x:c>
      <x:c r="S183" s="659" t="str">
        <x:v>权重0.012；隔夜逆回购利率影响现金停放收益，但变化频率低，主要作为辅助验证，避免与核心指标重复计数。</x:v>
      </x:c>
      <x:c r="T183" s="698" t="str">
        <x:v>缺数据</x:v>
      </x:c>
      <x:c r="U183" s="659" t="str">
        <x:v>中性</x:v>
      </x:c>
      <x:c r="V183" s="659" t="str">
        <x:v>中</x:v>
      </x:c>
      <x:c r="W183" s="659" t="str">
        <x:v>无明确阈值，作为背景验证</x:v>
      </x:c>
      <x:c r="X183" s="659" t="str">
        <x:v>否</x:v>
      </x:c>
      <x:c r="Y183" s="659" t="str">
        <x:v>本期无有效前端数据，不进入候选池。</x:v>
      </x:c>
      <x:c r="Z183" s="659" t="str">
        <x:v>已检查同面反向指标；若出现支撑与压力并存，面级结论按分化或边际变化处理。</x:v>
      </x:c>
      <x:c r="AA183"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3" s="659" t="str">
        <x:v>避免单指标下结论；资金面不轻易表述为紧缩，估值面必须给历史分位。</x:v>
      </x:c>
      <x:c r="AC183" s="659" t="str">
        <x:v>否</x:v>
      </x:c>
      <x:c r="AD183" s="659" t="str">
        <x:v>P3</x:v>
      </x:c>
      <x:c r="AE183" s="659" t="str"/>
      <x:c r="AF183" s="659" t="str"/>
      <x:c r="AG183" s="659" t="str">
        <x:v>作为背景验证，不进入最终PPT。</x:v>
      </x:c>
      <x:c r="AH183" s="659" t="str"/>
      <x:c r="AI183" s="659" t="str"/>
    </x:row>
    <x:row r="184" ht="54" customHeight="1">
      <x:c r="A184" s="659" t="str">
        <x:v>指标</x:v>
      </x:c>
      <x:c r="B184" s="659" t="str">
        <x:v>境外</x:v>
      </x:c>
      <x:c r="C184" s="659" t="str">
        <x:v>债市</x:v>
      </x:c>
      <x:c r="D184" s="659" t="str">
        <x:v>资金面</x:v>
      </x:c>
      <x:c r="E184" s="659" t="str">
        <x:v>联邦流动性
（40%）</x:v>
      </x:c>
      <x:c r="F184" s="659" t="n">
        <x:v>178</x:v>
      </x:c>
      <x:c r="G184" s="659" t="str">
        <x:v>TGA余额</x:v>
      </x:c>
      <x:c r="H184" s="659" t="str">
        <x:v>周度；日期2026-06-24T00:00:00</x:v>
      </x:c>
      <x:c r="I184" s="659" t="str">
        <x:v>硬数据/同步指标</x:v>
      </x:c>
      <x:c r="J184" s="659" t="str">
        <x:v>当前901845；环比-54657；同比1.69546205829；同比增量567266</x:v>
      </x:c>
      <x:c r="K184" s="659" t="str">
        <x:v>必检</x:v>
      </x:c>
      <x:c r="L184" s="659" t="n">
        <x:v>901845</x:v>
      </x:c>
      <x:c r="M184" s="659" t="str">
        <x:v>2026-06-24T00:00:00</x:v>
      </x:c>
      <x:c r="N184" s="659" t="n">
        <x:v>-54657</x:v>
      </x:c>
      <x:c r="O184" s="659" t="n">
        <x:v>1.69546205829</x:v>
      </x:c>
      <x:c r="P184" s="659" t="n">
        <x:v>567266</x:v>
      </x:c>
      <x:c r="Q184" s="670" t="n">
        <x:v>0.02</x:v>
      </x:c>
      <x:c r="R184" s="659" t="str">
        <x:v>TGA余额环比减少44638（原表口径），对准备金形成边际释放。</x:v>
      </x:c>
      <x:c r="S184" s="659" t="str">
        <x:v>权重0.02；TGA余额会直接抽离或释放银行体系准备金，用于补充确认核心信号。</x:v>
      </x:c>
      <x:c r="T184" s="681" t="str">
        <x:v>最终展示候选</x:v>
      </x:c>
      <x:c r="U184" s="659" t="str">
        <x:v>余额回落缓和吸水压力</x:v>
      </x:c>
      <x:c r="V184" s="659" t="str">
        <x:v>中</x:v>
      </x:c>
      <x:c r="W184" s="659" t="str">
        <x:v>重点看环比/同比方向和历史位置</x:v>
      </x:c>
      <x:c r="X184" s="674" t="str">
        <x:v>是</x:v>
      </x:c>
      <x:c r="Y184" s="659" t="str">
        <x:v>权重较高或边际变化/阈值信号明确，且解释力足以支撑面级结论，进入第一轮候选池。</x:v>
      </x:c>
      <x:c r="Z184" s="659" t="str">
        <x:v>已检查同面反向指标；若出现支撑与压力并存，面级结论按分化或边际变化处理。</x:v>
      </x:c>
      <x:c r="AA184"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4" s="659" t="str">
        <x:v>避免单指标下结论；资金面不轻易表述为紧缩，估值面必须给历史分位。</x:v>
      </x:c>
      <x:c r="AC184" s="677" t="str">
        <x:v>是</x:v>
      </x:c>
      <x:c r="AD184" s="659" t="str">
        <x:v>P1</x:v>
      </x:c>
      <x:c r="AE184" s="659" t="str">
        <x:v>第二轮入选：该指标能最直接解释面级判断，且适合放入最终PPT。</x:v>
      </x:c>
      <x:c r="AF184" s="659" t="str">
        <x:v>TGA余额约9018亿美元、较上期减少约547亿美元</x:v>
      </x:c>
      <x:c r="AG184" s="659" t="str"/>
      <x:c r="AH184"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I184" s="659" t="str">
        <x:v>需人工复核口径与最终PPT篇幅。</x:v>
      </x:c>
    </x:row>
    <x:row r="185" ht="54" customHeight="1">
      <x:c r="A185" s="659" t="str">
        <x:v>指标</x:v>
      </x:c>
      <x:c r="B185" s="659" t="str">
        <x:v>境外</x:v>
      </x:c>
      <x:c r="C185" s="659" t="str">
        <x:v>债市</x:v>
      </x:c>
      <x:c r="D185" s="659" t="str">
        <x:v>资金面</x:v>
      </x:c>
      <x:c r="E185" s="659" t="str">
        <x:v>联邦流动性
（40%）</x:v>
      </x:c>
      <x:c r="F185" s="659" t="n">
        <x:v>179</x:v>
      </x:c>
      <x:c r="G185" s="659" t="str">
        <x:v>隔夜逆回购规模</x:v>
      </x:c>
      <x:c r="H185" s="659" t="str">
        <x:v>周度；日期2026-07-01T00:00:00</x:v>
      </x:c>
      <x:c r="I185" s="659" t="str">
        <x:v>资金价格/政策利率指标</x:v>
      </x:c>
      <x:c r="J185" s="659" t="str">
        <x:v>当前1.001；环比-25.899；同比-0.99592310512；同比增量-244.529</x:v>
      </x:c>
      <x:c r="K185" s="659" t="str">
        <x:v>背景</x:v>
      </x:c>
      <x:c r="L185" s="659" t="n">
        <x:v>1.001</x:v>
      </x:c>
      <x:c r="M185" s="659" t="str">
        <x:v>2026-07-01T00:00:00</x:v>
      </x:c>
      <x:c r="N185" s="659" t="n">
        <x:v>-25.899</x:v>
      </x:c>
      <x:c r="O185" s="659" t="n">
        <x:v>-0.99592310512</x:v>
      </x:c>
      <x:c r="P185" s="659" t="n">
        <x:v>-244.529</x:v>
      </x:c>
      <x:c r="Q185" s="687" t="n">
        <x:v>0.018</x:v>
      </x:c>
      <x:c r="R185" s="659" t="str">
        <x:v>隔夜逆回购规模下降，释放现金形成对冲，但继续释放空间已较此前收窄。</x:v>
      </x:c>
      <x:c r="S185" s="659" t="str">
        <x:v>权重0.018；隔夜逆回购规模反映过剩流动性吸收和释放空间，用于补充确认核心信号。</x:v>
      </x:c>
      <x:c r="T185" s="659" t="str">
        <x:v>背景验证</x:v>
      </x:c>
      <x:c r="U185" s="659" t="str">
        <x:v>中性</x:v>
      </x:c>
      <x:c r="V185" s="659" t="str">
        <x:v>中</x:v>
      </x:c>
      <x:c r="W185" s="659" t="str">
        <x:v>重点看环比/同比方向和历史位置</x:v>
      </x:c>
      <x:c r="X185" s="659" t="str">
        <x:v>否</x:v>
      </x:c>
      <x:c r="Y185" s="659" t="str">
        <x:v>权重或边际变化不足以改变面级判断，本期作为背景验证。</x:v>
      </x:c>
      <x:c r="Z185" s="659" t="str">
        <x:v>已检查同面反向指标；若出现支撑与压力并存，面级结论按分化或边际变化处理。</x:v>
      </x:c>
      <x:c r="AA185"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5" s="659" t="str">
        <x:v>避免单指标下结论；资金面不轻易表述为紧缩，估值面必须给历史分位。</x:v>
      </x:c>
      <x:c r="AC185" s="659" t="str">
        <x:v>否</x:v>
      </x:c>
      <x:c r="AD185" s="659" t="str">
        <x:v>P3</x:v>
      </x:c>
      <x:c r="AE185" s="659" t="str"/>
      <x:c r="AF185" s="659" t="str"/>
      <x:c r="AG185" s="659" t="str">
        <x:v>作为背景验证，不进入最终PPT。</x:v>
      </x:c>
      <x:c r="AH185" s="659" t="str"/>
      <x:c r="AI185" s="659" t="str"/>
    </x:row>
    <x:row r="186" ht="54" customHeight="1">
      <x:c r="A186" s="659" t="str">
        <x:v>指标</x:v>
      </x:c>
      <x:c r="B186" s="659" t="str">
        <x:v>境外</x:v>
      </x:c>
      <x:c r="C186" s="659" t="str">
        <x:v>债市</x:v>
      </x:c>
      <x:c r="D186" s="659" t="str">
        <x:v>资金面</x:v>
      </x:c>
      <x:c r="E186" s="659" t="str">
        <x:v>银行间流动性
（30%）</x:v>
      </x:c>
      <x:c r="F186" s="659" t="n">
        <x:v>180</x:v>
      </x:c>
      <x:c r="G186" s="659" t="str">
        <x:v>SOFR利率（担保隔夜融资利率）</x:v>
      </x:c>
      <x:c r="H186" s="659" t="str">
        <x:v>日度；日期2026-06-30T00:00:00</x:v>
      </x:c>
      <x:c r="I186" s="659" t="str">
        <x:v>资金价格/政策利率指标</x:v>
      </x:c>
      <x:c r="J186" s="659" t="str">
        <x:v>当前0.0368；环比0.0006；同比增量-0.0077</x:v>
      </x:c>
      <x:c r="K186" s="659" t="str">
        <x:v>必检</x:v>
      </x:c>
      <x:c r="L186" s="659" t="n">
        <x:v>0.0368</x:v>
      </x:c>
      <x:c r="M186" s="659" t="str">
        <x:v>2026-06-30T00:00:00</x:v>
      </x:c>
      <x:c r="N186" s="659" t="n">
        <x:v>0.0006</x:v>
      </x:c>
      <x:c r="O186" s="659" t="str">
        <x:v>-</x:v>
      </x:c>
      <x:c r="P186" s="659" t="n">
        <x:v>-0.0077</x:v>
      </x:c>
      <x:c r="Q186" s="684" t="n">
        <x:v>0.055</x:v>
      </x:c>
      <x:c r="R186" s="659" t="str">
        <x:v>SOFR为3.65%，与IORB基本持平，美元回购融资成本未明显抬升。</x:v>
      </x:c>
      <x:c r="S186" s="659" t="str">
        <x:v>权重0.055；SOFR是美元回购融资成本的高频核心指标，在本项中更能代表方向。</x:v>
      </x:c>
      <x:c r="T186" s="691" t="str">
        <x:v>关键候选</x:v>
      </x:c>
      <x:c r="U186" s="659" t="str">
        <x:v>中性</x:v>
      </x:c>
      <x:c r="V186" s="659" t="str">
        <x:v>中</x:v>
      </x:c>
      <x:c r="W186" s="659" t="str">
        <x:v>重点看环比/同比方向和历史位置</x:v>
      </x:c>
      <x:c r="X186" s="674" t="str">
        <x:v>是</x:v>
      </x:c>
      <x:c r="Y186" s="659" t="str">
        <x:v>指标权重较高、边际变化明显或具有关键阈值/联动判断价值，进入第一轮候选池。</x:v>
      </x:c>
      <x:c r="Z186" s="659" t="str">
        <x:v>已检查同面反向指标；若出现支撑与压力并存，面级结论按分化或边际变化处理。</x:v>
      </x:c>
      <x:c r="AA186"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6" s="659" t="str">
        <x:v>避免单指标下结论；资金面不轻易表述为紧缩，估值面必须给历史分位。</x:v>
      </x:c>
      <x:c r="AC186" s="659" t="str">
        <x:v>否</x:v>
      </x:c>
      <x:c r="AD186" s="659" t="str">
        <x:v>P2</x:v>
      </x:c>
      <x:c r="AE186" s="659" t="str"/>
      <x:c r="AF186" s="659" t="str"/>
      <x:c r="AG186" s="659" t="str">
        <x:v>已经参与第一轮判断，但不是本期最终展示的最高解释力指标。</x:v>
      </x:c>
      <x:c r="AH186" s="659" t="str"/>
      <x:c r="AI186" s="659" t="str"/>
    </x:row>
    <x:row r="187" ht="54" customHeight="1">
      <x:c r="A187" s="659" t="str">
        <x:v>指标</x:v>
      </x:c>
      <x:c r="B187" s="659" t="str">
        <x:v>境外</x:v>
      </x:c>
      <x:c r="C187" s="659" t="str">
        <x:v>债市</x:v>
      </x:c>
      <x:c r="D187" s="659" t="str">
        <x:v>资金面</x:v>
      </x:c>
      <x:c r="E187" s="659" t="str">
        <x:v>银行间流动性
（30%）</x:v>
      </x:c>
      <x:c r="F187" s="659" t="n">
        <x:v>181</x:v>
      </x:c>
      <x:c r="G187" s="659" t="str">
        <x:v>SOFR-IORB 利差</x:v>
      </x:c>
      <x:c r="H187" s="659" t="str">
        <x:v>日度；日期2026-06-30T00:00:00</x:v>
      </x:c>
      <x:c r="I187" s="659" t="str">
        <x:v>资金价格/政策利率指标</x:v>
      </x:c>
      <x:c r="J187" s="659" t="str">
        <x:v>当前0.0003；环比0.0006；同比增量-0.0002</x:v>
      </x:c>
      <x:c r="K187" s="659" t="str">
        <x:v>必检</x:v>
      </x:c>
      <x:c r="L187" s="659" t="n">
        <x:v>0.0003</x:v>
      </x:c>
      <x:c r="M187" s="659" t="str">
        <x:v>2026-06-30T00:00:00</x:v>
      </x:c>
      <x:c r="N187" s="659" t="n">
        <x:v>0.0006</x:v>
      </x:c>
      <x:c r="O187" s="659" t="str">
        <x:v>-</x:v>
      </x:c>
      <x:c r="P187" s="659" t="n">
        <x:v>-0.0002</x:v>
      </x:c>
      <x:c r="Q187" s="684" t="n">
        <x:v>0.055</x:v>
      </x:c>
      <x:c r="R187" s="659" t="str">
        <x:v>SOFR与IORB基本持平，回购市场未出现明显溢价，短端流动性未明显紧张。</x:v>
      </x:c>
      <x:c r="S187" s="659" t="str">
        <x:v>权重0.055；SOFR-IORB利差最直接衡量回购市场紧张程度，在本项中更能代表方向。</x:v>
      </x:c>
      <x:c r="T187" s="681" t="str">
        <x:v>最终展示候选</x:v>
      </x:c>
      <x:c r="U187" s="659" t="str">
        <x:v>短端资金略有扰动</x:v>
      </x:c>
      <x:c r="V187" s="659" t="str">
        <x:v>高</x:v>
      </x:c>
      <x:c r="W187" s="659" t="str">
        <x:v>对照0bp阈值，当前约3.0bp</x:v>
      </x:c>
      <x:c r="X187" s="674" t="str">
        <x:v>是</x:v>
      </x:c>
      <x:c r="Y187" s="659" t="str">
        <x:v>权重较高或边际变化/阈值信号明确，且解释力足以支撑面级结论，进入第一轮候选池。</x:v>
      </x:c>
      <x:c r="Z187" s="659" t="str">
        <x:v>已检查同面反向指标；若出现支撑与压力并存，面级结论按分化或边际变化处理。</x:v>
      </x:c>
      <x:c r="AA187"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7" s="659" t="str">
        <x:v>避免单指标下结论；资金面不轻易表述为紧缩，估值面必须给历史分位。</x:v>
      </x:c>
      <x:c r="AC187" s="677" t="str">
        <x:v>是</x:v>
      </x:c>
      <x:c r="AD187" s="659" t="str">
        <x:v>P1</x:v>
      </x:c>
      <x:c r="AE187" s="659" t="str">
        <x:v>第二轮入选：该指标能最直接解释面级判断，且适合放入最终PPT。</x:v>
      </x:c>
      <x:c r="AF187" s="659" t="str">
        <x:v>SOFR-IORB约+3bp</x:v>
      </x:c>
      <x:c r="AG187" s="659" t="str"/>
      <x:c r="AH187"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I187" s="659" t="str">
        <x:v>需人工复核口径与最终PPT篇幅。</x:v>
      </x:c>
    </x:row>
    <x:row r="188" ht="54" customHeight="1">
      <x:c r="A188" s="659" t="str">
        <x:v>指标</x:v>
      </x:c>
      <x:c r="B188" s="659" t="str">
        <x:v>境外</x:v>
      </x:c>
      <x:c r="C188" s="659" t="str">
        <x:v>债市</x:v>
      </x:c>
      <x:c r="D188" s="659" t="str">
        <x:v>资金面</x:v>
      </x:c>
      <x:c r="E188" s="659" t="str">
        <x:v>实体流动性
（30%）</x:v>
      </x:c>
      <x:c r="F188" s="659" t="n">
        <x:v>182</x:v>
      </x:c>
      <x:c r="G188" s="659" t="str">
        <x:v>信用利差（AAA企业债与国债利差）</x:v>
      </x:c>
      <x:c r="H188" s="659" t="str">
        <x:v>周度；日期2026-06-30T00:00:00</x:v>
      </x:c>
      <x:c r="I188" s="659" t="str">
        <x:v>硬数据/同步指标</x:v>
      </x:c>
      <x:c r="J188" s="659" t="str">
        <x:v>当前0.0107；环比0.0002；同比增量0.0001</x:v>
      </x:c>
      <x:c r="K188" s="659" t="str">
        <x:v>必检</x:v>
      </x:c>
      <x:c r="L188" s="659" t="n">
        <x:v>0.0107</x:v>
      </x:c>
      <x:c r="M188" s="659" t="str">
        <x:v>2026-06-30T00:00:00</x:v>
      </x:c>
      <x:c r="N188" s="659" t="n">
        <x:v>0.0002</x:v>
      </x:c>
      <x:c r="O188" s="659" t="str">
        <x:v>-</x:v>
      </x:c>
      <x:c r="P188" s="659" t="n">
        <x:v>0.0001</x:v>
      </x:c>
      <x:c r="Q188" s="670" t="n">
        <x:v>0.03</x:v>
      </x:c>
      <x:c r="R188" s="659" t="str">
        <x:v>AAA信用利差收窄，信用风险溢价下降、实体融资环境改善。</x:v>
      </x:c>
      <x:c r="S188" s="659" t="str">
        <x:v>权重0.03；信用利差反映企业融资环境和风险偏好，用于补充确认核心信号。</x:v>
      </x:c>
      <x:c r="T188" s="691" t="str">
        <x:v>关键候选</x:v>
      </x:c>
      <x:c r="U188" s="659" t="str">
        <x:v>中性</x:v>
      </x:c>
      <x:c r="V188" s="659" t="str">
        <x:v>中</x:v>
      </x:c>
      <x:c r="W188" s="659" t="str">
        <x:v>重点看环比/同比方向和历史位置</x:v>
      </x:c>
      <x:c r="X188" s="674" t="str">
        <x:v>是</x:v>
      </x:c>
      <x:c r="Y188" s="659" t="str">
        <x:v>指标权重较高、边际变化明显或具有关键阈值/联动判断价值，进入第一轮候选池。</x:v>
      </x:c>
      <x:c r="Z188" s="659" t="str">
        <x:v>已检查同面反向指标；若出现支撑与压力并存，面级结论按分化或边际变化处理。</x:v>
      </x:c>
      <x:c r="AA188"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8" s="659" t="str">
        <x:v>避免单指标下结论；资金面不轻易表述为紧缩，估值面必须给历史分位。</x:v>
      </x:c>
      <x:c r="AC188" s="659" t="str">
        <x:v>否</x:v>
      </x:c>
      <x:c r="AD188" s="659" t="str">
        <x:v>P2</x:v>
      </x:c>
      <x:c r="AE188" s="659" t="str"/>
      <x:c r="AF188" s="659" t="str"/>
      <x:c r="AG188" s="659" t="str">
        <x:v>已经参与第一轮判断，但不是本期最终展示的最高解释力指标。</x:v>
      </x:c>
      <x:c r="AH188" s="659" t="str"/>
      <x:c r="AI188" s="659" t="str"/>
    </x:row>
    <x:row r="189" ht="54" customHeight="1">
      <x:c r="A189" s="659" t="str">
        <x:v>指标</x:v>
      </x:c>
      <x:c r="B189" s="659" t="str">
        <x:v>境外</x:v>
      </x:c>
      <x:c r="C189" s="659" t="str">
        <x:v>债市</x:v>
      </x:c>
      <x:c r="D189" s="659" t="str">
        <x:v>资金面</x:v>
      </x:c>
      <x:c r="E189" s="659" t="str">
        <x:v>实体流动性
（30%）</x:v>
      </x:c>
      <x:c r="F189" s="659" t="n">
        <x:v>183</x:v>
      </x:c>
      <x:c r="G189" s="659" t="str">
        <x:v>美国:所有商业银行:资产:银行信贷:季调</x:v>
      </x:c>
      <x:c r="H189" s="659" t="str">
        <x:v>周度；日期2026-06-17T00:00:00</x:v>
      </x:c>
      <x:c r="I189" s="659" t="str">
        <x:v>硬数据/同步指标</x:v>
      </x:c>
      <x:c r="J189" s="659" t="str">
        <x:v>当前19628099.2；环比7099.2；同比0.0629687987958；同比增量1162741.4</x:v>
      </x:c>
      <x:c r="K189" s="659" t="str">
        <x:v>背景</x:v>
      </x:c>
      <x:c r="L189" s="659" t="n">
        <x:v>19628099.2</x:v>
      </x:c>
      <x:c r="M189" s="659" t="str">
        <x:v>2026-06-17T00:00:00</x:v>
      </x:c>
      <x:c r="N189" s="659" t="n">
        <x:v>7099.2</x:v>
      </x:c>
      <x:c r="O189" s="659" t="n">
        <x:v>0.0629687987958</x:v>
      </x:c>
      <x:c r="P189" s="659" t="n">
        <x:v>1162741.4</x:v>
      </x:c>
      <x:c r="Q189" s="670" t="n">
        <x:v>0.02</x:v>
      </x:c>
      <x:c r="R189" s="659" t="str">
        <x:v>商业银行信贷同比6.4%且继续增长，信用扩张稳健。</x:v>
      </x:c>
      <x:c r="S189" s="659" t="str">
        <x:v>权重0.02；美国商业银行银行信贷反映银行资产端信用供给和资产负债表扩张情况，是美元实体流动性的核心余额指标之一；但它是存量指标，边际信号需结合周度变化和贷款分项。</x:v>
      </x:c>
      <x:c r="T189" s="659" t="str">
        <x:v>背景验证</x:v>
      </x:c>
      <x:c r="U189" s="659" t="str">
        <x:v>中性</x:v>
      </x:c>
      <x:c r="V189" s="659" t="str">
        <x:v>中</x:v>
      </x:c>
      <x:c r="W189" s="659" t="str">
        <x:v>重点看环比/同比方向和历史位置</x:v>
      </x:c>
      <x:c r="X189" s="659" t="str">
        <x:v>否</x:v>
      </x:c>
      <x:c r="Y189" s="659" t="str">
        <x:v>权重或边际变化不足以改变面级判断，本期作为背景验证。</x:v>
      </x:c>
      <x:c r="Z189" s="659" t="str">
        <x:v>已检查同面反向指标；若出现支撑与压力并存，面级结论按分化或边际变化处理。</x:v>
      </x:c>
      <x:c r="AA189"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89" s="659" t="str">
        <x:v>避免单指标下结论；资金面不轻易表述为紧缩，估值面必须给历史分位。</x:v>
      </x:c>
      <x:c r="AC189" s="659" t="str">
        <x:v>否</x:v>
      </x:c>
      <x:c r="AD189" s="659" t="str">
        <x:v>P3</x:v>
      </x:c>
      <x:c r="AE189" s="659" t="str"/>
      <x:c r="AF189" s="659" t="str"/>
      <x:c r="AG189" s="659" t="str">
        <x:v>作为背景验证，不进入最终PPT。</x:v>
      </x:c>
      <x:c r="AH189" s="659" t="str"/>
      <x:c r="AI189" s="659" t="str"/>
    </x:row>
    <x:row r="190" ht="54" customHeight="1">
      <x:c r="A190" s="659" t="str">
        <x:v>指标</x:v>
      </x:c>
      <x:c r="B190" s="659" t="str">
        <x:v>境外</x:v>
      </x:c>
      <x:c r="C190" s="659" t="str">
        <x:v>债市</x:v>
      </x:c>
      <x:c r="D190" s="659" t="str">
        <x:v>资金面</x:v>
      </x:c>
      <x:c r="E190" s="659" t="str">
        <x:v>实体流动性
（30%）</x:v>
      </x:c>
      <x:c r="F190" s="659" t="n">
        <x:v>184</x:v>
      </x:c>
      <x:c r="G190" s="659" t="str">
        <x:v>银行贷款同比</x:v>
      </x:c>
      <x:c r="H190" s="659" t="str">
        <x:v>月度；日期2026-03-31T00:00:00</x:v>
      </x:c>
      <x:c r="I190" s="659" t="str">
        <x:v>硬数据/同步指标</x:v>
      </x:c>
      <x:c r="J190" s="659" t="str">
        <x:v>当前0.075；环比0.028；同比0.075；同比增量0.043</x:v>
      </x:c>
      <x:c r="K190" s="659" t="str">
        <x:v>背景</x:v>
      </x:c>
      <x:c r="L190" s="659" t="n">
        <x:v>0.075</x:v>
      </x:c>
      <x:c r="M190" s="659" t="str">
        <x:v>2026-03-31T00:00:00</x:v>
      </x:c>
      <x:c r="N190" s="659" t="n">
        <x:v>0.028</x:v>
      </x:c>
      <x:c r="O190" s="659" t="n">
        <x:v>0.075</x:v>
      </x:c>
      <x:c r="P190" s="659" t="n">
        <x:v>0.043</x:v>
      </x:c>
      <x:c r="Q190" s="687" t="n">
        <x:v>0.015</x:v>
      </x:c>
      <x:c r="R190" s="659" t="str">
        <x:v>银行贷款同比7.5%且较前期回升，信用动能改善。</x:v>
      </x:c>
      <x:c r="S190" s="659" t="str">
        <x:v>权重0.015；存款机构贷款资产增速反映银行信用供给，主要作为辅助验证，避免与核心指标重复计数。</x:v>
      </x:c>
      <x:c r="T190" s="659" t="str">
        <x:v>背景验证</x:v>
      </x:c>
      <x:c r="U190" s="659" t="str">
        <x:v>中性</x:v>
      </x:c>
      <x:c r="V190" s="659" t="str">
        <x:v>中</x:v>
      </x:c>
      <x:c r="W190" s="659" t="str">
        <x:v>重点看环比/同比方向和历史位置</x:v>
      </x:c>
      <x:c r="X190" s="659" t="str">
        <x:v>否</x:v>
      </x:c>
      <x:c r="Y190" s="659" t="str">
        <x:v>权重或边际变化不足以改变面级判断，本期作为背景验证。</x:v>
      </x:c>
      <x:c r="Z190" s="659" t="str">
        <x:v>已检查同面反向指标；若出现支撑与压力并存，面级结论按分化或边际变化处理。</x:v>
      </x:c>
      <x:c r="AA190"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90" s="659" t="str">
        <x:v>避免单指标下结论；资金面不轻易表述为紧缩，估值面必须给历史分位。</x:v>
      </x:c>
      <x:c r="AC190" s="659" t="str">
        <x:v>否</x:v>
      </x:c>
      <x:c r="AD190" s="659" t="str">
        <x:v>P3</x:v>
      </x:c>
      <x:c r="AE190" s="659" t="str"/>
      <x:c r="AF190" s="659" t="str"/>
      <x:c r="AG190" s="659" t="str">
        <x:v>作为背景验证，不进入最终PPT。</x:v>
      </x:c>
      <x:c r="AH190" s="659" t="str"/>
      <x:c r="AI190" s="659" t="str"/>
    </x:row>
    <x:row r="191" ht="54" customHeight="1">
      <x:c r="A191" s="659" t="str">
        <x:v>指标</x:v>
      </x:c>
      <x:c r="B191" s="659" t="str">
        <x:v>境外</x:v>
      </x:c>
      <x:c r="C191" s="659" t="str">
        <x:v>债市</x:v>
      </x:c>
      <x:c r="D191" s="659" t="str">
        <x:v>资金面</x:v>
      </x:c>
      <x:c r="E191" s="659" t="str">
        <x:v>实体流动性
（30%）</x:v>
      </x:c>
      <x:c r="F191" s="659" t="n">
        <x:v>185</x:v>
      </x:c>
      <x:c r="G191" s="659" t="str">
        <x:v>企业部门工商业贷款</x:v>
      </x:c>
      <x:c r="H191" s="659" t="str">
        <x:v>季度；日期2026-06-17T00:00:00</x:v>
      </x:c>
      <x:c r="I191" s="659" t="str">
        <x:v>硬数据/低频滞后指标</x:v>
      </x:c>
      <x:c r="J191" s="659" t="str">
        <x:v>当前2903305.3；环比-4486.6；同比0.0790640729779；同比增量212728</x:v>
      </x:c>
      <x:c r="K191" s="659" t="str">
        <x:v>背景</x:v>
      </x:c>
      <x:c r="L191" s="659" t="n">
        <x:v>2903305.3</x:v>
      </x:c>
      <x:c r="M191" s="659" t="str">
        <x:v>2026-06-17T00:00:00</x:v>
      </x:c>
      <x:c r="N191" s="659" t="n">
        <x:v>-4486.6</x:v>
      </x:c>
      <x:c r="O191" s="659" t="n">
        <x:v>0.0790640729779</x:v>
      </x:c>
      <x:c r="P191" s="659" t="n">
        <x:v>212728</x:v>
      </x:c>
      <x:c r="Q191" s="687" t="n">
        <x:v>0.018</x:v>
      </x:c>
      <x:c r="R191" s="659" t="str">
        <x:v>工商业贷款同比8.2%且增加，企业融资需求改善。</x:v>
      </x:c>
      <x:c r="S191" s="659" t="str">
        <x:v>权重0.018；工商业贷款增速观察企业投资和经营融资需求，用于补充确认核心信号。</x:v>
      </x:c>
      <x:c r="T191" s="659" t="str">
        <x:v>背景验证</x:v>
      </x:c>
      <x:c r="U191" s="659" t="str">
        <x:v>中性</x:v>
      </x:c>
      <x:c r="V191" s="659" t="str">
        <x:v>中</x:v>
      </x:c>
      <x:c r="W191" s="659" t="str">
        <x:v>重点看环比/同比方向和历史位置</x:v>
      </x:c>
      <x:c r="X191" s="659" t="str">
        <x:v>否</x:v>
      </x:c>
      <x:c r="Y191" s="659" t="str">
        <x:v>权重或边际变化不足以改变面级判断，本期作为背景验证。</x:v>
      </x:c>
      <x:c r="Z191" s="659" t="str">
        <x:v>已检查同面反向指标；若出现支撑与压力并存，面级结论按分化或边际变化处理。</x:v>
      </x:c>
      <x:c r="AA191"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91" s="659" t="str">
        <x:v>避免单指标下结论；资金面不轻易表述为紧缩，估值面必须给历史分位。</x:v>
      </x:c>
      <x:c r="AC191" s="659" t="str">
        <x:v>否</x:v>
      </x:c>
      <x:c r="AD191" s="659" t="str">
        <x:v>P3</x:v>
      </x:c>
      <x:c r="AE191" s="659" t="str"/>
      <x:c r="AF191" s="659" t="str"/>
      <x:c r="AG191" s="659" t="str">
        <x:v>作为背景验证，不进入最终PPT。</x:v>
      </x:c>
      <x:c r="AH191" s="659" t="str"/>
      <x:c r="AI191" s="659" t="str"/>
    </x:row>
    <x:row r="192" ht="54" customHeight="1">
      <x:c r="A192" s="659" t="str">
        <x:v>指标</x:v>
      </x:c>
      <x:c r="B192" s="659" t="str">
        <x:v>境外</x:v>
      </x:c>
      <x:c r="C192" s="659" t="str">
        <x:v>债市</x:v>
      </x:c>
      <x:c r="D192" s="659" t="str">
        <x:v>资金面</x:v>
      </x:c>
      <x:c r="E192" s="659" t="str">
        <x:v>实体流动性
（30%）</x:v>
      </x:c>
      <x:c r="F192" s="659" t="n">
        <x:v>186</x:v>
      </x:c>
      <x:c r="G192" s="659" t="str">
        <x:v>居民消费贷款增速</x:v>
      </x:c>
      <x:c r="H192" s="659" t="str">
        <x:v>月度；日期2026-06-17T00:00:00</x:v>
      </x:c>
      <x:c r="I192" s="659" t="str">
        <x:v>硬数据/同步指标</x:v>
      </x:c>
      <x:c r="J192" s="659" t="str">
        <x:v>当前1909403.3；环比-1548；同比0.0429516847213；同比增量78634.6</x:v>
      </x:c>
      <x:c r="K192" s="659" t="str">
        <x:v>背景</x:v>
      </x:c>
      <x:c r="L192" s="659" t="n">
        <x:v>1909403.3</x:v>
      </x:c>
      <x:c r="M192" s="659" t="str">
        <x:v>2026-06-17T00:00:00</x:v>
      </x:c>
      <x:c r="N192" s="659" t="n">
        <x:v>-1548</x:v>
      </x:c>
      <x:c r="O192" s="659" t="n">
        <x:v>0.0429516847213</x:v>
      </x:c>
      <x:c r="P192" s="659" t="n">
        <x:v>78634.6</x:v>
      </x:c>
      <x:c r="Q192" s="687" t="n">
        <x:v>0.012</x:v>
      </x:c>
      <x:c r="R192" s="659" t="str">
        <x:v>消费贷款同比4.5%且小幅增长，居民信用温和扩张。</x:v>
      </x:c>
      <x:c r="S192" s="659" t="str">
        <x:v>权重0.012；居民消费贷款增速反映家庭消费信用需求，主要作为辅助验证，避免与核心指标重复计数。</x:v>
      </x:c>
      <x:c r="T192" s="659" t="str">
        <x:v>背景验证</x:v>
      </x:c>
      <x:c r="U192" s="659" t="str">
        <x:v>中性</x:v>
      </x:c>
      <x:c r="V192" s="659" t="str">
        <x:v>中</x:v>
      </x:c>
      <x:c r="W192" s="659" t="str">
        <x:v>重点看环比/同比方向和历史位置</x:v>
      </x:c>
      <x:c r="X192" s="659" t="str">
        <x:v>否</x:v>
      </x:c>
      <x:c r="Y192" s="659" t="str">
        <x:v>权重或边际变化不足以改变面级判断，本期作为背景验证。</x:v>
      </x:c>
      <x:c r="Z192" s="659" t="str">
        <x:v>已检查同面反向指标；若出现支撑与压力并存，面级结论按分化或边际变化处理。</x:v>
      </x:c>
      <x:c r="AA192"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92" s="659" t="str">
        <x:v>避免单指标下结论；资金面不轻易表述为紧缩，估值面必须给历史分位。</x:v>
      </x:c>
      <x:c r="AC192" s="659" t="str">
        <x:v>否</x:v>
      </x:c>
      <x:c r="AD192" s="659" t="str">
        <x:v>P3</x:v>
      </x:c>
      <x:c r="AE192" s="659" t="str"/>
      <x:c r="AF192" s="659" t="str"/>
      <x:c r="AG192" s="659" t="str">
        <x:v>作为背景验证，不进入最终PPT。</x:v>
      </x:c>
      <x:c r="AH192" s="659" t="str"/>
      <x:c r="AI192" s="659" t="str"/>
    </x:row>
    <x:row r="193" ht="54" customHeight="1">
      <x:c r="A193" s="659" t="str">
        <x:v>指标</x:v>
      </x:c>
      <x:c r="B193" s="659" t="str">
        <x:v>境外</x:v>
      </x:c>
      <x:c r="C193" s="659" t="str">
        <x:v>债市</x:v>
      </x:c>
      <x:c r="D193" s="659" t="str">
        <x:v>资金面</x:v>
      </x:c>
      <x:c r="E193" s="659" t="str">
        <x:v>实体流动性
（30%）</x:v>
      </x:c>
      <x:c r="F193" s="659" t="n">
        <x:v>187</x:v>
      </x:c>
      <x:c r="G193" s="659" t="str">
        <x:v>居民房地产贷款</x:v>
      </x:c>
      <x:c r="H193" s="659" t="str">
        <x:v>周度；日期2026-06-17T00:00:00</x:v>
      </x:c>
      <x:c r="I193" s="659" t="str">
        <x:v>硬数据/同步指标</x:v>
      </x:c>
      <x:c r="J193" s="659" t="str">
        <x:v>当前5799882.4；环比2796.1；同比0.0231059222047；同比增量130985.1</x:v>
      </x:c>
      <x:c r="K193" s="659" t="str">
        <x:v>背景</x:v>
      </x:c>
      <x:c r="L193" s="659" t="n">
        <x:v>5799882.4</x:v>
      </x:c>
      <x:c r="M193" s="659" t="str">
        <x:v>2026-06-17T00:00:00</x:v>
      </x:c>
      <x:c r="N193" s="659" t="n">
        <x:v>2796.1</x:v>
      </x:c>
      <x:c r="O193" s="659" t="n">
        <x:v>0.0231059222047</x:v>
      </x:c>
      <x:c r="P193" s="659" t="n">
        <x:v>130985.1</x:v>
      </x:c>
      <x:c r="Q193" s="687" t="n">
        <x:v>0.01</x:v>
      </x:c>
      <x:c r="R193" s="659" t="str">
        <x:v>房地产贷款同比仅2.2%且环比收缩，地产信用偏弱。</x:v>
      </x:c>
      <x:c r="S193" s="659" t="str">
        <x:v>权重0.01；居民房地产贷款对住房信用有代表性，但变化较慢，主要作为辅助验证，避免与核心指标重复计数。</x:v>
      </x:c>
      <x:c r="T193" s="659" t="str">
        <x:v>背景验证</x:v>
      </x:c>
      <x:c r="U193" s="659" t="str">
        <x:v>中性</x:v>
      </x:c>
      <x:c r="V193" s="659" t="str">
        <x:v>中</x:v>
      </x:c>
      <x:c r="W193" s="659" t="str">
        <x:v>重点看环比/同比方向和历史位置</x:v>
      </x:c>
      <x:c r="X193" s="659" t="str">
        <x:v>否</x:v>
      </x:c>
      <x:c r="Y193" s="659" t="str">
        <x:v>权重或边际变化不足以改变面级判断，本期作为背景验证。</x:v>
      </x:c>
      <x:c r="Z193" s="659" t="str">
        <x:v>已检查同面反向指标；若出现支撑与压力并存，面级结论按分化或边际变化处理。</x:v>
      </x:c>
      <x:c r="AA193"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93" s="659" t="str">
        <x:v>避免单指标下结论；资金面不轻易表述为紧缩，估值面必须给历史分位。</x:v>
      </x:c>
      <x:c r="AC193" s="659" t="str">
        <x:v>否</x:v>
      </x:c>
      <x:c r="AD193" s="659" t="str">
        <x:v>P3</x:v>
      </x:c>
      <x:c r="AE193" s="659" t="str"/>
      <x:c r="AF193" s="659" t="str"/>
      <x:c r="AG193" s="659" t="str">
        <x:v>作为背景验证，不进入最终PPT。</x:v>
      </x:c>
      <x:c r="AH193" s="659" t="str"/>
      <x:c r="AI193" s="659" t="str"/>
    </x:row>
    <x:row r="194" ht="54" customHeight="1">
      <x:c r="A194" s="659" t="str">
        <x:v>指标</x:v>
      </x:c>
      <x:c r="B194" s="659" t="str">
        <x:v>境外</x:v>
      </x:c>
      <x:c r="C194" s="659" t="str">
        <x:v>债市</x:v>
      </x:c>
      <x:c r="D194" s="659" t="str">
        <x:v>资金面</x:v>
      </x:c>
      <x:c r="E194" s="659" t="str">
        <x:v>实体流动性
（30%）</x:v>
      </x:c>
      <x:c r="F194" s="659" t="n">
        <x:v>188</x:v>
      </x:c>
      <x:c r="G194" s="659" t="str">
        <x:v>M1 货币供应量</x:v>
      </x:c>
      <x:c r="H194" s="659" t="str">
        <x:v>月度；日期2026-05-31T00:00:00</x:v>
      </x:c>
      <x:c r="I194" s="659" t="str">
        <x:v>硬数据/同步指标</x:v>
      </x:c>
      <x:c r="J194" s="659" t="str">
        <x:v>当前19750.9；环比219.2；同比0.0583088191955；同比增量1088.2</x:v>
      </x:c>
      <x:c r="K194" s="659" t="str">
        <x:v>背景</x:v>
      </x:c>
      <x:c r="L194" s="659" t="n">
        <x:v>19750.9</x:v>
      </x:c>
      <x:c r="M194" s="659" t="str">
        <x:v>2026-05-31T00:00:00</x:v>
      </x:c>
      <x:c r="N194" s="659" t="n">
        <x:v>219.2</x:v>
      </x:c>
      <x:c r="O194" s="659" t="n">
        <x:v>0.0583088191955</x:v>
      </x:c>
      <x:c r="P194" s="659" t="n">
        <x:v>1088.2</x:v>
      </x:c>
      <x:c r="Q194" s="687" t="n">
        <x:v>0.01</x:v>
      </x:c>
      <x:c r="R194" s="659" t="str">
        <x:v>M1同比4.9%且环比增加，资金活化改善。</x:v>
      </x:c>
      <x:c r="S194" s="659" t="str">
        <x:v>权重0.01；M1代表交易性货币需求，是流动性补充指标，主要作为辅助验证，避免与核心指标重复计数。</x:v>
      </x:c>
      <x:c r="T194" s="659" t="str">
        <x:v>背景验证</x:v>
      </x:c>
      <x:c r="U194" s="659" t="str">
        <x:v>中性</x:v>
      </x:c>
      <x:c r="V194" s="659" t="str">
        <x:v>中</x:v>
      </x:c>
      <x:c r="W194" s="659" t="str">
        <x:v>重点看环比/同比方向和历史位置</x:v>
      </x:c>
      <x:c r="X194" s="659" t="str">
        <x:v>否</x:v>
      </x:c>
      <x:c r="Y194" s="659" t="str">
        <x:v>权重或边际变化不足以改变面级判断，本期作为背景验证。</x:v>
      </x:c>
      <x:c r="Z194" s="659" t="str">
        <x:v>已检查同面反向指标；若出现支撑与压力并存，面级结论按分化或边际变化处理。</x:v>
      </x:c>
      <x:c r="AA194"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94" s="659" t="str">
        <x:v>避免单指标下结论；资金面不轻易表述为紧缩，估值面必须给历史分位。</x:v>
      </x:c>
      <x:c r="AC194" s="659" t="str">
        <x:v>否</x:v>
      </x:c>
      <x:c r="AD194" s="659" t="str">
        <x:v>P3</x:v>
      </x:c>
      <x:c r="AE194" s="659" t="str"/>
      <x:c r="AF194" s="659" t="str"/>
      <x:c r="AG194" s="659" t="str">
        <x:v>作为背景验证，不进入最终PPT。</x:v>
      </x:c>
      <x:c r="AH194" s="659" t="str"/>
      <x:c r="AI194" s="659" t="str"/>
    </x:row>
    <x:row r="195" ht="54" customHeight="1">
      <x:c r="A195" s="659" t="str">
        <x:v>指标</x:v>
      </x:c>
      <x:c r="B195" s="659" t="str">
        <x:v>境外</x:v>
      </x:c>
      <x:c r="C195" s="659" t="str">
        <x:v>债市</x:v>
      </x:c>
      <x:c r="D195" s="659" t="str">
        <x:v>资金面</x:v>
      </x:c>
      <x:c r="E195" s="659" t="str">
        <x:v>实体流动性
（30%）</x:v>
      </x:c>
      <x:c r="F195" s="659" t="n">
        <x:v>189</x:v>
      </x:c>
      <x:c r="G195" s="659" t="str">
        <x:v>M2 货币供应量</x:v>
      </x:c>
      <x:c r="H195" s="659" t="str">
        <x:v>月度；日期2026-05-31T00:00:00</x:v>
      </x:c>
      <x:c r="I195" s="659" t="str">
        <x:v>硬数据/同步指标</x:v>
      </x:c>
      <x:c r="J195" s="659" t="str">
        <x:v>当前23052.3；环比247.8；同比0.0558031318271；同比增量1218.4</x:v>
      </x:c>
      <x:c r="K195" s="659" t="str">
        <x:v>背景</x:v>
      </x:c>
      <x:c r="L195" s="659" t="n">
        <x:v>23052.3</x:v>
      </x:c>
      <x:c r="M195" s="659" t="str">
        <x:v>2026-05-31T00:00:00</x:v>
      </x:c>
      <x:c r="N195" s="659" t="n">
        <x:v>247.8</x:v>
      </x:c>
      <x:c r="O195" s="659" t="n">
        <x:v>0.0558031318271</x:v>
      </x:c>
      <x:c r="P195" s="659" t="n">
        <x:v>1218.4</x:v>
      </x:c>
      <x:c r="Q195" s="687" t="n">
        <x:v>0.01</x:v>
      </x:c>
      <x:c r="R195" s="659" t="str">
        <x:v>M2同比4.7%且环比增加，总量流动性改善。</x:v>
      </x:c>
      <x:c r="S195" s="659" t="str">
        <x:v>权重0.01；M2代表广义货币背景，但美国市场更看重价格型金融条件，主要作为辅助验证，避免与核心指标重复计数。</x:v>
      </x:c>
      <x:c r="T195" s="659" t="str">
        <x:v>背景验证</x:v>
      </x:c>
      <x:c r="U195" s="659" t="str">
        <x:v>中性</x:v>
      </x:c>
      <x:c r="V195" s="659" t="str">
        <x:v>中</x:v>
      </x:c>
      <x:c r="W195" s="659" t="str">
        <x:v>重点看环比/同比方向和历史位置</x:v>
      </x:c>
      <x:c r="X195" s="659" t="str">
        <x:v>否</x:v>
      </x:c>
      <x:c r="Y195" s="659" t="str">
        <x:v>权重或边际变化不足以改变面级判断，本期作为背景验证。</x:v>
      </x:c>
      <x:c r="Z195" s="659" t="str">
        <x:v>已检查同面反向指标；若出现支撑与压力并存，面级结论按分化或边际变化处理。</x:v>
      </x:c>
      <x:c r="AA195" s="659" t="str">
        <x:v>资金面：中性：政策利率稳定，短端资金略有扰动但财政账户回落缓和流动性压力：政策利率稳定（联邦基金利率3.63%、IORB为3.65%）；短端资金略有扰动（SOFR-IORB约+3bp）；财政账户回落释放部分流动性（TGA余额约9018亿美元、较上期减少约547亿美元）。</x:v>
      </x:c>
      <x:c r="AB195" s="659" t="str">
        <x:v>避免单指标下结论；资金面不轻易表述为紧缩，估值面必须给历史分位。</x:v>
      </x:c>
      <x:c r="AC195" s="659" t="str">
        <x:v>否</x:v>
      </x:c>
      <x:c r="AD195" s="659" t="str">
        <x:v>P3</x:v>
      </x:c>
      <x:c r="AE195" s="659" t="str"/>
      <x:c r="AF195" s="659" t="str"/>
      <x:c r="AG195" s="659" t="str">
        <x:v>作为背景验证，不进入最终PPT。</x:v>
      </x:c>
      <x:c r="AH195" s="659" t="str"/>
      <x:c r="AI195" s="659" t="str"/>
    </x:row>
    <x:row r="196" ht="54" customHeight="1">
      <x:c r="A196" s="659" t="str">
        <x:v>联动指标</x:v>
      </x:c>
      <x:c r="B196" s="659" t="str">
        <x:v>境内</x:v>
      </x:c>
      <x:c r="C196" s="659" t="str">
        <x:v>债市</x:v>
      </x:c>
      <x:c r="D196" s="659" t="str">
        <x:v>资金面</x:v>
      </x:c>
      <x:c r="E196" s="659" t="str">
        <x:v>利率定价</x:v>
      </x:c>
      <x:c r="F196" s="659" t="n">
        <x:v>65</x:v>
      </x:c>
      <x:c r="G196" s="659" t="str">
        <x:v>中国:国债收益率:10年（来自TREE资金面联动）</x:v>
      </x:c>
      <x:c r="H196" s="659" t="str">
        <x:v>日度；日期2026-07-01T00:00:00</x:v>
      </x:c>
      <x:c r="I196" s="659" t="str">
        <x:v>债市定价/资金面联动指标</x:v>
      </x:c>
      <x:c r="J196" s="659" t="str">
        <x:v>当前0.017448；环比0.000118</x:v>
      </x:c>
      <x:c r="K196" s="659" t="str">
        <x:v>必检</x:v>
      </x:c>
      <x:c r="L196" s="659" t="n">
        <x:v>0.017448</x:v>
      </x:c>
      <x:c r="M196" s="659" t="str">
        <x:v>2026-07-01T00:00:00</x:v>
      </x:c>
      <x:c r="N196" s="659" t="n">
        <x:v>0.000118</x:v>
      </x:c>
      <x:c r="O196" s="659" t="str">
        <x:v>-</x:v>
      </x:c>
      <x:c r="P196" s="659" t="n">
        <x:v>0.001015</x:v>
      </x:c>
      <x:c r="Q196" s="687" t="n">
        <x:v>0.012</x:v>
      </x:c>
      <x:c r="R196" s="659" t="str">
        <x:v>中债10Y升至1.7743%、环比上行1.29bp，长端资金边际收敛。</x:v>
      </x:c>
      <x:c r="S196" s="659" t="str">
        <x:v>债市资金面需要结合收益率定价验证资金成本变化。</x:v>
      </x:c>
      <x:c r="T196" s="681" t="str">
        <x:v>最终展示候选</x:v>
      </x:c>
      <x:c r="U196" s="659" t="str">
        <x:v>收益率上行对债市偏不利</x:v>
      </x:c>
      <x:c r="V196" s="659" t="str">
        <x:v>高</x:v>
      </x:c>
      <x:c r="W196" s="659" t="str">
        <x:v>看10年国债收益率较上期变动</x:v>
      </x:c>
      <x:c r="X196" s="674" t="str">
        <x:v>是</x:v>
      </x:c>
      <x:c r="Y196" s="659" t="str">
        <x:v>债市资金面不仅看DR007，也需要看国债收益率是否反映融资成本边际变化。</x:v>
      </x:c>
      <x:c r="Z196" s="659" t="str">
        <x:v>与DR007共同判断，避免只看公开市场操作。</x:v>
      </x:c>
      <x:c r="AA196"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B196" s="659" t="str">
        <x:v>作为债市资金面联动指标，不改变原TREE归属。</x:v>
      </x:c>
      <x:c r="AC196" s="677" t="str">
        <x:v>是</x:v>
      </x:c>
      <x:c r="AD196" s="659" t="str">
        <x:v>P1</x:v>
      </x:c>
      <x:c r="AE196" s="659" t="str">
        <x:v>第二轮入选：用于说明长端利率小幅上行，对债市资金面边际收敛形成验证。</x:v>
      </x:c>
      <x:c r="AF196" s="659" t="str">
        <x:v>10年国债收益率1.7448%、较上日上行约1.2bp</x:v>
      </x:c>
      <x:c r="AG196" s="659" t="str"/>
      <x:c r="AH196" s="659" t="str">
        <x:v>债市资金面：中性偏多但边际收敛：短端流动性扰动有所缓和，但资金价格仍高于政策利率，长端利率小幅上行：公开市场仍为净回笼但规模收窄（单日净回笼820亿元、较上日少回笼10805亿元）；资金价格仍高于政策利率（DR007为1.4537%、高于7天逆回购约5.4bp）；长端收益率小幅上行（10年国债收益率1.7448%、较上日上行约1.2bp）。</x:v>
      </x:c>
      <x:c r="AI196" s="659" t="str">
        <x:v>联动行用于辅助判断，不要求同步写回主表指标池。</x:v>
      </x:c>
    </x:row>
    <x:row r="197">
      <x:c r="A197"/>
      <x:c r="B197"/>
      <x:c r="C197"/>
      <x:c r="D197"/>
      <x:c r="E197"/>
      <x:c r="F197"/>
      <x:c r="G197"/>
      <x:c r="H197"/>
      <x:c r="I197"/>
      <x:c r="J197"/>
      <x:c r="K197"/>
      <x:c r="L197"/>
      <x:c r="M197"/>
      <x:c r="N197"/>
      <x:c r="O197"/>
      <x:c r="P197"/>
      <x:c r="Q197"/>
      <x:c r="R197"/>
      <x:c r="S197"/>
      <x:c r="T197"/>
      <x:c r="U197"/>
      <x:c r="V197"/>
      <x:c r="W197"/>
      <x:c r="X197"/>
      <x:c r="Y197"/>
      <x:c r="Z197"/>
      <x:c r="AA197"/>
      <x:c r="AB197"/>
      <x:c r="AC197"/>
      <x:c r="AD197"/>
      <x:c r="AE197"/>
      <x:c r="AF197"/>
      <x:c r="AG197"/>
      <x:c r="AH197"/>
      <x:c r="AI197"/>
    </x:row>
    <x:row r="198">
      <x:c r="A198"/>
      <x:c r="B198"/>
      <x:c r="C198"/>
      <x:c r="D198"/>
      <x:c r="E198"/>
      <x:c r="F198"/>
      <x:c r="G198"/>
      <x:c r="H198"/>
      <x:c r="I198"/>
      <x:c r="J198"/>
      <x:c r="K198"/>
      <x:c r="L198"/>
      <x:c r="M198"/>
      <x:c r="N198"/>
      <x:c r="O198"/>
      <x:c r="P198"/>
      <x:c r="Q198"/>
      <x:c r="R198"/>
      <x:c r="S198"/>
      <x:c r="T198"/>
      <x:c r="U198"/>
      <x:c r="V198"/>
      <x:c r="W198"/>
      <x:c r="X198"/>
      <x:c r="Y198"/>
      <x:c r="Z198"/>
      <x:c r="AA198"/>
      <x:c r="AB198"/>
      <x:c r="AC198"/>
      <x:c r="AD198"/>
      <x:c r="AE198"/>
      <x:c r="AF198"/>
      <x:c r="AG198"/>
      <x:c r="AH198"/>
      <x:c r="AI198"/>
    </x:row>
    <x:row r="199">
      <x:c r="A199"/>
      <x:c r="B199"/>
      <x:c r="C199"/>
      <x:c r="D199"/>
      <x:c r="E199"/>
      <x:c r="F199"/>
      <x:c r="G199"/>
      <x:c r="H199"/>
      <x:c r="I199"/>
      <x:c r="J199"/>
      <x:c r="K199"/>
      <x:c r="L199"/>
      <x:c r="M199"/>
      <x:c r="N199"/>
      <x:c r="O199"/>
      <x:c r="P199"/>
      <x:c r="Q199"/>
      <x:c r="R199"/>
      <x:c r="S199"/>
      <x:c r="T199"/>
      <x:c r="U199"/>
      <x:c r="V199"/>
      <x:c r="W199"/>
      <x:c r="X199"/>
      <x:c r="Y199"/>
      <x:c r="Z199"/>
      <x:c r="AA199"/>
      <x:c r="AB199"/>
      <x:c r="AC199"/>
      <x:c r="AD199"/>
      <x:c r="AE199"/>
      <x:c r="AF199"/>
      <x:c r="AG199"/>
      <x:c r="AH199"/>
      <x:c r="AI199"/>
    </x:row>
    <x:row r="200">
      <x:c r="A200"/>
      <x:c r="B200"/>
      <x:c r="C200"/>
      <x:c r="D200"/>
      <x:c r="E200"/>
      <x:c r="F200"/>
      <x:c r="G200"/>
      <x:c r="H200"/>
      <x:c r="I200"/>
      <x:c r="J200"/>
      <x:c r="K200"/>
      <x:c r="L200"/>
      <x:c r="M200"/>
      <x:c r="N200"/>
      <x:c r="O200"/>
      <x:c r="P200"/>
      <x:c r="Q200"/>
      <x:c r="R200"/>
      <x:c r="S200"/>
      <x:c r="T200"/>
      <x:c r="U200"/>
      <x:c r="V200"/>
      <x:c r="W200"/>
      <x:c r="X200"/>
      <x:c r="Y200"/>
      <x:c r="Z200"/>
      <x:c r="AA200"/>
      <x:c r="AB200"/>
      <x:c r="AC200"/>
      <x:c r="AD200"/>
      <x:c r="AE200"/>
      <x:c r="AF200"/>
      <x:c r="AG200"/>
      <x:c r="AH200"/>
      <x:c r="AI200"/>
    </x:row>
    <x:row r="201">
      <x:c r="A201"/>
      <x:c r="B201"/>
      <x:c r="C201"/>
      <x:c r="D201"/>
      <x:c r="E201"/>
      <x:c r="F201"/>
      <x:c r="G201"/>
      <x:c r="H201"/>
      <x:c r="I201"/>
      <x:c r="J201"/>
      <x:c r="K201"/>
      <x:c r="L201"/>
      <x:c r="M201"/>
      <x:c r="N201"/>
      <x:c r="O201"/>
      <x:c r="P201"/>
      <x:c r="Q201"/>
      <x:c r="R201"/>
      <x:c r="S201"/>
      <x:c r="T201"/>
      <x:c r="U201"/>
      <x:c r="V201"/>
      <x:c r="W201"/>
      <x:c r="X201"/>
      <x:c r="Y201"/>
      <x:c r="Z201"/>
      <x:c r="AA201"/>
      <x:c r="AB201"/>
      <x:c r="AC201"/>
      <x:c r="AD201"/>
      <x:c r="AE201"/>
      <x:c r="AF201"/>
      <x:c r="AG201"/>
      <x:c r="AH201"/>
      <x:c r="AI201"/>
    </x:row>
    <x:row r="202">
      <x:c r="A202"/>
      <x:c r="B202"/>
      <x:c r="C202"/>
      <x:c r="D202"/>
      <x:c r="E202"/>
      <x:c r="F202"/>
      <x:c r="G202"/>
      <x:c r="H202"/>
      <x:c r="I202"/>
      <x:c r="J202"/>
      <x:c r="K202"/>
      <x:c r="L202"/>
      <x:c r="M202"/>
      <x:c r="N202"/>
      <x:c r="O202"/>
      <x:c r="P202"/>
      <x:c r="Q202"/>
      <x:c r="R202"/>
      <x:c r="S202"/>
      <x:c r="T202"/>
      <x:c r="U202"/>
      <x:c r="V202"/>
      <x:c r="W202"/>
      <x:c r="X202"/>
      <x:c r="Y202"/>
      <x:c r="Z202"/>
      <x:c r="AA202"/>
      <x:c r="AB202"/>
      <x:c r="AC202"/>
      <x:c r="AD202"/>
      <x:c r="AE202"/>
      <x:c r="AF202"/>
      <x:c r="AG202"/>
      <x:c r="AH202"/>
      <x:c r="AI202"/>
    </x:row>
    <x:row r="203">
      <x:c r="A203"/>
      <x:c r="B203"/>
      <x:c r="C203"/>
      <x:c r="D203"/>
      <x:c r="E203"/>
      <x:c r="F203"/>
      <x:c r="G203"/>
      <x:c r="H203"/>
      <x:c r="I203"/>
      <x:c r="J203"/>
      <x:c r="K203"/>
      <x:c r="L203"/>
      <x:c r="M203"/>
      <x:c r="N203"/>
      <x:c r="O203"/>
      <x:c r="P203"/>
      <x:c r="Q203"/>
      <x:c r="R203"/>
      <x:c r="S203"/>
      <x:c r="T203"/>
      <x:c r="U203"/>
      <x:c r="V203"/>
      <x:c r="W203"/>
      <x:c r="X203"/>
      <x:c r="Y203"/>
      <x:c r="Z203"/>
      <x:c r="AA203"/>
      <x:c r="AB203"/>
      <x:c r="AC203"/>
      <x:c r="AD203"/>
      <x:c r="AE203"/>
      <x:c r="AF203"/>
      <x:c r="AG203"/>
      <x:c r="AH203"/>
      <x:c r="AI203"/>
    </x:row>
    <x:row r="204">
      <x:c r="A204"/>
      <x:c r="B204"/>
      <x:c r="C204"/>
      <x:c r="D204"/>
      <x:c r="E204"/>
      <x:c r="F204"/>
      <x:c r="G204"/>
      <x:c r="H204"/>
      <x:c r="I204"/>
      <x:c r="J204"/>
      <x:c r="K204"/>
      <x:c r="L204"/>
      <x:c r="M204"/>
      <x:c r="N204"/>
      <x:c r="O204"/>
      <x:c r="P204"/>
      <x:c r="Q204"/>
      <x:c r="R204"/>
      <x:c r="S204"/>
      <x:c r="T204"/>
      <x:c r="U204"/>
      <x:c r="V204"/>
      <x:c r="W204"/>
      <x:c r="X204"/>
      <x:c r="Y204"/>
      <x:c r="Z204"/>
      <x:c r="AA204"/>
      <x:c r="AB204"/>
      <x:c r="AC204"/>
      <x:c r="AD204"/>
      <x:c r="AE204"/>
      <x:c r="AF204"/>
      <x:c r="AG204"/>
      <x:c r="AH204"/>
      <x:c r="AI204"/>
    </x:row>
    <x:row r="205">
      <x:c r="A205"/>
      <x:c r="B205"/>
      <x:c r="C205"/>
      <x:c r="D205"/>
      <x:c r="E205"/>
      <x:c r="F205"/>
      <x:c r="G205"/>
      <x:c r="H205"/>
      <x:c r="I205"/>
      <x:c r="J205"/>
      <x:c r="K205"/>
      <x:c r="L205"/>
      <x:c r="M205"/>
      <x:c r="N205"/>
      <x:c r="O205"/>
      <x:c r="P205"/>
      <x:c r="Q205"/>
      <x:c r="R205"/>
      <x:c r="S205"/>
      <x:c r="T205"/>
      <x:c r="U205"/>
      <x:c r="V205"/>
      <x:c r="W205"/>
      <x:c r="X205"/>
      <x:c r="Y205"/>
      <x:c r="Z205"/>
      <x:c r="AA205"/>
      <x:c r="AB205"/>
      <x:c r="AC205"/>
      <x:c r="AD205"/>
      <x:c r="AE205"/>
      <x:c r="AF205"/>
      <x:c r="AG205"/>
      <x:c r="AH205"/>
      <x:c r="AI205"/>
    </x:row>
    <x:row r="206">
      <x:c r="A206"/>
      <x:c r="B206"/>
      <x:c r="C206"/>
      <x:c r="D206"/>
      <x:c r="E206"/>
      <x:c r="F206"/>
      <x:c r="G206"/>
      <x:c r="H206"/>
      <x:c r="I206"/>
      <x:c r="J206"/>
      <x:c r="K206"/>
      <x:c r="L206"/>
      <x:c r="M206"/>
      <x:c r="N206"/>
      <x:c r="O206"/>
      <x:c r="P206"/>
      <x:c r="Q206"/>
      <x:c r="R206"/>
      <x:c r="S206"/>
      <x:c r="T206"/>
      <x:c r="U206"/>
      <x:c r="V206"/>
      <x:c r="W206"/>
      <x:c r="X206"/>
      <x:c r="Y206"/>
      <x:c r="Z206"/>
      <x:c r="AA206"/>
      <x:c r="AB206"/>
      <x:c r="AC206"/>
      <x:c r="AD206"/>
      <x:c r="AE206"/>
      <x:c r="AF206"/>
      <x:c r="AG206"/>
      <x:c r="AH206"/>
      <x:c r="AI206"/>
    </x:row>
    <x:row r="207">
      <x:c r="A207"/>
      <x:c r="B207"/>
      <x:c r="C207"/>
      <x:c r="D207"/>
      <x:c r="E207"/>
      <x:c r="F207"/>
      <x:c r="G207"/>
      <x:c r="H207"/>
      <x:c r="I207"/>
      <x:c r="J207"/>
      <x:c r="K207"/>
      <x:c r="L207"/>
      <x:c r="M207"/>
      <x:c r="N207"/>
      <x:c r="O207"/>
      <x:c r="P207"/>
      <x:c r="Q207"/>
      <x:c r="R207"/>
      <x:c r="S207"/>
      <x:c r="T207"/>
      <x:c r="U207"/>
      <x:c r="V207"/>
      <x:c r="W207"/>
      <x:c r="X207"/>
      <x:c r="Y207"/>
      <x:c r="Z207"/>
      <x:c r="AA207"/>
      <x:c r="AB207"/>
      <x:c r="AC207"/>
      <x:c r="AD207"/>
      <x:c r="AE207"/>
      <x:c r="AF207"/>
      <x:c r="AG207"/>
      <x:c r="AH207"/>
      <x:c r="AI207"/>
    </x:row>
    <x:row r="208">
      <x:c r="A208"/>
      <x:c r="B208"/>
      <x:c r="C208"/>
      <x:c r="D208"/>
      <x:c r="E208"/>
      <x:c r="F208"/>
      <x:c r="G208"/>
      <x:c r="H208"/>
      <x:c r="I208"/>
      <x:c r="J208"/>
      <x:c r="K208"/>
      <x:c r="L208"/>
      <x:c r="M208"/>
      <x:c r="N208"/>
      <x:c r="O208"/>
      <x:c r="P208"/>
      <x:c r="Q208"/>
      <x:c r="R208"/>
      <x:c r="S208"/>
      <x:c r="T208"/>
      <x:c r="U208"/>
      <x:c r="V208"/>
      <x:c r="W208"/>
      <x:c r="X208"/>
      <x:c r="Y208"/>
      <x:c r="Z208"/>
      <x:c r="AA208"/>
      <x:c r="AB208"/>
      <x:c r="AC208"/>
      <x:c r="AD208"/>
      <x:c r="AE208"/>
      <x:c r="AF208"/>
      <x:c r="AG208"/>
      <x:c r="AH208"/>
      <x:c r="AI208"/>
    </x:row>
    <x:row r="209">
      <x:c r="A209"/>
      <x:c r="B209"/>
      <x:c r="C209"/>
      <x:c r="D209"/>
      <x:c r="E209"/>
      <x:c r="F209"/>
      <x:c r="G209"/>
      <x:c r="H209"/>
      <x:c r="I209"/>
      <x:c r="J209"/>
      <x:c r="K209"/>
      <x:c r="L209"/>
      <x:c r="M209"/>
      <x:c r="N209"/>
      <x:c r="O209"/>
      <x:c r="P209"/>
      <x:c r="Q209"/>
      <x:c r="R209"/>
      <x:c r="S209"/>
      <x:c r="T209"/>
      <x:c r="U209"/>
      <x:c r="V209"/>
      <x:c r="W209"/>
      <x:c r="X209"/>
      <x:c r="Y209"/>
      <x:c r="Z209"/>
      <x:c r="AA209"/>
      <x:c r="AB209"/>
      <x:c r="AC209"/>
      <x:c r="AD209"/>
      <x:c r="AE209"/>
      <x:c r="AF209"/>
      <x:c r="AG209"/>
      <x:c r="AH209"/>
      <x:c r="AI209"/>
    </x:row>
  </x:sheetData>
  <x:pageMargins left="0.7" right="0.7" top="0.75" bottom="0.75" header="0.3" footer="0.3"/>
</x:worksheet>
</file>